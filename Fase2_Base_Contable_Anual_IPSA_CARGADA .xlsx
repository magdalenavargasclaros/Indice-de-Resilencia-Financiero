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gdalenavargasclaros/Desktop/"/>
    </mc:Choice>
  </mc:AlternateContent>
  <xr:revisionPtr revIDLastSave="0" documentId="8_{6C8E8BE3-F3F4-8B41-A390-F7DB652BF7C9}" xr6:coauthVersionLast="47" xr6:coauthVersionMax="47" xr10:uidLastSave="{00000000-0000-0000-0000-000000000000}"/>
  <bookViews>
    <workbookView xWindow="0" yWindow="660" windowWidth="29400" windowHeight="18460" tabRatio="500" activeTab="8" xr2:uid="{00000000-000D-0000-FFFF-FFFF00000000}"/>
  </bookViews>
  <sheets>
    <sheet name="Instrucciones" sheetId="1" r:id="rId1"/>
    <sheet name="Empresas" sheetId="2" r:id="rId2"/>
    <sheet name="Diccionario" sheetId="3" r:id="rId3"/>
    <sheet name="Captura_NoFin" sheetId="4" r:id="rId4"/>
    <sheet name="Captura_Fin" sheetId="5" r:id="rId5"/>
    <sheet name="Ratios_NoFin" sheetId="6" r:id="rId6"/>
    <sheet name="Ratios_Fin" sheetId="7" r:id="rId7"/>
    <sheet name="Direccion" sheetId="8" r:id="rId8"/>
    <sheet name="Control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9" l="1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N37" i="7"/>
  <c r="L37" i="7"/>
  <c r="K37" i="7"/>
  <c r="J37" i="7"/>
  <c r="I37" i="7"/>
  <c r="H37" i="7"/>
  <c r="G37" i="7"/>
  <c r="F37" i="7"/>
  <c r="E37" i="7"/>
  <c r="D37" i="7"/>
  <c r="C37" i="7"/>
  <c r="B37" i="7"/>
  <c r="A37" i="7"/>
  <c r="N36" i="7"/>
  <c r="L36" i="7"/>
  <c r="J36" i="7"/>
  <c r="I36" i="7"/>
  <c r="H36" i="7"/>
  <c r="G36" i="7"/>
  <c r="F36" i="7"/>
  <c r="E36" i="7"/>
  <c r="D36" i="7"/>
  <c r="K36" i="7" s="1"/>
  <c r="C36" i="7"/>
  <c r="B36" i="7"/>
  <c r="A36" i="7"/>
  <c r="N35" i="7"/>
  <c r="L35" i="7"/>
  <c r="J35" i="7"/>
  <c r="I35" i="7"/>
  <c r="H35" i="7"/>
  <c r="G35" i="7"/>
  <c r="F35" i="7"/>
  <c r="E35" i="7"/>
  <c r="D35" i="7"/>
  <c r="K35" i="7" s="1"/>
  <c r="C35" i="7"/>
  <c r="B35" i="7"/>
  <c r="A35" i="7"/>
  <c r="N34" i="7"/>
  <c r="L34" i="7"/>
  <c r="K34" i="7"/>
  <c r="J34" i="7"/>
  <c r="I34" i="7"/>
  <c r="H34" i="7"/>
  <c r="G34" i="7"/>
  <c r="F34" i="7"/>
  <c r="E34" i="7"/>
  <c r="D34" i="7"/>
  <c r="C34" i="7"/>
  <c r="B34" i="7"/>
  <c r="A34" i="7"/>
  <c r="N33" i="7"/>
  <c r="L33" i="7"/>
  <c r="J33" i="7"/>
  <c r="I33" i="7"/>
  <c r="H33" i="7"/>
  <c r="G33" i="7"/>
  <c r="F33" i="7"/>
  <c r="E33" i="7"/>
  <c r="D33" i="7"/>
  <c r="K33" i="7" s="1"/>
  <c r="M33" i="7" s="1"/>
  <c r="C33" i="7"/>
  <c r="B33" i="7"/>
  <c r="A33" i="7"/>
  <c r="N32" i="7"/>
  <c r="L32" i="7"/>
  <c r="K32" i="7"/>
  <c r="J32" i="7"/>
  <c r="I32" i="7"/>
  <c r="H32" i="7"/>
  <c r="G32" i="7"/>
  <c r="F32" i="7"/>
  <c r="E32" i="7"/>
  <c r="D32" i="7"/>
  <c r="C32" i="7"/>
  <c r="B32" i="7"/>
  <c r="A32" i="7"/>
  <c r="N31" i="7"/>
  <c r="L31" i="7"/>
  <c r="K31" i="7"/>
  <c r="J31" i="7"/>
  <c r="M31" i="7" s="1"/>
  <c r="I31" i="7"/>
  <c r="H31" i="7"/>
  <c r="G31" i="7"/>
  <c r="F31" i="7"/>
  <c r="E31" i="7"/>
  <c r="D31" i="7"/>
  <c r="C31" i="7"/>
  <c r="B31" i="7"/>
  <c r="A31" i="7"/>
  <c r="N30" i="7"/>
  <c r="L30" i="7"/>
  <c r="J30" i="7"/>
  <c r="I30" i="7"/>
  <c r="H30" i="7"/>
  <c r="G30" i="7"/>
  <c r="F30" i="7"/>
  <c r="E30" i="7"/>
  <c r="M30" i="7" s="1"/>
  <c r="D30" i="7"/>
  <c r="K30" i="7" s="1"/>
  <c r="C30" i="7"/>
  <c r="B30" i="7"/>
  <c r="A30" i="7"/>
  <c r="N29" i="7"/>
  <c r="L29" i="7"/>
  <c r="J29" i="7"/>
  <c r="I29" i="7"/>
  <c r="H29" i="7"/>
  <c r="G29" i="7"/>
  <c r="F29" i="7"/>
  <c r="E29" i="7"/>
  <c r="D29" i="7"/>
  <c r="K29" i="7" s="1"/>
  <c r="C29" i="7"/>
  <c r="B29" i="7"/>
  <c r="A29" i="7"/>
  <c r="N28" i="7"/>
  <c r="L28" i="7"/>
  <c r="J28" i="7"/>
  <c r="I28" i="7"/>
  <c r="H28" i="7"/>
  <c r="G28" i="7"/>
  <c r="F28" i="7"/>
  <c r="E28" i="7"/>
  <c r="D28" i="7"/>
  <c r="K28" i="7" s="1"/>
  <c r="M28" i="7" s="1"/>
  <c r="C28" i="7"/>
  <c r="B28" i="7"/>
  <c r="A28" i="7"/>
  <c r="N27" i="7"/>
  <c r="L27" i="7"/>
  <c r="K27" i="7"/>
  <c r="J27" i="7"/>
  <c r="I27" i="7"/>
  <c r="H27" i="7"/>
  <c r="G27" i="7"/>
  <c r="F27" i="7"/>
  <c r="E27" i="7"/>
  <c r="D27" i="7"/>
  <c r="C27" i="7"/>
  <c r="B27" i="7"/>
  <c r="A27" i="7"/>
  <c r="N26" i="7"/>
  <c r="L26" i="7"/>
  <c r="K26" i="7"/>
  <c r="J26" i="7"/>
  <c r="I26" i="7"/>
  <c r="H26" i="7"/>
  <c r="G26" i="7"/>
  <c r="F26" i="7"/>
  <c r="E26" i="7"/>
  <c r="D26" i="7"/>
  <c r="C26" i="7"/>
  <c r="B26" i="7"/>
  <c r="A26" i="7"/>
  <c r="N25" i="7"/>
  <c r="M25" i="7"/>
  <c r="L25" i="7"/>
  <c r="J25" i="7"/>
  <c r="I25" i="7"/>
  <c r="H25" i="7"/>
  <c r="G25" i="7"/>
  <c r="F25" i="7"/>
  <c r="E25" i="7"/>
  <c r="D25" i="7"/>
  <c r="K25" i="7" s="1"/>
  <c r="C25" i="7"/>
  <c r="B25" i="7"/>
  <c r="A25" i="7"/>
  <c r="N24" i="7"/>
  <c r="L24" i="7"/>
  <c r="J24" i="7"/>
  <c r="I24" i="7"/>
  <c r="H24" i="7"/>
  <c r="G24" i="7"/>
  <c r="M24" i="7" s="1"/>
  <c r="F24" i="7"/>
  <c r="E24" i="7"/>
  <c r="D24" i="7"/>
  <c r="K24" i="7" s="1"/>
  <c r="C24" i="7"/>
  <c r="B24" i="7"/>
  <c r="A24" i="7"/>
  <c r="N23" i="7"/>
  <c r="L23" i="7"/>
  <c r="K23" i="7"/>
  <c r="J23" i="7"/>
  <c r="I23" i="7"/>
  <c r="H23" i="7"/>
  <c r="G23" i="7"/>
  <c r="F23" i="7"/>
  <c r="E23" i="7"/>
  <c r="D23" i="7"/>
  <c r="C23" i="7"/>
  <c r="B23" i="7"/>
  <c r="A23" i="7"/>
  <c r="N22" i="7"/>
  <c r="L22" i="7"/>
  <c r="K22" i="7"/>
  <c r="J22" i="7"/>
  <c r="I22" i="7"/>
  <c r="H22" i="7"/>
  <c r="G22" i="7"/>
  <c r="F22" i="7"/>
  <c r="E22" i="7"/>
  <c r="D22" i="7"/>
  <c r="C22" i="7"/>
  <c r="B22" i="7"/>
  <c r="A22" i="7"/>
  <c r="N21" i="7"/>
  <c r="L21" i="7"/>
  <c r="J21" i="7"/>
  <c r="I21" i="7"/>
  <c r="H21" i="7"/>
  <c r="G21" i="7"/>
  <c r="F21" i="7"/>
  <c r="E21" i="7"/>
  <c r="M21" i="7" s="1"/>
  <c r="D21" i="7"/>
  <c r="K21" i="7" s="1"/>
  <c r="C21" i="7"/>
  <c r="B21" i="7"/>
  <c r="A21" i="7"/>
  <c r="N20" i="7"/>
  <c r="L20" i="7"/>
  <c r="J20" i="7"/>
  <c r="I20" i="7"/>
  <c r="H20" i="7"/>
  <c r="M20" i="7" s="1"/>
  <c r="G20" i="7"/>
  <c r="F20" i="7"/>
  <c r="E20" i="7"/>
  <c r="D20" i="7"/>
  <c r="K20" i="7" s="1"/>
  <c r="C20" i="7"/>
  <c r="B20" i="7"/>
  <c r="A20" i="7"/>
  <c r="N19" i="7"/>
  <c r="L19" i="7"/>
  <c r="K19" i="7"/>
  <c r="M19" i="7" s="1"/>
  <c r="J19" i="7"/>
  <c r="I19" i="7"/>
  <c r="H19" i="7"/>
  <c r="G19" i="7"/>
  <c r="F19" i="7"/>
  <c r="E19" i="7"/>
  <c r="D19" i="7"/>
  <c r="C19" i="7"/>
  <c r="B19" i="7"/>
  <c r="A19" i="7"/>
  <c r="N18" i="7"/>
  <c r="L18" i="7"/>
  <c r="J18" i="7"/>
  <c r="I18" i="7"/>
  <c r="H18" i="7"/>
  <c r="G18" i="7"/>
  <c r="F18" i="7"/>
  <c r="E18" i="7"/>
  <c r="D18" i="7"/>
  <c r="K18" i="7" s="1"/>
  <c r="C18" i="7"/>
  <c r="B18" i="7"/>
  <c r="A18" i="7"/>
  <c r="N17" i="7"/>
  <c r="L17" i="7"/>
  <c r="K17" i="7"/>
  <c r="J17" i="7"/>
  <c r="I17" i="7"/>
  <c r="H17" i="7"/>
  <c r="G17" i="7"/>
  <c r="F17" i="7"/>
  <c r="E17" i="7"/>
  <c r="D17" i="7"/>
  <c r="C17" i="7"/>
  <c r="B17" i="7"/>
  <c r="A17" i="7"/>
  <c r="N16" i="7"/>
  <c r="L16" i="7"/>
  <c r="J16" i="7"/>
  <c r="I16" i="7"/>
  <c r="H16" i="7"/>
  <c r="G16" i="7"/>
  <c r="F16" i="7"/>
  <c r="E16" i="7"/>
  <c r="M16" i="7" s="1"/>
  <c r="D16" i="7"/>
  <c r="K16" i="7" s="1"/>
  <c r="C16" i="7"/>
  <c r="B16" i="7"/>
  <c r="A16" i="7"/>
  <c r="N15" i="7"/>
  <c r="L15" i="7"/>
  <c r="J15" i="7"/>
  <c r="I15" i="7"/>
  <c r="H15" i="7"/>
  <c r="G15" i="7"/>
  <c r="F15" i="7"/>
  <c r="E15" i="7"/>
  <c r="D15" i="7"/>
  <c r="K15" i="7" s="1"/>
  <c r="C15" i="7"/>
  <c r="B15" i="7"/>
  <c r="A15" i="7"/>
  <c r="N14" i="7"/>
  <c r="L14" i="7"/>
  <c r="J14" i="7"/>
  <c r="I14" i="7"/>
  <c r="H14" i="7"/>
  <c r="G14" i="7"/>
  <c r="F14" i="7"/>
  <c r="E14" i="7"/>
  <c r="D14" i="7"/>
  <c r="K14" i="7" s="1"/>
  <c r="C14" i="7"/>
  <c r="B14" i="7"/>
  <c r="A14" i="7"/>
  <c r="N13" i="7"/>
  <c r="L13" i="7"/>
  <c r="J13" i="7"/>
  <c r="I13" i="7"/>
  <c r="H13" i="7"/>
  <c r="G13" i="7"/>
  <c r="F13" i="7"/>
  <c r="E13" i="7"/>
  <c r="M13" i="7" s="1"/>
  <c r="D13" i="7"/>
  <c r="K13" i="7" s="1"/>
  <c r="C13" i="7"/>
  <c r="B13" i="7"/>
  <c r="A13" i="7"/>
  <c r="N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L11" i="7"/>
  <c r="J11" i="7"/>
  <c r="I11" i="7"/>
  <c r="H11" i="7"/>
  <c r="G11" i="7"/>
  <c r="F11" i="7"/>
  <c r="E11" i="7"/>
  <c r="D11" i="7"/>
  <c r="K11" i="7" s="1"/>
  <c r="C11" i="7"/>
  <c r="B11" i="7"/>
  <c r="A11" i="7"/>
  <c r="N10" i="7"/>
  <c r="L10" i="7"/>
  <c r="J10" i="7"/>
  <c r="I10" i="7"/>
  <c r="H10" i="7"/>
  <c r="G10" i="7"/>
  <c r="F10" i="7"/>
  <c r="E10" i="7"/>
  <c r="D10" i="7"/>
  <c r="K10" i="7" s="1"/>
  <c r="C10" i="7"/>
  <c r="B10" i="7"/>
  <c r="A10" i="7"/>
  <c r="N9" i="7"/>
  <c r="L9" i="7"/>
  <c r="K9" i="7"/>
  <c r="J9" i="7"/>
  <c r="I9" i="7"/>
  <c r="H9" i="7"/>
  <c r="G9" i="7"/>
  <c r="F9" i="7"/>
  <c r="E9" i="7"/>
  <c r="D9" i="7"/>
  <c r="C9" i="7"/>
  <c r="B9" i="7"/>
  <c r="A9" i="7"/>
  <c r="N8" i="7"/>
  <c r="L8" i="7"/>
  <c r="J8" i="7"/>
  <c r="I8" i="7"/>
  <c r="H8" i="7"/>
  <c r="G8" i="7"/>
  <c r="F8" i="7"/>
  <c r="E8" i="7"/>
  <c r="D8" i="7"/>
  <c r="K8" i="7" s="1"/>
  <c r="M8" i="7" s="1"/>
  <c r="C8" i="7"/>
  <c r="B8" i="7"/>
  <c r="A8" i="7"/>
  <c r="N7" i="7"/>
  <c r="L7" i="7"/>
  <c r="K7" i="7"/>
  <c r="J7" i="7"/>
  <c r="I7" i="7"/>
  <c r="H7" i="7"/>
  <c r="G7" i="7"/>
  <c r="F7" i="7"/>
  <c r="E7" i="7"/>
  <c r="D7" i="7"/>
  <c r="C7" i="7"/>
  <c r="B7" i="7"/>
  <c r="A7" i="7"/>
  <c r="N6" i="7"/>
  <c r="L6" i="7"/>
  <c r="K6" i="7"/>
  <c r="J6" i="7"/>
  <c r="I6" i="7"/>
  <c r="M6" i="7" s="1"/>
  <c r="H6" i="7"/>
  <c r="G6" i="7"/>
  <c r="F6" i="7"/>
  <c r="E6" i="7"/>
  <c r="D6" i="7"/>
  <c r="C6" i="7"/>
  <c r="B6" i="7"/>
  <c r="A6" i="7"/>
  <c r="N5" i="7"/>
  <c r="L5" i="7"/>
  <c r="J5" i="7"/>
  <c r="I5" i="7"/>
  <c r="H5" i="7"/>
  <c r="G5" i="7"/>
  <c r="F5" i="7"/>
  <c r="E5" i="7"/>
  <c r="M5" i="7" s="1"/>
  <c r="D5" i="7"/>
  <c r="K5" i="7" s="1"/>
  <c r="C5" i="7"/>
  <c r="B5" i="7"/>
  <c r="A5" i="7"/>
  <c r="N4" i="7"/>
  <c r="L4" i="7"/>
  <c r="J4" i="7"/>
  <c r="I4" i="7"/>
  <c r="H4" i="7"/>
  <c r="G4" i="7"/>
  <c r="M4" i="7" s="1"/>
  <c r="F4" i="7"/>
  <c r="E4" i="7"/>
  <c r="D4" i="7"/>
  <c r="K4" i="7" s="1"/>
  <c r="C4" i="7"/>
  <c r="B4" i="7"/>
  <c r="A4" i="7"/>
  <c r="N3" i="7"/>
  <c r="L3" i="7"/>
  <c r="K3" i="7"/>
  <c r="M3" i="7" s="1"/>
  <c r="J3" i="7"/>
  <c r="I3" i="7"/>
  <c r="H3" i="7"/>
  <c r="G3" i="7"/>
  <c r="F3" i="7"/>
  <c r="E3" i="7"/>
  <c r="D3" i="7"/>
  <c r="C3" i="7"/>
  <c r="B3" i="7"/>
  <c r="A3" i="7"/>
  <c r="N2" i="7"/>
  <c r="L2" i="7"/>
  <c r="J2" i="7"/>
  <c r="I2" i="7"/>
  <c r="H2" i="7"/>
  <c r="G2" i="7"/>
  <c r="F2" i="7"/>
  <c r="E2" i="7"/>
  <c r="D2" i="7"/>
  <c r="C2" i="7"/>
  <c r="B2" i="7"/>
  <c r="A2" i="7"/>
  <c r="P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A163" i="6"/>
  <c r="P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A162" i="6"/>
  <c r="P161" i="6"/>
  <c r="N161" i="6"/>
  <c r="M161" i="6"/>
  <c r="L161" i="6"/>
  <c r="J161" i="6"/>
  <c r="I161" i="6"/>
  <c r="H161" i="6"/>
  <c r="G161" i="6"/>
  <c r="O161" i="6" s="1"/>
  <c r="F161" i="6"/>
  <c r="E161" i="6"/>
  <c r="K161" i="6" s="1"/>
  <c r="D161" i="6"/>
  <c r="C161" i="6"/>
  <c r="B161" i="6"/>
  <c r="A161" i="6"/>
  <c r="P160" i="6"/>
  <c r="N160" i="6"/>
  <c r="L160" i="6"/>
  <c r="J160" i="6"/>
  <c r="I160" i="6"/>
  <c r="G160" i="6"/>
  <c r="F160" i="6"/>
  <c r="E160" i="6"/>
  <c r="D160" i="6"/>
  <c r="M160" i="6" s="1"/>
  <c r="C160" i="6"/>
  <c r="B160" i="6"/>
  <c r="A160" i="6"/>
  <c r="P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A159" i="6"/>
  <c r="P158" i="6"/>
  <c r="N158" i="6"/>
  <c r="L158" i="6"/>
  <c r="J158" i="6"/>
  <c r="I158" i="6"/>
  <c r="H158" i="6"/>
  <c r="G158" i="6"/>
  <c r="O158" i="6" s="1"/>
  <c r="F158" i="6"/>
  <c r="E158" i="6"/>
  <c r="K158" i="6" s="1"/>
  <c r="D158" i="6"/>
  <c r="M158" i="6" s="1"/>
  <c r="C158" i="6"/>
  <c r="B158" i="6"/>
  <c r="A158" i="6"/>
  <c r="P157" i="6"/>
  <c r="N157" i="6"/>
  <c r="L157" i="6"/>
  <c r="K157" i="6"/>
  <c r="J157" i="6"/>
  <c r="I157" i="6"/>
  <c r="H157" i="6"/>
  <c r="G157" i="6"/>
  <c r="F157" i="6"/>
  <c r="E157" i="6"/>
  <c r="D157" i="6"/>
  <c r="M157" i="6" s="1"/>
  <c r="C157" i="6"/>
  <c r="B157" i="6"/>
  <c r="A157" i="6"/>
  <c r="P156" i="6"/>
  <c r="N156" i="6"/>
  <c r="L156" i="6"/>
  <c r="J156" i="6"/>
  <c r="I156" i="6"/>
  <c r="G156" i="6"/>
  <c r="F156" i="6"/>
  <c r="E156" i="6"/>
  <c r="K156" i="6" s="1"/>
  <c r="D156" i="6"/>
  <c r="M156" i="6" s="1"/>
  <c r="C156" i="6"/>
  <c r="B156" i="6"/>
  <c r="A156" i="6"/>
  <c r="P155" i="6"/>
  <c r="N155" i="6"/>
  <c r="M155" i="6"/>
  <c r="L155" i="6"/>
  <c r="K155" i="6"/>
  <c r="O155" i="6" s="1"/>
  <c r="J155" i="6"/>
  <c r="I155" i="6"/>
  <c r="G155" i="6"/>
  <c r="F155" i="6"/>
  <c r="E155" i="6"/>
  <c r="H155" i="6" s="1"/>
  <c r="D155" i="6"/>
  <c r="C155" i="6"/>
  <c r="B155" i="6"/>
  <c r="A155" i="6"/>
  <c r="P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A154" i="6"/>
  <c r="P153" i="6"/>
  <c r="N153" i="6"/>
  <c r="M153" i="6"/>
  <c r="L153" i="6"/>
  <c r="K153" i="6"/>
  <c r="J153" i="6"/>
  <c r="I153" i="6"/>
  <c r="G153" i="6"/>
  <c r="F153" i="6"/>
  <c r="O153" i="6" s="1"/>
  <c r="E153" i="6"/>
  <c r="H153" i="6" s="1"/>
  <c r="D153" i="6"/>
  <c r="C153" i="6"/>
  <c r="B153" i="6"/>
  <c r="A153" i="6"/>
  <c r="P152" i="6"/>
  <c r="N152" i="6"/>
  <c r="L152" i="6"/>
  <c r="K152" i="6"/>
  <c r="J152" i="6"/>
  <c r="I152" i="6"/>
  <c r="H152" i="6"/>
  <c r="G152" i="6"/>
  <c r="F152" i="6"/>
  <c r="E152" i="6"/>
  <c r="D152" i="6"/>
  <c r="M152" i="6" s="1"/>
  <c r="C152" i="6"/>
  <c r="B152" i="6"/>
  <c r="A152" i="6"/>
  <c r="P151" i="6"/>
  <c r="N151" i="6"/>
  <c r="L151" i="6"/>
  <c r="J151" i="6"/>
  <c r="I151" i="6"/>
  <c r="G151" i="6"/>
  <c r="F151" i="6"/>
  <c r="E151" i="6"/>
  <c r="D151" i="6"/>
  <c r="M151" i="6" s="1"/>
  <c r="C151" i="6"/>
  <c r="B151" i="6"/>
  <c r="A151" i="6"/>
  <c r="P150" i="6"/>
  <c r="N150" i="6"/>
  <c r="M150" i="6"/>
  <c r="L150" i="6"/>
  <c r="K150" i="6"/>
  <c r="J150" i="6"/>
  <c r="I150" i="6"/>
  <c r="G150" i="6"/>
  <c r="F150" i="6"/>
  <c r="E150" i="6"/>
  <c r="H150" i="6" s="1"/>
  <c r="D150" i="6"/>
  <c r="C150" i="6"/>
  <c r="B150" i="6"/>
  <c r="A150" i="6"/>
  <c r="P149" i="6"/>
  <c r="N149" i="6"/>
  <c r="M149" i="6"/>
  <c r="L149" i="6"/>
  <c r="J149" i="6"/>
  <c r="I149" i="6"/>
  <c r="H149" i="6"/>
  <c r="G149" i="6"/>
  <c r="O149" i="6" s="1"/>
  <c r="F149" i="6"/>
  <c r="E149" i="6"/>
  <c r="K149" i="6" s="1"/>
  <c r="D149" i="6"/>
  <c r="C149" i="6"/>
  <c r="B149" i="6"/>
  <c r="A149" i="6"/>
  <c r="P148" i="6"/>
  <c r="N148" i="6"/>
  <c r="L148" i="6"/>
  <c r="K148" i="6"/>
  <c r="J148" i="6"/>
  <c r="I148" i="6"/>
  <c r="H148" i="6"/>
  <c r="G148" i="6"/>
  <c r="F148" i="6"/>
  <c r="E148" i="6"/>
  <c r="D148" i="6"/>
  <c r="M148" i="6" s="1"/>
  <c r="C148" i="6"/>
  <c r="B148" i="6"/>
  <c r="A148" i="6"/>
  <c r="P147" i="6"/>
  <c r="N147" i="6"/>
  <c r="L147" i="6"/>
  <c r="K147" i="6"/>
  <c r="J147" i="6"/>
  <c r="I147" i="6"/>
  <c r="H147" i="6"/>
  <c r="G147" i="6"/>
  <c r="F147" i="6"/>
  <c r="E147" i="6"/>
  <c r="D147" i="6"/>
  <c r="M147" i="6" s="1"/>
  <c r="C147" i="6"/>
  <c r="B147" i="6"/>
  <c r="A147" i="6"/>
  <c r="P146" i="6"/>
  <c r="N146" i="6"/>
  <c r="M146" i="6"/>
  <c r="O146" i="6" s="1"/>
  <c r="L146" i="6"/>
  <c r="J146" i="6"/>
  <c r="I146" i="6"/>
  <c r="H146" i="6"/>
  <c r="G146" i="6"/>
  <c r="F146" i="6"/>
  <c r="E146" i="6"/>
  <c r="K146" i="6" s="1"/>
  <c r="D146" i="6"/>
  <c r="C146" i="6"/>
  <c r="B146" i="6"/>
  <c r="A146" i="6"/>
  <c r="P145" i="6"/>
  <c r="N145" i="6"/>
  <c r="L145" i="6"/>
  <c r="J145" i="6"/>
  <c r="I145" i="6"/>
  <c r="G145" i="6"/>
  <c r="F145" i="6"/>
  <c r="E145" i="6"/>
  <c r="D145" i="6"/>
  <c r="M145" i="6" s="1"/>
  <c r="C145" i="6"/>
  <c r="B145" i="6"/>
  <c r="A145" i="6"/>
  <c r="P144" i="6"/>
  <c r="N144" i="6"/>
  <c r="M144" i="6"/>
  <c r="L144" i="6"/>
  <c r="K144" i="6"/>
  <c r="J144" i="6"/>
  <c r="I144" i="6"/>
  <c r="O144" i="6" s="1"/>
  <c r="G144" i="6"/>
  <c r="F144" i="6"/>
  <c r="E144" i="6"/>
  <c r="H144" i="6" s="1"/>
  <c r="D144" i="6"/>
  <c r="C144" i="6"/>
  <c r="B144" i="6"/>
  <c r="A144" i="6"/>
  <c r="P143" i="6"/>
  <c r="N143" i="6"/>
  <c r="M143" i="6"/>
  <c r="L143" i="6"/>
  <c r="J143" i="6"/>
  <c r="I143" i="6"/>
  <c r="H143" i="6"/>
  <c r="G143" i="6"/>
  <c r="F143" i="6"/>
  <c r="E143" i="6"/>
  <c r="K143" i="6" s="1"/>
  <c r="D143" i="6"/>
  <c r="C143" i="6"/>
  <c r="B143" i="6"/>
  <c r="A143" i="6"/>
  <c r="P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142" i="6"/>
  <c r="P141" i="6"/>
  <c r="N141" i="6"/>
  <c r="M141" i="6"/>
  <c r="L141" i="6"/>
  <c r="J141" i="6"/>
  <c r="I141" i="6"/>
  <c r="G141" i="6"/>
  <c r="F141" i="6"/>
  <c r="E141" i="6"/>
  <c r="K141" i="6" s="1"/>
  <c r="D141" i="6"/>
  <c r="C141" i="6"/>
  <c r="B141" i="6"/>
  <c r="A141" i="6"/>
  <c r="P140" i="6"/>
  <c r="N140" i="6"/>
  <c r="M140" i="6"/>
  <c r="L140" i="6"/>
  <c r="K140" i="6"/>
  <c r="J140" i="6"/>
  <c r="I140" i="6"/>
  <c r="G140" i="6"/>
  <c r="F140" i="6"/>
  <c r="O140" i="6" s="1"/>
  <c r="E140" i="6"/>
  <c r="H140" i="6" s="1"/>
  <c r="D140" i="6"/>
  <c r="C140" i="6"/>
  <c r="B140" i="6"/>
  <c r="A140" i="6"/>
  <c r="P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P138" i="6"/>
  <c r="N138" i="6"/>
  <c r="M138" i="6"/>
  <c r="L138" i="6"/>
  <c r="J138" i="6"/>
  <c r="I138" i="6"/>
  <c r="H138" i="6"/>
  <c r="G138" i="6"/>
  <c r="F138" i="6"/>
  <c r="O138" i="6" s="1"/>
  <c r="E138" i="6"/>
  <c r="K138" i="6" s="1"/>
  <c r="D138" i="6"/>
  <c r="C138" i="6"/>
  <c r="B138" i="6"/>
  <c r="A138" i="6"/>
  <c r="P137" i="6"/>
  <c r="N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M137" i="6" s="1"/>
  <c r="P136" i="6"/>
  <c r="N136" i="6"/>
  <c r="M136" i="6"/>
  <c r="L136" i="6"/>
  <c r="J136" i="6"/>
  <c r="I136" i="6"/>
  <c r="H136" i="6"/>
  <c r="G136" i="6"/>
  <c r="F136" i="6"/>
  <c r="O136" i="6" s="1"/>
  <c r="E136" i="6"/>
  <c r="K136" i="6" s="1"/>
  <c r="D136" i="6"/>
  <c r="C136" i="6"/>
  <c r="B136" i="6"/>
  <c r="A136" i="6"/>
  <c r="P135" i="6"/>
  <c r="N135" i="6"/>
  <c r="M135" i="6"/>
  <c r="L135" i="6"/>
  <c r="K135" i="6"/>
  <c r="J135" i="6"/>
  <c r="I135" i="6"/>
  <c r="G135" i="6"/>
  <c r="F135" i="6"/>
  <c r="E135" i="6"/>
  <c r="H135" i="6" s="1"/>
  <c r="D135" i="6"/>
  <c r="C135" i="6"/>
  <c r="B135" i="6"/>
  <c r="A135" i="6"/>
  <c r="P134" i="6"/>
  <c r="N134" i="6"/>
  <c r="M134" i="6"/>
  <c r="L134" i="6"/>
  <c r="J134" i="6"/>
  <c r="I134" i="6"/>
  <c r="G134" i="6"/>
  <c r="F134" i="6"/>
  <c r="E134" i="6"/>
  <c r="K134" i="6" s="1"/>
  <c r="D134" i="6"/>
  <c r="C134" i="6"/>
  <c r="B134" i="6"/>
  <c r="A134" i="6"/>
  <c r="P133" i="6"/>
  <c r="N133" i="6"/>
  <c r="L133" i="6"/>
  <c r="K133" i="6"/>
  <c r="J133" i="6"/>
  <c r="I133" i="6"/>
  <c r="G133" i="6"/>
  <c r="F133" i="6"/>
  <c r="E133" i="6"/>
  <c r="H133" i="6" s="1"/>
  <c r="D133" i="6"/>
  <c r="M133" i="6" s="1"/>
  <c r="O133" i="6" s="1"/>
  <c r="C133" i="6"/>
  <c r="B133" i="6"/>
  <c r="A133" i="6"/>
  <c r="P132" i="6"/>
  <c r="N132" i="6"/>
  <c r="L132" i="6"/>
  <c r="K132" i="6"/>
  <c r="J132" i="6"/>
  <c r="I132" i="6"/>
  <c r="H132" i="6"/>
  <c r="G132" i="6"/>
  <c r="F132" i="6"/>
  <c r="E132" i="6"/>
  <c r="D132" i="6"/>
  <c r="M132" i="6" s="1"/>
  <c r="C132" i="6"/>
  <c r="B132" i="6"/>
  <c r="A132" i="6"/>
  <c r="P131" i="6"/>
  <c r="N131" i="6"/>
  <c r="L131" i="6"/>
  <c r="J131" i="6"/>
  <c r="I131" i="6"/>
  <c r="G131" i="6"/>
  <c r="F131" i="6"/>
  <c r="E131" i="6"/>
  <c r="D131" i="6"/>
  <c r="M131" i="6" s="1"/>
  <c r="C131" i="6"/>
  <c r="B131" i="6"/>
  <c r="A131" i="6"/>
  <c r="P130" i="6"/>
  <c r="N130" i="6"/>
  <c r="L130" i="6"/>
  <c r="J130" i="6"/>
  <c r="I130" i="6"/>
  <c r="G130" i="6"/>
  <c r="F130" i="6"/>
  <c r="E130" i="6"/>
  <c r="H130" i="6" s="1"/>
  <c r="D130" i="6"/>
  <c r="M130" i="6" s="1"/>
  <c r="C130" i="6"/>
  <c r="B130" i="6"/>
  <c r="A130" i="6"/>
  <c r="P129" i="6"/>
  <c r="N129" i="6"/>
  <c r="M129" i="6"/>
  <c r="L129" i="6"/>
  <c r="K129" i="6"/>
  <c r="J129" i="6"/>
  <c r="I129" i="6"/>
  <c r="G129" i="6"/>
  <c r="F129" i="6"/>
  <c r="E129" i="6"/>
  <c r="H129" i="6" s="1"/>
  <c r="O129" i="6" s="1"/>
  <c r="D129" i="6"/>
  <c r="C129" i="6"/>
  <c r="B129" i="6"/>
  <c r="A129" i="6"/>
  <c r="P128" i="6"/>
  <c r="N128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P127" i="6"/>
  <c r="N127" i="6"/>
  <c r="L127" i="6"/>
  <c r="K127" i="6"/>
  <c r="J127" i="6"/>
  <c r="I127" i="6"/>
  <c r="H127" i="6"/>
  <c r="G127" i="6"/>
  <c r="F127" i="6"/>
  <c r="E127" i="6"/>
  <c r="D127" i="6"/>
  <c r="M127" i="6" s="1"/>
  <c r="C127" i="6"/>
  <c r="B127" i="6"/>
  <c r="A127" i="6"/>
  <c r="P126" i="6"/>
  <c r="N126" i="6"/>
  <c r="M126" i="6"/>
  <c r="L126" i="6"/>
  <c r="J126" i="6"/>
  <c r="I126" i="6"/>
  <c r="H126" i="6"/>
  <c r="G126" i="6"/>
  <c r="F126" i="6"/>
  <c r="O126" i="6" s="1"/>
  <c r="E126" i="6"/>
  <c r="K126" i="6" s="1"/>
  <c r="D126" i="6"/>
  <c r="C126" i="6"/>
  <c r="B126" i="6"/>
  <c r="A126" i="6"/>
  <c r="P125" i="6"/>
  <c r="N125" i="6"/>
  <c r="L125" i="6"/>
  <c r="J125" i="6"/>
  <c r="I125" i="6"/>
  <c r="G125" i="6"/>
  <c r="F125" i="6"/>
  <c r="E125" i="6"/>
  <c r="D125" i="6"/>
  <c r="M125" i="6" s="1"/>
  <c r="C125" i="6"/>
  <c r="B125" i="6"/>
  <c r="A125" i="6"/>
  <c r="P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P123" i="6"/>
  <c r="N123" i="6"/>
  <c r="L123" i="6"/>
  <c r="J123" i="6"/>
  <c r="I123" i="6"/>
  <c r="H123" i="6"/>
  <c r="O123" i="6" s="1"/>
  <c r="G123" i="6"/>
  <c r="F123" i="6"/>
  <c r="E123" i="6"/>
  <c r="K123" i="6" s="1"/>
  <c r="D123" i="6"/>
  <c r="M123" i="6" s="1"/>
  <c r="C123" i="6"/>
  <c r="B123" i="6"/>
  <c r="A123" i="6"/>
  <c r="P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P121" i="6"/>
  <c r="N121" i="6"/>
  <c r="L121" i="6"/>
  <c r="J121" i="6"/>
  <c r="I121" i="6"/>
  <c r="H121" i="6"/>
  <c r="G121" i="6"/>
  <c r="O121" i="6" s="1"/>
  <c r="F121" i="6"/>
  <c r="E121" i="6"/>
  <c r="K121" i="6" s="1"/>
  <c r="D121" i="6"/>
  <c r="M121" i="6" s="1"/>
  <c r="C121" i="6"/>
  <c r="B121" i="6"/>
  <c r="A121" i="6"/>
  <c r="P120" i="6"/>
  <c r="N120" i="6"/>
  <c r="M120" i="6"/>
  <c r="O120" i="6" s="1"/>
  <c r="L120" i="6"/>
  <c r="K120" i="6"/>
  <c r="J120" i="6"/>
  <c r="I120" i="6"/>
  <c r="G120" i="6"/>
  <c r="F120" i="6"/>
  <c r="E120" i="6"/>
  <c r="H120" i="6" s="1"/>
  <c r="D120" i="6"/>
  <c r="C120" i="6"/>
  <c r="B120" i="6"/>
  <c r="A120" i="6"/>
  <c r="P119" i="6"/>
  <c r="N119" i="6"/>
  <c r="L119" i="6"/>
  <c r="J119" i="6"/>
  <c r="I119" i="6"/>
  <c r="H119" i="6"/>
  <c r="G119" i="6"/>
  <c r="F119" i="6"/>
  <c r="O119" i="6" s="1"/>
  <c r="E119" i="6"/>
  <c r="K119" i="6" s="1"/>
  <c r="D119" i="6"/>
  <c r="C119" i="6"/>
  <c r="B119" i="6"/>
  <c r="A119" i="6"/>
  <c r="M119" i="6" s="1"/>
  <c r="P118" i="6"/>
  <c r="N118" i="6"/>
  <c r="M118" i="6"/>
  <c r="L118" i="6"/>
  <c r="K118" i="6"/>
  <c r="J118" i="6"/>
  <c r="I118" i="6"/>
  <c r="G118" i="6"/>
  <c r="F118" i="6"/>
  <c r="E118" i="6"/>
  <c r="H118" i="6" s="1"/>
  <c r="O118" i="6" s="1"/>
  <c r="D118" i="6"/>
  <c r="C118" i="6"/>
  <c r="B118" i="6"/>
  <c r="A118" i="6"/>
  <c r="P117" i="6"/>
  <c r="N117" i="6"/>
  <c r="L117" i="6"/>
  <c r="K117" i="6"/>
  <c r="J117" i="6"/>
  <c r="I117" i="6"/>
  <c r="H117" i="6"/>
  <c r="G117" i="6"/>
  <c r="O117" i="6" s="1"/>
  <c r="F117" i="6"/>
  <c r="E117" i="6"/>
  <c r="D117" i="6"/>
  <c r="M117" i="6" s="1"/>
  <c r="C117" i="6"/>
  <c r="B117" i="6"/>
  <c r="A117" i="6"/>
  <c r="P116" i="6"/>
  <c r="N116" i="6"/>
  <c r="M116" i="6"/>
  <c r="L116" i="6"/>
  <c r="J116" i="6"/>
  <c r="I116" i="6"/>
  <c r="G116" i="6"/>
  <c r="F116" i="6"/>
  <c r="E116" i="6"/>
  <c r="D116" i="6"/>
  <c r="C116" i="6"/>
  <c r="B116" i="6"/>
  <c r="A116" i="6"/>
  <c r="P115" i="6"/>
  <c r="N115" i="6"/>
  <c r="L115" i="6"/>
  <c r="J115" i="6"/>
  <c r="I115" i="6"/>
  <c r="G115" i="6"/>
  <c r="F115" i="6"/>
  <c r="E115" i="6"/>
  <c r="H115" i="6" s="1"/>
  <c r="D115" i="6"/>
  <c r="M115" i="6" s="1"/>
  <c r="C115" i="6"/>
  <c r="B115" i="6"/>
  <c r="A115" i="6"/>
  <c r="P114" i="6"/>
  <c r="N114" i="6"/>
  <c r="M114" i="6"/>
  <c r="L114" i="6"/>
  <c r="K114" i="6"/>
  <c r="J114" i="6"/>
  <c r="I114" i="6"/>
  <c r="G114" i="6"/>
  <c r="F114" i="6"/>
  <c r="E114" i="6"/>
  <c r="H114" i="6" s="1"/>
  <c r="O114" i="6" s="1"/>
  <c r="D114" i="6"/>
  <c r="C114" i="6"/>
  <c r="B114" i="6"/>
  <c r="A114" i="6"/>
  <c r="P113" i="6"/>
  <c r="N113" i="6"/>
  <c r="L113" i="6"/>
  <c r="K113" i="6"/>
  <c r="J113" i="6"/>
  <c r="I113" i="6"/>
  <c r="H113" i="6"/>
  <c r="G113" i="6"/>
  <c r="F113" i="6"/>
  <c r="E113" i="6"/>
  <c r="D113" i="6"/>
  <c r="M113" i="6" s="1"/>
  <c r="C113" i="6"/>
  <c r="B113" i="6"/>
  <c r="A113" i="6"/>
  <c r="P112" i="6"/>
  <c r="N112" i="6"/>
  <c r="L112" i="6"/>
  <c r="K112" i="6"/>
  <c r="J112" i="6"/>
  <c r="I112" i="6"/>
  <c r="H112" i="6"/>
  <c r="G112" i="6"/>
  <c r="F112" i="6"/>
  <c r="E112" i="6"/>
  <c r="D112" i="6"/>
  <c r="M112" i="6" s="1"/>
  <c r="C112" i="6"/>
  <c r="B112" i="6"/>
  <c r="A112" i="6"/>
  <c r="P111" i="6"/>
  <c r="N111" i="6"/>
  <c r="M111" i="6"/>
  <c r="L111" i="6"/>
  <c r="J111" i="6"/>
  <c r="I111" i="6"/>
  <c r="H111" i="6"/>
  <c r="G111" i="6"/>
  <c r="F111" i="6"/>
  <c r="E111" i="6"/>
  <c r="K111" i="6" s="1"/>
  <c r="D111" i="6"/>
  <c r="C111" i="6"/>
  <c r="B111" i="6"/>
  <c r="A111" i="6"/>
  <c r="P110" i="6"/>
  <c r="N110" i="6"/>
  <c r="L110" i="6"/>
  <c r="J110" i="6"/>
  <c r="I110" i="6"/>
  <c r="G110" i="6"/>
  <c r="F110" i="6"/>
  <c r="E110" i="6"/>
  <c r="D110" i="6"/>
  <c r="C110" i="6"/>
  <c r="B110" i="6"/>
  <c r="A110" i="6"/>
  <c r="M110" i="6" s="1"/>
  <c r="P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P108" i="6"/>
  <c r="N108" i="6"/>
  <c r="M108" i="6"/>
  <c r="L108" i="6"/>
  <c r="J108" i="6"/>
  <c r="I108" i="6"/>
  <c r="G108" i="6"/>
  <c r="F108" i="6"/>
  <c r="E108" i="6"/>
  <c r="K108" i="6" s="1"/>
  <c r="D108" i="6"/>
  <c r="C108" i="6"/>
  <c r="B108" i="6"/>
  <c r="A108" i="6"/>
  <c r="P107" i="6"/>
  <c r="N107" i="6"/>
  <c r="L107" i="6"/>
  <c r="K107" i="6"/>
  <c r="J107" i="6"/>
  <c r="I107" i="6"/>
  <c r="H107" i="6"/>
  <c r="G107" i="6"/>
  <c r="F107" i="6"/>
  <c r="E107" i="6"/>
  <c r="D107" i="6"/>
  <c r="M107" i="6" s="1"/>
  <c r="C107" i="6"/>
  <c r="B107" i="6"/>
  <c r="A107" i="6"/>
  <c r="P106" i="6"/>
  <c r="N106" i="6"/>
  <c r="L106" i="6"/>
  <c r="J106" i="6"/>
  <c r="I106" i="6"/>
  <c r="G106" i="6"/>
  <c r="F106" i="6"/>
  <c r="E106" i="6"/>
  <c r="K106" i="6" s="1"/>
  <c r="D106" i="6"/>
  <c r="M106" i="6" s="1"/>
  <c r="C106" i="6"/>
  <c r="B106" i="6"/>
  <c r="A106" i="6"/>
  <c r="P105" i="6"/>
  <c r="N105" i="6"/>
  <c r="M105" i="6"/>
  <c r="L105" i="6"/>
  <c r="K105" i="6"/>
  <c r="J105" i="6"/>
  <c r="I105" i="6"/>
  <c r="O105" i="6" s="1"/>
  <c r="G105" i="6"/>
  <c r="F105" i="6"/>
  <c r="E105" i="6"/>
  <c r="H105" i="6" s="1"/>
  <c r="D105" i="6"/>
  <c r="C105" i="6"/>
  <c r="B105" i="6"/>
  <c r="A105" i="6"/>
  <c r="P104" i="6"/>
  <c r="N104" i="6"/>
  <c r="M104" i="6"/>
  <c r="L104" i="6"/>
  <c r="J104" i="6"/>
  <c r="I104" i="6"/>
  <c r="G104" i="6"/>
  <c r="F104" i="6"/>
  <c r="E104" i="6"/>
  <c r="K104" i="6" s="1"/>
  <c r="D104" i="6"/>
  <c r="C104" i="6"/>
  <c r="B104" i="6"/>
  <c r="A104" i="6"/>
  <c r="P103" i="6"/>
  <c r="N103" i="6"/>
  <c r="M103" i="6"/>
  <c r="L103" i="6"/>
  <c r="J103" i="6"/>
  <c r="I103" i="6"/>
  <c r="G103" i="6"/>
  <c r="F103" i="6"/>
  <c r="E103" i="6"/>
  <c r="H103" i="6" s="1"/>
  <c r="D103" i="6"/>
  <c r="C103" i="6"/>
  <c r="B103" i="6"/>
  <c r="A103" i="6"/>
  <c r="P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P101" i="6"/>
  <c r="N101" i="6"/>
  <c r="M101" i="6"/>
  <c r="L101" i="6"/>
  <c r="J101" i="6"/>
  <c r="I101" i="6"/>
  <c r="G101" i="6"/>
  <c r="F101" i="6"/>
  <c r="E101" i="6"/>
  <c r="K101" i="6" s="1"/>
  <c r="D101" i="6"/>
  <c r="C101" i="6"/>
  <c r="B101" i="6"/>
  <c r="A101" i="6"/>
  <c r="P100" i="6"/>
  <c r="N100" i="6"/>
  <c r="M100" i="6"/>
  <c r="L100" i="6"/>
  <c r="J100" i="6"/>
  <c r="I100" i="6"/>
  <c r="G100" i="6"/>
  <c r="F100" i="6"/>
  <c r="E100" i="6"/>
  <c r="H100" i="6" s="1"/>
  <c r="D100" i="6"/>
  <c r="C100" i="6"/>
  <c r="B100" i="6"/>
  <c r="A100" i="6"/>
  <c r="P99" i="6"/>
  <c r="N99" i="6"/>
  <c r="M99" i="6"/>
  <c r="L99" i="6"/>
  <c r="K99" i="6"/>
  <c r="J99" i="6"/>
  <c r="I99" i="6"/>
  <c r="G99" i="6"/>
  <c r="F99" i="6"/>
  <c r="E99" i="6"/>
  <c r="H99" i="6" s="1"/>
  <c r="O99" i="6" s="1"/>
  <c r="D99" i="6"/>
  <c r="C99" i="6"/>
  <c r="B99" i="6"/>
  <c r="A99" i="6"/>
  <c r="P98" i="6"/>
  <c r="N98" i="6"/>
  <c r="M98" i="6"/>
  <c r="L98" i="6"/>
  <c r="K98" i="6"/>
  <c r="J98" i="6"/>
  <c r="I98" i="6"/>
  <c r="G98" i="6"/>
  <c r="F98" i="6"/>
  <c r="E98" i="6"/>
  <c r="H98" i="6" s="1"/>
  <c r="O98" i="6" s="1"/>
  <c r="D98" i="6"/>
  <c r="C98" i="6"/>
  <c r="B98" i="6"/>
  <c r="A98" i="6"/>
  <c r="P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P96" i="6"/>
  <c r="N96" i="6"/>
  <c r="M96" i="6"/>
  <c r="L96" i="6"/>
  <c r="J96" i="6"/>
  <c r="I96" i="6"/>
  <c r="G96" i="6"/>
  <c r="F96" i="6"/>
  <c r="E96" i="6"/>
  <c r="K96" i="6" s="1"/>
  <c r="D96" i="6"/>
  <c r="C96" i="6"/>
  <c r="B96" i="6"/>
  <c r="A96" i="6"/>
  <c r="P95" i="6"/>
  <c r="N95" i="6"/>
  <c r="L95" i="6"/>
  <c r="K95" i="6"/>
  <c r="J95" i="6"/>
  <c r="I95" i="6"/>
  <c r="G95" i="6"/>
  <c r="F95" i="6"/>
  <c r="E95" i="6"/>
  <c r="H95" i="6" s="1"/>
  <c r="O95" i="6" s="1"/>
  <c r="D95" i="6"/>
  <c r="M95" i="6" s="1"/>
  <c r="C95" i="6"/>
  <c r="B95" i="6"/>
  <c r="A95" i="6"/>
  <c r="P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P93" i="6"/>
  <c r="N93" i="6"/>
  <c r="L93" i="6"/>
  <c r="J93" i="6"/>
  <c r="I93" i="6"/>
  <c r="H93" i="6"/>
  <c r="G93" i="6"/>
  <c r="O93" i="6" s="1"/>
  <c r="F93" i="6"/>
  <c r="E93" i="6"/>
  <c r="K93" i="6" s="1"/>
  <c r="D93" i="6"/>
  <c r="M93" i="6" s="1"/>
  <c r="C93" i="6"/>
  <c r="B93" i="6"/>
  <c r="A93" i="6"/>
  <c r="P92" i="6"/>
  <c r="N92" i="6"/>
  <c r="L92" i="6"/>
  <c r="K92" i="6"/>
  <c r="J92" i="6"/>
  <c r="I92" i="6"/>
  <c r="H92" i="6"/>
  <c r="G92" i="6"/>
  <c r="F92" i="6"/>
  <c r="E92" i="6"/>
  <c r="D92" i="6"/>
  <c r="M92" i="6" s="1"/>
  <c r="C92" i="6"/>
  <c r="B92" i="6"/>
  <c r="A92" i="6"/>
  <c r="P91" i="6"/>
  <c r="N91" i="6"/>
  <c r="L91" i="6"/>
  <c r="J91" i="6"/>
  <c r="I91" i="6"/>
  <c r="H91" i="6"/>
  <c r="G91" i="6"/>
  <c r="F91" i="6"/>
  <c r="E91" i="6"/>
  <c r="K91" i="6" s="1"/>
  <c r="D91" i="6"/>
  <c r="M91" i="6" s="1"/>
  <c r="C91" i="6"/>
  <c r="B91" i="6"/>
  <c r="A91" i="6"/>
  <c r="P90" i="6"/>
  <c r="N90" i="6"/>
  <c r="M90" i="6"/>
  <c r="O90" i="6" s="1"/>
  <c r="L90" i="6"/>
  <c r="K90" i="6"/>
  <c r="J90" i="6"/>
  <c r="I90" i="6"/>
  <c r="G90" i="6"/>
  <c r="F90" i="6"/>
  <c r="E90" i="6"/>
  <c r="H90" i="6" s="1"/>
  <c r="D90" i="6"/>
  <c r="C90" i="6"/>
  <c r="B90" i="6"/>
  <c r="A90" i="6"/>
  <c r="P89" i="6"/>
  <c r="N89" i="6"/>
  <c r="M89" i="6"/>
  <c r="L89" i="6"/>
  <c r="J89" i="6"/>
  <c r="I89" i="6"/>
  <c r="H89" i="6"/>
  <c r="O89" i="6" s="1"/>
  <c r="G89" i="6"/>
  <c r="F89" i="6"/>
  <c r="E89" i="6"/>
  <c r="K89" i="6" s="1"/>
  <c r="D89" i="6"/>
  <c r="C89" i="6"/>
  <c r="B89" i="6"/>
  <c r="A89" i="6"/>
  <c r="P88" i="6"/>
  <c r="N88" i="6"/>
  <c r="L88" i="6"/>
  <c r="J88" i="6"/>
  <c r="I88" i="6"/>
  <c r="G88" i="6"/>
  <c r="F88" i="6"/>
  <c r="E88" i="6"/>
  <c r="H88" i="6" s="1"/>
  <c r="D88" i="6"/>
  <c r="M88" i="6" s="1"/>
  <c r="C88" i="6"/>
  <c r="B88" i="6"/>
  <c r="A88" i="6"/>
  <c r="P87" i="6"/>
  <c r="N87" i="6"/>
  <c r="L87" i="6"/>
  <c r="K87" i="6"/>
  <c r="J87" i="6"/>
  <c r="I87" i="6"/>
  <c r="H87" i="6"/>
  <c r="G87" i="6"/>
  <c r="O87" i="6" s="1"/>
  <c r="F87" i="6"/>
  <c r="E87" i="6"/>
  <c r="D87" i="6"/>
  <c r="M87" i="6" s="1"/>
  <c r="C87" i="6"/>
  <c r="B87" i="6"/>
  <c r="A87" i="6"/>
  <c r="P86" i="6"/>
  <c r="N86" i="6"/>
  <c r="M86" i="6"/>
  <c r="L86" i="6"/>
  <c r="J86" i="6"/>
  <c r="I86" i="6"/>
  <c r="G86" i="6"/>
  <c r="F86" i="6"/>
  <c r="E86" i="6"/>
  <c r="D86" i="6"/>
  <c r="C86" i="6"/>
  <c r="B86" i="6"/>
  <c r="A86" i="6"/>
  <c r="P85" i="6"/>
  <c r="N85" i="6"/>
  <c r="M85" i="6"/>
  <c r="L85" i="6"/>
  <c r="K85" i="6"/>
  <c r="J85" i="6"/>
  <c r="I85" i="6"/>
  <c r="G85" i="6"/>
  <c r="F85" i="6"/>
  <c r="O85" i="6" s="1"/>
  <c r="E85" i="6"/>
  <c r="H85" i="6" s="1"/>
  <c r="D85" i="6"/>
  <c r="C85" i="6"/>
  <c r="B85" i="6"/>
  <c r="A85" i="6"/>
  <c r="P84" i="6"/>
  <c r="N84" i="6"/>
  <c r="M84" i="6"/>
  <c r="L84" i="6"/>
  <c r="J84" i="6"/>
  <c r="I84" i="6"/>
  <c r="H84" i="6"/>
  <c r="G84" i="6"/>
  <c r="O84" i="6" s="1"/>
  <c r="F84" i="6"/>
  <c r="E84" i="6"/>
  <c r="K84" i="6" s="1"/>
  <c r="D84" i="6"/>
  <c r="C84" i="6"/>
  <c r="B84" i="6"/>
  <c r="A84" i="6"/>
  <c r="P83" i="6"/>
  <c r="N83" i="6"/>
  <c r="M83" i="6"/>
  <c r="L83" i="6"/>
  <c r="K83" i="6"/>
  <c r="J83" i="6"/>
  <c r="I83" i="6"/>
  <c r="H83" i="6"/>
  <c r="G83" i="6"/>
  <c r="F83" i="6"/>
  <c r="O83" i="6" s="1"/>
  <c r="E83" i="6"/>
  <c r="D83" i="6"/>
  <c r="C83" i="6"/>
  <c r="B83" i="6"/>
  <c r="A83" i="6"/>
  <c r="P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P81" i="6"/>
  <c r="N81" i="6"/>
  <c r="M81" i="6"/>
  <c r="L81" i="6"/>
  <c r="J81" i="6"/>
  <c r="I81" i="6"/>
  <c r="H81" i="6"/>
  <c r="G81" i="6"/>
  <c r="F81" i="6"/>
  <c r="O81" i="6" s="1"/>
  <c r="E81" i="6"/>
  <c r="K81" i="6" s="1"/>
  <c r="D81" i="6"/>
  <c r="C81" i="6"/>
  <c r="B81" i="6"/>
  <c r="A81" i="6"/>
  <c r="P80" i="6"/>
  <c r="N80" i="6"/>
  <c r="L80" i="6"/>
  <c r="J80" i="6"/>
  <c r="I80" i="6"/>
  <c r="G80" i="6"/>
  <c r="F80" i="6"/>
  <c r="E80" i="6"/>
  <c r="D80" i="6"/>
  <c r="M80" i="6" s="1"/>
  <c r="C80" i="6"/>
  <c r="B80" i="6"/>
  <c r="A80" i="6"/>
  <c r="P79" i="6"/>
  <c r="O79" i="6"/>
  <c r="N79" i="6"/>
  <c r="M79" i="6"/>
  <c r="L79" i="6"/>
  <c r="K79" i="6"/>
  <c r="J79" i="6"/>
  <c r="I79" i="6"/>
  <c r="G79" i="6"/>
  <c r="F79" i="6"/>
  <c r="E79" i="6"/>
  <c r="H79" i="6" s="1"/>
  <c r="D79" i="6"/>
  <c r="C79" i="6"/>
  <c r="B79" i="6"/>
  <c r="A79" i="6"/>
  <c r="P78" i="6"/>
  <c r="N78" i="6"/>
  <c r="M78" i="6"/>
  <c r="L78" i="6"/>
  <c r="K78" i="6"/>
  <c r="J78" i="6"/>
  <c r="I78" i="6"/>
  <c r="H78" i="6"/>
  <c r="G78" i="6"/>
  <c r="F78" i="6"/>
  <c r="O78" i="6" s="1"/>
  <c r="E78" i="6"/>
  <c r="D78" i="6"/>
  <c r="C78" i="6"/>
  <c r="B78" i="6"/>
  <c r="A78" i="6"/>
  <c r="P77" i="6"/>
  <c r="N77" i="6"/>
  <c r="L77" i="6"/>
  <c r="K77" i="6"/>
  <c r="J77" i="6"/>
  <c r="I77" i="6"/>
  <c r="H77" i="6"/>
  <c r="G77" i="6"/>
  <c r="F77" i="6"/>
  <c r="E77" i="6"/>
  <c r="D77" i="6"/>
  <c r="M77" i="6" s="1"/>
  <c r="C77" i="6"/>
  <c r="B77" i="6"/>
  <c r="A77" i="6"/>
  <c r="P76" i="6"/>
  <c r="N76" i="6"/>
  <c r="M76" i="6"/>
  <c r="L76" i="6"/>
  <c r="J76" i="6"/>
  <c r="I76" i="6"/>
  <c r="G76" i="6"/>
  <c r="F76" i="6"/>
  <c r="E76" i="6"/>
  <c r="K76" i="6" s="1"/>
  <c r="D76" i="6"/>
  <c r="C76" i="6"/>
  <c r="B76" i="6"/>
  <c r="A76" i="6"/>
  <c r="P75" i="6"/>
  <c r="N75" i="6"/>
  <c r="L75" i="6"/>
  <c r="K75" i="6"/>
  <c r="J75" i="6"/>
  <c r="I75" i="6"/>
  <c r="G75" i="6"/>
  <c r="F75" i="6"/>
  <c r="E75" i="6"/>
  <c r="H75" i="6" s="1"/>
  <c r="D75" i="6"/>
  <c r="M75" i="6" s="1"/>
  <c r="O75" i="6" s="1"/>
  <c r="C75" i="6"/>
  <c r="B75" i="6"/>
  <c r="A75" i="6"/>
  <c r="P74" i="6"/>
  <c r="N74" i="6"/>
  <c r="L74" i="6"/>
  <c r="J74" i="6"/>
  <c r="I74" i="6"/>
  <c r="H74" i="6"/>
  <c r="G74" i="6"/>
  <c r="F74" i="6"/>
  <c r="E74" i="6"/>
  <c r="K74" i="6" s="1"/>
  <c r="D74" i="6"/>
  <c r="C74" i="6"/>
  <c r="B74" i="6"/>
  <c r="A74" i="6"/>
  <c r="M74" i="6" s="1"/>
  <c r="P73" i="6"/>
  <c r="N73" i="6"/>
  <c r="L73" i="6"/>
  <c r="K73" i="6"/>
  <c r="J73" i="6"/>
  <c r="I73" i="6"/>
  <c r="G73" i="6"/>
  <c r="F73" i="6"/>
  <c r="E73" i="6"/>
  <c r="H73" i="6" s="1"/>
  <c r="D73" i="6"/>
  <c r="M73" i="6" s="1"/>
  <c r="C73" i="6"/>
  <c r="B73" i="6"/>
  <c r="A73" i="6"/>
  <c r="P72" i="6"/>
  <c r="N72" i="6"/>
  <c r="L72" i="6"/>
  <c r="K72" i="6"/>
  <c r="J72" i="6"/>
  <c r="I72" i="6"/>
  <c r="H72" i="6"/>
  <c r="G72" i="6"/>
  <c r="O72" i="6" s="1"/>
  <c r="F72" i="6"/>
  <c r="E72" i="6"/>
  <c r="D72" i="6"/>
  <c r="M72" i="6" s="1"/>
  <c r="C72" i="6"/>
  <c r="B72" i="6"/>
  <c r="A72" i="6"/>
  <c r="P71" i="6"/>
  <c r="N71" i="6"/>
  <c r="M71" i="6"/>
  <c r="L71" i="6"/>
  <c r="J71" i="6"/>
  <c r="I71" i="6"/>
  <c r="G71" i="6"/>
  <c r="F71" i="6"/>
  <c r="E71" i="6"/>
  <c r="D71" i="6"/>
  <c r="C71" i="6"/>
  <c r="B71" i="6"/>
  <c r="A71" i="6"/>
  <c r="P70" i="6"/>
  <c r="N70" i="6"/>
  <c r="M70" i="6"/>
  <c r="L70" i="6"/>
  <c r="K70" i="6"/>
  <c r="J70" i="6"/>
  <c r="I70" i="6"/>
  <c r="G70" i="6"/>
  <c r="F70" i="6"/>
  <c r="O70" i="6" s="1"/>
  <c r="E70" i="6"/>
  <c r="H70" i="6" s="1"/>
  <c r="D70" i="6"/>
  <c r="C70" i="6"/>
  <c r="B70" i="6"/>
  <c r="A70" i="6"/>
  <c r="P69" i="6"/>
  <c r="N69" i="6"/>
  <c r="M69" i="6"/>
  <c r="L69" i="6"/>
  <c r="J69" i="6"/>
  <c r="I69" i="6"/>
  <c r="H69" i="6"/>
  <c r="G69" i="6"/>
  <c r="O69" i="6" s="1"/>
  <c r="F69" i="6"/>
  <c r="E69" i="6"/>
  <c r="K69" i="6" s="1"/>
  <c r="D69" i="6"/>
  <c r="C69" i="6"/>
  <c r="B69" i="6"/>
  <c r="A69" i="6"/>
  <c r="P68" i="6"/>
  <c r="N68" i="6"/>
  <c r="M68" i="6"/>
  <c r="L68" i="6"/>
  <c r="K68" i="6"/>
  <c r="J68" i="6"/>
  <c r="I68" i="6"/>
  <c r="H68" i="6"/>
  <c r="G68" i="6"/>
  <c r="F68" i="6"/>
  <c r="O68" i="6" s="1"/>
  <c r="E68" i="6"/>
  <c r="D68" i="6"/>
  <c r="C68" i="6"/>
  <c r="B68" i="6"/>
  <c r="A68" i="6"/>
  <c r="P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P66" i="6"/>
  <c r="N66" i="6"/>
  <c r="M66" i="6"/>
  <c r="L66" i="6"/>
  <c r="J66" i="6"/>
  <c r="I66" i="6"/>
  <c r="H66" i="6"/>
  <c r="G66" i="6"/>
  <c r="F66" i="6"/>
  <c r="O66" i="6" s="1"/>
  <c r="E66" i="6"/>
  <c r="K66" i="6" s="1"/>
  <c r="D66" i="6"/>
  <c r="C66" i="6"/>
  <c r="B66" i="6"/>
  <c r="A66" i="6"/>
  <c r="P65" i="6"/>
  <c r="N65" i="6"/>
  <c r="L65" i="6"/>
  <c r="J65" i="6"/>
  <c r="I65" i="6"/>
  <c r="G65" i="6"/>
  <c r="F65" i="6"/>
  <c r="E65" i="6"/>
  <c r="D65" i="6"/>
  <c r="C65" i="6"/>
  <c r="B65" i="6"/>
  <c r="A65" i="6"/>
  <c r="P64" i="6"/>
  <c r="O64" i="6"/>
  <c r="N64" i="6"/>
  <c r="M64" i="6"/>
  <c r="L64" i="6"/>
  <c r="K64" i="6"/>
  <c r="J64" i="6"/>
  <c r="I64" i="6"/>
  <c r="G64" i="6"/>
  <c r="F64" i="6"/>
  <c r="E64" i="6"/>
  <c r="H64" i="6" s="1"/>
  <c r="D64" i="6"/>
  <c r="C64" i="6"/>
  <c r="B64" i="6"/>
  <c r="A64" i="6"/>
  <c r="P63" i="6"/>
  <c r="N63" i="6"/>
  <c r="M63" i="6"/>
  <c r="L63" i="6"/>
  <c r="K63" i="6"/>
  <c r="J63" i="6"/>
  <c r="I63" i="6"/>
  <c r="H63" i="6"/>
  <c r="G63" i="6"/>
  <c r="F63" i="6"/>
  <c r="O63" i="6" s="1"/>
  <c r="E63" i="6"/>
  <c r="D63" i="6"/>
  <c r="C63" i="6"/>
  <c r="B63" i="6"/>
  <c r="A63" i="6"/>
  <c r="P62" i="6"/>
  <c r="N62" i="6"/>
  <c r="L62" i="6"/>
  <c r="K62" i="6"/>
  <c r="J62" i="6"/>
  <c r="I62" i="6"/>
  <c r="H62" i="6"/>
  <c r="G62" i="6"/>
  <c r="F62" i="6"/>
  <c r="E62" i="6"/>
  <c r="D62" i="6"/>
  <c r="M62" i="6" s="1"/>
  <c r="C62" i="6"/>
  <c r="B62" i="6"/>
  <c r="A62" i="6"/>
  <c r="P61" i="6"/>
  <c r="N61" i="6"/>
  <c r="M61" i="6"/>
  <c r="L61" i="6"/>
  <c r="J61" i="6"/>
  <c r="I61" i="6"/>
  <c r="G61" i="6"/>
  <c r="F61" i="6"/>
  <c r="E61" i="6"/>
  <c r="K61" i="6" s="1"/>
  <c r="D61" i="6"/>
  <c r="C61" i="6"/>
  <c r="B61" i="6"/>
  <c r="A61" i="6"/>
  <c r="P60" i="6"/>
  <c r="N60" i="6"/>
  <c r="L60" i="6"/>
  <c r="K60" i="6"/>
  <c r="J60" i="6"/>
  <c r="I60" i="6"/>
  <c r="G60" i="6"/>
  <c r="F60" i="6"/>
  <c r="E60" i="6"/>
  <c r="H60" i="6" s="1"/>
  <c r="D60" i="6"/>
  <c r="M60" i="6" s="1"/>
  <c r="O60" i="6" s="1"/>
  <c r="C60" i="6"/>
  <c r="B60" i="6"/>
  <c r="A60" i="6"/>
  <c r="P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P58" i="6"/>
  <c r="N58" i="6"/>
  <c r="L58" i="6"/>
  <c r="J58" i="6"/>
  <c r="I58" i="6"/>
  <c r="G58" i="6"/>
  <c r="F58" i="6"/>
  <c r="E58" i="6"/>
  <c r="K58" i="6" s="1"/>
  <c r="D58" i="6"/>
  <c r="M58" i="6" s="1"/>
  <c r="C58" i="6"/>
  <c r="B58" i="6"/>
  <c r="A58" i="6"/>
  <c r="P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P56" i="6"/>
  <c r="N56" i="6"/>
  <c r="L56" i="6"/>
  <c r="J56" i="6"/>
  <c r="I56" i="6"/>
  <c r="G56" i="6"/>
  <c r="F56" i="6"/>
  <c r="E56" i="6"/>
  <c r="K56" i="6" s="1"/>
  <c r="D56" i="6"/>
  <c r="M56" i="6" s="1"/>
  <c r="C56" i="6"/>
  <c r="B56" i="6"/>
  <c r="A56" i="6"/>
  <c r="P55" i="6"/>
  <c r="N55" i="6"/>
  <c r="M55" i="6"/>
  <c r="L55" i="6"/>
  <c r="J55" i="6"/>
  <c r="I55" i="6"/>
  <c r="G55" i="6"/>
  <c r="F55" i="6"/>
  <c r="E55" i="6"/>
  <c r="H55" i="6" s="1"/>
  <c r="D55" i="6"/>
  <c r="C55" i="6"/>
  <c r="B55" i="6"/>
  <c r="A55" i="6"/>
  <c r="P54" i="6"/>
  <c r="N54" i="6"/>
  <c r="M54" i="6"/>
  <c r="L54" i="6"/>
  <c r="K54" i="6"/>
  <c r="J54" i="6"/>
  <c r="I54" i="6"/>
  <c r="G54" i="6"/>
  <c r="F54" i="6"/>
  <c r="E54" i="6"/>
  <c r="H54" i="6" s="1"/>
  <c r="D54" i="6"/>
  <c r="C54" i="6"/>
  <c r="B54" i="6"/>
  <c r="A54" i="6"/>
  <c r="P53" i="6"/>
  <c r="N53" i="6"/>
  <c r="M53" i="6"/>
  <c r="L53" i="6"/>
  <c r="J53" i="6"/>
  <c r="I53" i="6"/>
  <c r="G53" i="6"/>
  <c r="F53" i="6"/>
  <c r="E53" i="6"/>
  <c r="H53" i="6" s="1"/>
  <c r="D53" i="6"/>
  <c r="C53" i="6"/>
  <c r="B53" i="6"/>
  <c r="A53" i="6"/>
  <c r="P52" i="6"/>
  <c r="N52" i="6"/>
  <c r="L52" i="6"/>
  <c r="K52" i="6"/>
  <c r="J52" i="6"/>
  <c r="I52" i="6"/>
  <c r="H52" i="6"/>
  <c r="G52" i="6"/>
  <c r="F52" i="6"/>
  <c r="E52" i="6"/>
  <c r="D52" i="6"/>
  <c r="M52" i="6" s="1"/>
  <c r="C52" i="6"/>
  <c r="B52" i="6"/>
  <c r="A52" i="6"/>
  <c r="P51" i="6"/>
  <c r="N51" i="6"/>
  <c r="L51" i="6"/>
  <c r="J51" i="6"/>
  <c r="I51" i="6"/>
  <c r="G51" i="6"/>
  <c r="F51" i="6"/>
  <c r="E51" i="6"/>
  <c r="D51" i="6"/>
  <c r="M51" i="6" s="1"/>
  <c r="C51" i="6"/>
  <c r="B51" i="6"/>
  <c r="A51" i="6"/>
  <c r="P50" i="6"/>
  <c r="N50" i="6"/>
  <c r="M50" i="6"/>
  <c r="L50" i="6"/>
  <c r="K50" i="6"/>
  <c r="J50" i="6"/>
  <c r="O50" i="6" s="1"/>
  <c r="I50" i="6"/>
  <c r="G50" i="6"/>
  <c r="F50" i="6"/>
  <c r="E50" i="6"/>
  <c r="H50" i="6" s="1"/>
  <c r="D50" i="6"/>
  <c r="C50" i="6"/>
  <c r="B50" i="6"/>
  <c r="A50" i="6"/>
  <c r="P49" i="6"/>
  <c r="N49" i="6"/>
  <c r="M49" i="6"/>
  <c r="L49" i="6"/>
  <c r="J49" i="6"/>
  <c r="I49" i="6"/>
  <c r="H49" i="6"/>
  <c r="O49" i="6" s="1"/>
  <c r="G49" i="6"/>
  <c r="F49" i="6"/>
  <c r="E49" i="6"/>
  <c r="K49" i="6" s="1"/>
  <c r="D49" i="6"/>
  <c r="C49" i="6"/>
  <c r="B49" i="6"/>
  <c r="A49" i="6"/>
  <c r="P48" i="6"/>
  <c r="N48" i="6"/>
  <c r="L48" i="6"/>
  <c r="K48" i="6"/>
  <c r="J48" i="6"/>
  <c r="I48" i="6"/>
  <c r="H48" i="6"/>
  <c r="G48" i="6"/>
  <c r="F48" i="6"/>
  <c r="E48" i="6"/>
  <c r="D48" i="6"/>
  <c r="M48" i="6" s="1"/>
  <c r="C48" i="6"/>
  <c r="B48" i="6"/>
  <c r="A48" i="6"/>
  <c r="P47" i="6"/>
  <c r="N47" i="6"/>
  <c r="L47" i="6"/>
  <c r="K47" i="6"/>
  <c r="J47" i="6"/>
  <c r="I47" i="6"/>
  <c r="H47" i="6"/>
  <c r="G47" i="6"/>
  <c r="F47" i="6"/>
  <c r="E47" i="6"/>
  <c r="D47" i="6"/>
  <c r="M47" i="6" s="1"/>
  <c r="C47" i="6"/>
  <c r="B47" i="6"/>
  <c r="A47" i="6"/>
  <c r="P46" i="6"/>
  <c r="N46" i="6"/>
  <c r="M46" i="6"/>
  <c r="L46" i="6"/>
  <c r="J46" i="6"/>
  <c r="I46" i="6"/>
  <c r="O46" i="6" s="1"/>
  <c r="H46" i="6"/>
  <c r="G46" i="6"/>
  <c r="F46" i="6"/>
  <c r="E46" i="6"/>
  <c r="K46" i="6" s="1"/>
  <c r="D46" i="6"/>
  <c r="C46" i="6"/>
  <c r="B46" i="6"/>
  <c r="A46" i="6"/>
  <c r="P45" i="6"/>
  <c r="N45" i="6"/>
  <c r="L45" i="6"/>
  <c r="J45" i="6"/>
  <c r="I45" i="6"/>
  <c r="G45" i="6"/>
  <c r="F45" i="6"/>
  <c r="E45" i="6"/>
  <c r="D45" i="6"/>
  <c r="M45" i="6" s="1"/>
  <c r="C45" i="6"/>
  <c r="B45" i="6"/>
  <c r="A45" i="6"/>
  <c r="P44" i="6"/>
  <c r="N44" i="6"/>
  <c r="M44" i="6"/>
  <c r="L44" i="6"/>
  <c r="K44" i="6"/>
  <c r="J44" i="6"/>
  <c r="I44" i="6"/>
  <c r="H44" i="6"/>
  <c r="O44" i="6" s="1"/>
  <c r="G44" i="6"/>
  <c r="F44" i="6"/>
  <c r="E44" i="6"/>
  <c r="D44" i="6"/>
  <c r="C44" i="6"/>
  <c r="B44" i="6"/>
  <c r="A44" i="6"/>
  <c r="P43" i="6"/>
  <c r="N43" i="6"/>
  <c r="L43" i="6"/>
  <c r="J43" i="6"/>
  <c r="I43" i="6"/>
  <c r="H43" i="6"/>
  <c r="O43" i="6" s="1"/>
  <c r="G43" i="6"/>
  <c r="F43" i="6"/>
  <c r="E43" i="6"/>
  <c r="K43" i="6" s="1"/>
  <c r="D43" i="6"/>
  <c r="M43" i="6" s="1"/>
  <c r="C43" i="6"/>
  <c r="B43" i="6"/>
  <c r="A43" i="6"/>
  <c r="P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P41" i="6"/>
  <c r="N41" i="6"/>
  <c r="L41" i="6"/>
  <c r="J41" i="6"/>
  <c r="I41" i="6"/>
  <c r="H41" i="6"/>
  <c r="G41" i="6"/>
  <c r="O41" i="6" s="1"/>
  <c r="F41" i="6"/>
  <c r="E41" i="6"/>
  <c r="K41" i="6" s="1"/>
  <c r="D41" i="6"/>
  <c r="M41" i="6" s="1"/>
  <c r="C41" i="6"/>
  <c r="B41" i="6"/>
  <c r="A41" i="6"/>
  <c r="P40" i="6"/>
  <c r="N40" i="6"/>
  <c r="M40" i="6"/>
  <c r="L40" i="6"/>
  <c r="K40" i="6"/>
  <c r="J40" i="6"/>
  <c r="O40" i="6" s="1"/>
  <c r="I40" i="6"/>
  <c r="G40" i="6"/>
  <c r="F40" i="6"/>
  <c r="E40" i="6"/>
  <c r="H40" i="6" s="1"/>
  <c r="D40" i="6"/>
  <c r="C40" i="6"/>
  <c r="B40" i="6"/>
  <c r="A40" i="6"/>
  <c r="P39" i="6"/>
  <c r="N39" i="6"/>
  <c r="M39" i="6"/>
  <c r="L39" i="6"/>
  <c r="J39" i="6"/>
  <c r="I39" i="6"/>
  <c r="H39" i="6"/>
  <c r="G39" i="6"/>
  <c r="O39" i="6" s="1"/>
  <c r="F39" i="6"/>
  <c r="E39" i="6"/>
  <c r="K39" i="6" s="1"/>
  <c r="D39" i="6"/>
  <c r="C39" i="6"/>
  <c r="B39" i="6"/>
  <c r="A39" i="6"/>
  <c r="P38" i="6"/>
  <c r="N38" i="6"/>
  <c r="M38" i="6"/>
  <c r="L38" i="6"/>
  <c r="J38" i="6"/>
  <c r="I38" i="6"/>
  <c r="G38" i="6"/>
  <c r="F38" i="6"/>
  <c r="E38" i="6"/>
  <c r="H38" i="6" s="1"/>
  <c r="D38" i="6"/>
  <c r="C38" i="6"/>
  <c r="B38" i="6"/>
  <c r="A38" i="6"/>
  <c r="P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P36" i="6"/>
  <c r="N36" i="6"/>
  <c r="L36" i="6"/>
  <c r="J36" i="6"/>
  <c r="I36" i="6"/>
  <c r="G36" i="6"/>
  <c r="F36" i="6"/>
  <c r="E36" i="6"/>
  <c r="K36" i="6" s="1"/>
  <c r="D36" i="6"/>
  <c r="M36" i="6" s="1"/>
  <c r="C36" i="6"/>
  <c r="B36" i="6"/>
  <c r="A36" i="6"/>
  <c r="P35" i="6"/>
  <c r="N35" i="6"/>
  <c r="M35" i="6"/>
  <c r="L35" i="6"/>
  <c r="J35" i="6"/>
  <c r="I35" i="6"/>
  <c r="G35" i="6"/>
  <c r="F35" i="6"/>
  <c r="E35" i="6"/>
  <c r="H35" i="6" s="1"/>
  <c r="D35" i="6"/>
  <c r="C35" i="6"/>
  <c r="B35" i="6"/>
  <c r="A35" i="6"/>
  <c r="P34" i="6"/>
  <c r="O34" i="6"/>
  <c r="N34" i="6"/>
  <c r="M34" i="6"/>
  <c r="L34" i="6"/>
  <c r="K34" i="6"/>
  <c r="J34" i="6"/>
  <c r="I34" i="6"/>
  <c r="G34" i="6"/>
  <c r="F34" i="6"/>
  <c r="E34" i="6"/>
  <c r="H34" i="6" s="1"/>
  <c r="D34" i="6"/>
  <c r="C34" i="6"/>
  <c r="B34" i="6"/>
  <c r="A34" i="6"/>
  <c r="P33" i="6"/>
  <c r="N33" i="6"/>
  <c r="M33" i="6"/>
  <c r="L33" i="6"/>
  <c r="J33" i="6"/>
  <c r="I33" i="6"/>
  <c r="H33" i="6"/>
  <c r="O33" i="6" s="1"/>
  <c r="G33" i="6"/>
  <c r="F33" i="6"/>
  <c r="E33" i="6"/>
  <c r="K33" i="6" s="1"/>
  <c r="D33" i="6"/>
  <c r="C33" i="6"/>
  <c r="B33" i="6"/>
  <c r="A33" i="6"/>
  <c r="P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P31" i="6"/>
  <c r="N31" i="6"/>
  <c r="M31" i="6"/>
  <c r="L31" i="6"/>
  <c r="J31" i="6"/>
  <c r="I31" i="6"/>
  <c r="H31" i="6"/>
  <c r="G31" i="6"/>
  <c r="O31" i="6" s="1"/>
  <c r="F31" i="6"/>
  <c r="E31" i="6"/>
  <c r="K31" i="6" s="1"/>
  <c r="D31" i="6"/>
  <c r="C31" i="6"/>
  <c r="B31" i="6"/>
  <c r="A31" i="6"/>
  <c r="P30" i="6"/>
  <c r="N30" i="6"/>
  <c r="M30" i="6"/>
  <c r="O30" i="6" s="1"/>
  <c r="L30" i="6"/>
  <c r="K30" i="6"/>
  <c r="J30" i="6"/>
  <c r="I30" i="6"/>
  <c r="G30" i="6"/>
  <c r="F30" i="6"/>
  <c r="E30" i="6"/>
  <c r="H30" i="6" s="1"/>
  <c r="D30" i="6"/>
  <c r="C30" i="6"/>
  <c r="B30" i="6"/>
  <c r="A30" i="6"/>
  <c r="P29" i="6"/>
  <c r="N29" i="6"/>
  <c r="L29" i="6"/>
  <c r="J29" i="6"/>
  <c r="I29" i="6"/>
  <c r="H29" i="6"/>
  <c r="G29" i="6"/>
  <c r="F29" i="6"/>
  <c r="E29" i="6"/>
  <c r="K29" i="6" s="1"/>
  <c r="D29" i="6"/>
  <c r="C29" i="6"/>
  <c r="B29" i="6"/>
  <c r="A29" i="6"/>
  <c r="M29" i="6" s="1"/>
  <c r="P28" i="6"/>
  <c r="N28" i="6"/>
  <c r="L28" i="6"/>
  <c r="K28" i="6"/>
  <c r="J28" i="6"/>
  <c r="I28" i="6"/>
  <c r="H28" i="6"/>
  <c r="O28" i="6" s="1"/>
  <c r="G28" i="6"/>
  <c r="F28" i="6"/>
  <c r="E28" i="6"/>
  <c r="D28" i="6"/>
  <c r="M28" i="6" s="1"/>
  <c r="C28" i="6"/>
  <c r="B28" i="6"/>
  <c r="A28" i="6"/>
  <c r="P27" i="6"/>
  <c r="N27" i="6"/>
  <c r="L27" i="6"/>
  <c r="K27" i="6"/>
  <c r="J27" i="6"/>
  <c r="I27" i="6"/>
  <c r="H27" i="6"/>
  <c r="G27" i="6"/>
  <c r="F27" i="6"/>
  <c r="E27" i="6"/>
  <c r="D27" i="6"/>
  <c r="M27" i="6" s="1"/>
  <c r="C27" i="6"/>
  <c r="B27" i="6"/>
  <c r="A27" i="6"/>
  <c r="P26" i="6"/>
  <c r="N26" i="6"/>
  <c r="L26" i="6"/>
  <c r="J26" i="6"/>
  <c r="I26" i="6"/>
  <c r="H26" i="6"/>
  <c r="O26" i="6" s="1"/>
  <c r="G26" i="6"/>
  <c r="F26" i="6"/>
  <c r="E26" i="6"/>
  <c r="K26" i="6" s="1"/>
  <c r="D26" i="6"/>
  <c r="M26" i="6" s="1"/>
  <c r="C26" i="6"/>
  <c r="B26" i="6"/>
  <c r="A26" i="6"/>
  <c r="P25" i="6"/>
  <c r="N25" i="6"/>
  <c r="M25" i="6"/>
  <c r="L25" i="6"/>
  <c r="K25" i="6"/>
  <c r="J25" i="6"/>
  <c r="I25" i="6"/>
  <c r="G25" i="6"/>
  <c r="F25" i="6"/>
  <c r="O25" i="6" s="1"/>
  <c r="E25" i="6"/>
  <c r="H25" i="6" s="1"/>
  <c r="D25" i="6"/>
  <c r="C25" i="6"/>
  <c r="B25" i="6"/>
  <c r="A25" i="6"/>
  <c r="P24" i="6"/>
  <c r="N24" i="6"/>
  <c r="M24" i="6"/>
  <c r="L24" i="6"/>
  <c r="J24" i="6"/>
  <c r="I24" i="6"/>
  <c r="H24" i="6"/>
  <c r="G24" i="6"/>
  <c r="O24" i="6" s="1"/>
  <c r="F24" i="6"/>
  <c r="E24" i="6"/>
  <c r="K24" i="6" s="1"/>
  <c r="D24" i="6"/>
  <c r="C24" i="6"/>
  <c r="B24" i="6"/>
  <c r="A24" i="6"/>
  <c r="P23" i="6"/>
  <c r="N23" i="6"/>
  <c r="L23" i="6"/>
  <c r="J23" i="6"/>
  <c r="I23" i="6"/>
  <c r="H23" i="6"/>
  <c r="G23" i="6"/>
  <c r="F23" i="6"/>
  <c r="O23" i="6" s="1"/>
  <c r="E23" i="6"/>
  <c r="K23" i="6" s="1"/>
  <c r="D23" i="6"/>
  <c r="M23" i="6" s="1"/>
  <c r="C23" i="6"/>
  <c r="B23" i="6"/>
  <c r="A23" i="6"/>
  <c r="P22" i="6"/>
  <c r="N22" i="6"/>
  <c r="L22" i="6"/>
  <c r="K22" i="6"/>
  <c r="J22" i="6"/>
  <c r="I22" i="6"/>
  <c r="H22" i="6"/>
  <c r="G22" i="6"/>
  <c r="F22" i="6"/>
  <c r="E22" i="6"/>
  <c r="D22" i="6"/>
  <c r="M22" i="6" s="1"/>
  <c r="C22" i="6"/>
  <c r="B22" i="6"/>
  <c r="A22" i="6"/>
  <c r="P21" i="6"/>
  <c r="N21" i="6"/>
  <c r="M21" i="6"/>
  <c r="L21" i="6"/>
  <c r="J21" i="6"/>
  <c r="I21" i="6"/>
  <c r="H21" i="6"/>
  <c r="G21" i="6"/>
  <c r="F21" i="6"/>
  <c r="O21" i="6" s="1"/>
  <c r="E21" i="6"/>
  <c r="K21" i="6" s="1"/>
  <c r="D21" i="6"/>
  <c r="C21" i="6"/>
  <c r="B21" i="6"/>
  <c r="A21" i="6"/>
  <c r="P20" i="6"/>
  <c r="N20" i="6"/>
  <c r="M20" i="6"/>
  <c r="L20" i="6"/>
  <c r="K20" i="6"/>
  <c r="J20" i="6"/>
  <c r="I20" i="6"/>
  <c r="G20" i="6"/>
  <c r="F20" i="6"/>
  <c r="E20" i="6"/>
  <c r="H20" i="6" s="1"/>
  <c r="D20" i="6"/>
  <c r="C20" i="6"/>
  <c r="B20" i="6"/>
  <c r="A20" i="6"/>
  <c r="P19" i="6"/>
  <c r="N19" i="6"/>
  <c r="M19" i="6"/>
  <c r="L19" i="6"/>
  <c r="J19" i="6"/>
  <c r="I19" i="6"/>
  <c r="H19" i="6"/>
  <c r="G19" i="6"/>
  <c r="F19" i="6"/>
  <c r="E19" i="6"/>
  <c r="K19" i="6" s="1"/>
  <c r="D19" i="6"/>
  <c r="C19" i="6"/>
  <c r="B19" i="6"/>
  <c r="A19" i="6"/>
  <c r="P18" i="6"/>
  <c r="N18" i="6"/>
  <c r="M18" i="6"/>
  <c r="L18" i="6"/>
  <c r="K18" i="6"/>
  <c r="J18" i="6"/>
  <c r="I18" i="6"/>
  <c r="G18" i="6"/>
  <c r="O18" i="6" s="1"/>
  <c r="F18" i="6"/>
  <c r="E18" i="6"/>
  <c r="H18" i="6" s="1"/>
  <c r="D18" i="6"/>
  <c r="C18" i="6"/>
  <c r="B18" i="6"/>
  <c r="A18" i="6"/>
  <c r="P17" i="6"/>
  <c r="N17" i="6"/>
  <c r="M17" i="6"/>
  <c r="L17" i="6"/>
  <c r="J17" i="6"/>
  <c r="I17" i="6"/>
  <c r="H17" i="6"/>
  <c r="G17" i="6"/>
  <c r="F17" i="6"/>
  <c r="E17" i="6"/>
  <c r="K17" i="6" s="1"/>
  <c r="D17" i="6"/>
  <c r="C17" i="6"/>
  <c r="B17" i="6"/>
  <c r="A17" i="6"/>
  <c r="P16" i="6"/>
  <c r="N16" i="6"/>
  <c r="M16" i="6"/>
  <c r="O16" i="6" s="1"/>
  <c r="L16" i="6"/>
  <c r="K16" i="6"/>
  <c r="J16" i="6"/>
  <c r="I16" i="6"/>
  <c r="G16" i="6"/>
  <c r="F16" i="6"/>
  <c r="E16" i="6"/>
  <c r="H16" i="6" s="1"/>
  <c r="D16" i="6"/>
  <c r="C16" i="6"/>
  <c r="B16" i="6"/>
  <c r="A16" i="6"/>
  <c r="P15" i="6"/>
  <c r="N15" i="6"/>
  <c r="L15" i="6"/>
  <c r="K15" i="6"/>
  <c r="J15" i="6"/>
  <c r="I15" i="6"/>
  <c r="G15" i="6"/>
  <c r="O15" i="6" s="1"/>
  <c r="F15" i="6"/>
  <c r="E15" i="6"/>
  <c r="H15" i="6" s="1"/>
  <c r="D15" i="6"/>
  <c r="M15" i="6" s="1"/>
  <c r="C15" i="6"/>
  <c r="B15" i="6"/>
  <c r="A15" i="6"/>
  <c r="P14" i="6"/>
  <c r="N14" i="6"/>
  <c r="M14" i="6"/>
  <c r="O14" i="6" s="1"/>
  <c r="L14" i="6"/>
  <c r="J14" i="6"/>
  <c r="I14" i="6"/>
  <c r="H14" i="6"/>
  <c r="G14" i="6"/>
  <c r="F14" i="6"/>
  <c r="E14" i="6"/>
  <c r="K14" i="6" s="1"/>
  <c r="D14" i="6"/>
  <c r="C14" i="6"/>
  <c r="B14" i="6"/>
  <c r="A14" i="6"/>
  <c r="P13" i="6"/>
  <c r="N13" i="6"/>
  <c r="L13" i="6"/>
  <c r="K13" i="6"/>
  <c r="J13" i="6"/>
  <c r="I13" i="6"/>
  <c r="H13" i="6"/>
  <c r="G13" i="6"/>
  <c r="F13" i="6"/>
  <c r="E13" i="6"/>
  <c r="D13" i="6"/>
  <c r="M13" i="6" s="1"/>
  <c r="C13" i="6"/>
  <c r="B13" i="6"/>
  <c r="A13" i="6"/>
  <c r="P12" i="6"/>
  <c r="N12" i="6"/>
  <c r="L12" i="6"/>
  <c r="J12" i="6"/>
  <c r="I12" i="6"/>
  <c r="H12" i="6"/>
  <c r="O12" i="6" s="1"/>
  <c r="G12" i="6"/>
  <c r="F12" i="6"/>
  <c r="E12" i="6"/>
  <c r="K12" i="6" s="1"/>
  <c r="D12" i="6"/>
  <c r="M12" i="6" s="1"/>
  <c r="C12" i="6"/>
  <c r="B12" i="6"/>
  <c r="A12" i="6"/>
  <c r="P11" i="6"/>
  <c r="N11" i="6"/>
  <c r="L11" i="6"/>
  <c r="J11" i="6"/>
  <c r="I11" i="6"/>
  <c r="H11" i="6"/>
  <c r="G11" i="6"/>
  <c r="F11" i="6"/>
  <c r="E11" i="6"/>
  <c r="K11" i="6" s="1"/>
  <c r="D11" i="6"/>
  <c r="M11" i="6" s="1"/>
  <c r="C11" i="6"/>
  <c r="B11" i="6"/>
  <c r="A11" i="6"/>
  <c r="P10" i="6"/>
  <c r="N10" i="6"/>
  <c r="M10" i="6"/>
  <c r="L10" i="6"/>
  <c r="K10" i="6"/>
  <c r="J10" i="6"/>
  <c r="I10" i="6"/>
  <c r="G10" i="6"/>
  <c r="F10" i="6"/>
  <c r="E10" i="6"/>
  <c r="H10" i="6" s="1"/>
  <c r="D10" i="6"/>
  <c r="C10" i="6"/>
  <c r="B10" i="6"/>
  <c r="A10" i="6"/>
  <c r="P9" i="6"/>
  <c r="N9" i="6"/>
  <c r="M9" i="6"/>
  <c r="L9" i="6"/>
  <c r="J9" i="6"/>
  <c r="I9" i="6"/>
  <c r="G9" i="6"/>
  <c r="F9" i="6"/>
  <c r="E9" i="6"/>
  <c r="H9" i="6" s="1"/>
  <c r="D9" i="6"/>
  <c r="C9" i="6"/>
  <c r="B9" i="6"/>
  <c r="A9" i="6"/>
  <c r="P8" i="6"/>
  <c r="N8" i="6"/>
  <c r="M8" i="6"/>
  <c r="L8" i="6"/>
  <c r="K8" i="6"/>
  <c r="J8" i="6"/>
  <c r="I8" i="6"/>
  <c r="H8" i="6"/>
  <c r="O8" i="6" s="1"/>
  <c r="G8" i="6"/>
  <c r="F8" i="6"/>
  <c r="E8" i="6"/>
  <c r="D8" i="6"/>
  <c r="C8" i="6"/>
  <c r="B8" i="6"/>
  <c r="A8" i="6"/>
  <c r="P7" i="6"/>
  <c r="N7" i="6"/>
  <c r="L7" i="6"/>
  <c r="J7" i="6"/>
  <c r="I7" i="6"/>
  <c r="H7" i="6"/>
  <c r="O7" i="6" s="1"/>
  <c r="G7" i="6"/>
  <c r="F7" i="6"/>
  <c r="E7" i="6"/>
  <c r="K7" i="6" s="1"/>
  <c r="D7" i="6"/>
  <c r="M7" i="6" s="1"/>
  <c r="C7" i="6"/>
  <c r="B7" i="6"/>
  <c r="A7" i="6"/>
  <c r="P6" i="6"/>
  <c r="N6" i="6"/>
  <c r="L6" i="6"/>
  <c r="K6" i="6"/>
  <c r="J6" i="6"/>
  <c r="I6" i="6"/>
  <c r="G6" i="6"/>
  <c r="F6" i="6"/>
  <c r="E6" i="6"/>
  <c r="H6" i="6" s="1"/>
  <c r="D6" i="6"/>
  <c r="M6" i="6" s="1"/>
  <c r="C6" i="6"/>
  <c r="B6" i="6"/>
  <c r="A6" i="6"/>
  <c r="P5" i="6"/>
  <c r="N5" i="6"/>
  <c r="M5" i="6"/>
  <c r="L5" i="6"/>
  <c r="K5" i="6"/>
  <c r="J5" i="6"/>
  <c r="I5" i="6"/>
  <c r="G5" i="6"/>
  <c r="F5" i="6"/>
  <c r="E5" i="6"/>
  <c r="H5" i="6" s="1"/>
  <c r="D5" i="6"/>
  <c r="C5" i="6"/>
  <c r="B5" i="6"/>
  <c r="A5" i="6"/>
  <c r="P4" i="6"/>
  <c r="N4" i="6"/>
  <c r="L4" i="6"/>
  <c r="K4" i="6"/>
  <c r="J4" i="6"/>
  <c r="I4" i="6"/>
  <c r="G4" i="6"/>
  <c r="F4" i="6"/>
  <c r="E4" i="6"/>
  <c r="H4" i="6" s="1"/>
  <c r="D4" i="6"/>
  <c r="M4" i="6" s="1"/>
  <c r="O4" i="6" s="1"/>
  <c r="C4" i="6"/>
  <c r="B4" i="6"/>
  <c r="A4" i="6"/>
  <c r="P3" i="6"/>
  <c r="N3" i="6"/>
  <c r="M3" i="6"/>
  <c r="L3" i="6"/>
  <c r="K3" i="6"/>
  <c r="J3" i="6"/>
  <c r="I3" i="6"/>
  <c r="H3" i="6"/>
  <c r="G3" i="6"/>
  <c r="O3" i="6" s="1"/>
  <c r="F3" i="6"/>
  <c r="E3" i="6"/>
  <c r="D3" i="6"/>
  <c r="C3" i="6"/>
  <c r="B3" i="6"/>
  <c r="A3" i="6"/>
  <c r="E3" i="9" s="1"/>
  <c r="P2" i="6"/>
  <c r="E2" i="9" s="1"/>
  <c r="G2" i="9" s="1"/>
  <c r="N2" i="6"/>
  <c r="M2" i="6"/>
  <c r="L2" i="6"/>
  <c r="J2" i="6"/>
  <c r="I2" i="6"/>
  <c r="H2" i="6"/>
  <c r="G2" i="6"/>
  <c r="F2" i="6"/>
  <c r="E2" i="6"/>
  <c r="K2" i="6" s="1"/>
  <c r="D2" i="6"/>
  <c r="C2" i="6"/>
  <c r="B2" i="6"/>
  <c r="A2" i="6"/>
  <c r="E5" i="9" s="1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O2" i="6" l="1"/>
  <c r="O143" i="6"/>
  <c r="O5" i="6"/>
  <c r="M36" i="7"/>
  <c r="O19" i="6"/>
  <c r="M14" i="7"/>
  <c r="O11" i="6"/>
  <c r="O54" i="6"/>
  <c r="O91" i="6"/>
  <c r="O6" i="6"/>
  <c r="O38" i="6"/>
  <c r="O73" i="6"/>
  <c r="O134" i="6"/>
  <c r="O17" i="6"/>
  <c r="M11" i="7"/>
  <c r="H110" i="6"/>
  <c r="O110" i="6" s="1"/>
  <c r="K110" i="6"/>
  <c r="O20" i="6"/>
  <c r="O59" i="6"/>
  <c r="K88" i="6"/>
  <c r="O88" i="6" s="1"/>
  <c r="K100" i="6"/>
  <c r="O109" i="6"/>
  <c r="K115" i="6"/>
  <c r="O115" i="6" s="1"/>
  <c r="H125" i="6"/>
  <c r="O125" i="6" s="1"/>
  <c r="K125" i="6"/>
  <c r="O127" i="6"/>
  <c r="K151" i="6"/>
  <c r="H151" i="6"/>
  <c r="O151" i="6" s="1"/>
  <c r="F18" i="9" s="1"/>
  <c r="H160" i="6"/>
  <c r="O160" i="6" s="1"/>
  <c r="K160" i="6"/>
  <c r="K38" i="6"/>
  <c r="K51" i="6"/>
  <c r="H51" i="6"/>
  <c r="O51" i="6" s="1"/>
  <c r="O57" i="6"/>
  <c r="O74" i="6"/>
  <c r="O97" i="6"/>
  <c r="M9" i="7"/>
  <c r="M23" i="7"/>
  <c r="M29" i="7"/>
  <c r="E7" i="9"/>
  <c r="G7" i="9" s="1"/>
  <c r="O47" i="6"/>
  <c r="O13" i="6"/>
  <c r="O35" i="6"/>
  <c r="O37" i="6"/>
  <c r="H45" i="6"/>
  <c r="O45" i="6" s="1"/>
  <c r="K45" i="6"/>
  <c r="H61" i="6"/>
  <c r="O61" i="6" s="1"/>
  <c r="H76" i="6"/>
  <c r="O76" i="6" s="1"/>
  <c r="F10" i="9" s="1"/>
  <c r="H101" i="6"/>
  <c r="O101" i="6" s="1"/>
  <c r="F13" i="9" s="1"/>
  <c r="M128" i="6"/>
  <c r="O132" i="6"/>
  <c r="H134" i="6"/>
  <c r="M7" i="7"/>
  <c r="M10" i="7"/>
  <c r="M27" i="7"/>
  <c r="O29" i="6"/>
  <c r="K53" i="6"/>
  <c r="O53" i="6" s="1"/>
  <c r="K103" i="6"/>
  <c r="O103" i="6" s="1"/>
  <c r="O128" i="6"/>
  <c r="O135" i="6"/>
  <c r="O139" i="6"/>
  <c r="O154" i="6"/>
  <c r="O163" i="6"/>
  <c r="E8" i="9"/>
  <c r="G8" i="9" s="1"/>
  <c r="G5" i="9"/>
  <c r="E12" i="9"/>
  <c r="G12" i="9" s="1"/>
  <c r="K35" i="6"/>
  <c r="O94" i="6"/>
  <c r="O100" i="6"/>
  <c r="O102" i="6"/>
  <c r="H108" i="6"/>
  <c r="O108" i="6" s="1"/>
  <c r="K131" i="6"/>
  <c r="H131" i="6"/>
  <c r="O131" i="6" s="1"/>
  <c r="H141" i="6"/>
  <c r="O141" i="6" s="1"/>
  <c r="O152" i="6"/>
  <c r="H156" i="6"/>
  <c r="O156" i="6" s="1"/>
  <c r="F19" i="9" s="1"/>
  <c r="O159" i="6"/>
  <c r="M18" i="7"/>
  <c r="O147" i="6"/>
  <c r="K9" i="6"/>
  <c r="O9" i="6" s="1"/>
  <c r="F2" i="9" s="1"/>
  <c r="O32" i="6"/>
  <c r="O48" i="6"/>
  <c r="O52" i="6"/>
  <c r="H56" i="6"/>
  <c r="O56" i="6" s="1"/>
  <c r="H58" i="6"/>
  <c r="O58" i="6" s="1"/>
  <c r="K71" i="6"/>
  <c r="H71" i="6"/>
  <c r="K86" i="6"/>
  <c r="H86" i="6"/>
  <c r="H104" i="6"/>
  <c r="O104" i="6" s="1"/>
  <c r="H106" i="6"/>
  <c r="O106" i="6" s="1"/>
  <c r="O113" i="6"/>
  <c r="O124" i="6"/>
  <c r="K130" i="6"/>
  <c r="O130" i="6" s="1"/>
  <c r="F16" i="9" s="1"/>
  <c r="O148" i="6"/>
  <c r="O150" i="6"/>
  <c r="M22" i="7"/>
  <c r="M34" i="7"/>
  <c r="O112" i="6"/>
  <c r="H145" i="6"/>
  <c r="K145" i="6"/>
  <c r="K55" i="6"/>
  <c r="O55" i="6" s="1"/>
  <c r="O137" i="6"/>
  <c r="F5" i="9"/>
  <c r="F3" i="9"/>
  <c r="E19" i="9"/>
  <c r="E17" i="9"/>
  <c r="G17" i="9" s="1"/>
  <c r="E14" i="9"/>
  <c r="G14" i="9" s="1"/>
  <c r="E4" i="9"/>
  <c r="G4" i="9" s="1"/>
  <c r="E11" i="9"/>
  <c r="G11" i="9" s="1"/>
  <c r="E16" i="9"/>
  <c r="G16" i="9" s="1"/>
  <c r="E6" i="9"/>
  <c r="E13" i="9"/>
  <c r="E18" i="9"/>
  <c r="E15" i="9"/>
  <c r="G15" i="9" s="1"/>
  <c r="E9" i="9"/>
  <c r="G9" i="9" s="1"/>
  <c r="O10" i="6"/>
  <c r="H36" i="6"/>
  <c r="O36" i="6" s="1"/>
  <c r="M65" i="6"/>
  <c r="O92" i="6"/>
  <c r="H96" i="6"/>
  <c r="O96" i="6" s="1"/>
  <c r="F12" i="9" s="1"/>
  <c r="O111" i="6"/>
  <c r="M15" i="7"/>
  <c r="M32" i="7"/>
  <c r="M35" i="7"/>
  <c r="G6" i="9"/>
  <c r="G13" i="9"/>
  <c r="O22" i="6"/>
  <c r="H65" i="6"/>
  <c r="O65" i="6" s="1"/>
  <c r="K65" i="6"/>
  <c r="O67" i="6"/>
  <c r="H80" i="6"/>
  <c r="O80" i="6" s="1"/>
  <c r="K80" i="6"/>
  <c r="O82" i="6"/>
  <c r="K116" i="6"/>
  <c r="H116" i="6"/>
  <c r="O162" i="6"/>
  <c r="M26" i="7"/>
  <c r="G3" i="9"/>
  <c r="C25" i="9" s="1"/>
  <c r="E10" i="9"/>
  <c r="G10" i="9" s="1"/>
  <c r="G18" i="9"/>
  <c r="F23" i="9"/>
  <c r="F21" i="9"/>
  <c r="E23" i="9"/>
  <c r="G23" i="9" s="1"/>
  <c r="E21" i="9"/>
  <c r="G21" i="9" s="1"/>
  <c r="F22" i="9"/>
  <c r="E22" i="9"/>
  <c r="G22" i="9" s="1"/>
  <c r="K2" i="7"/>
  <c r="M2" i="7" s="1"/>
  <c r="F20" i="9" s="1"/>
  <c r="M12" i="7"/>
  <c r="M37" i="7"/>
  <c r="E20" i="9"/>
  <c r="G20" i="9" s="1"/>
  <c r="O62" i="6"/>
  <c r="O77" i="6"/>
  <c r="O142" i="6"/>
  <c r="G19" i="9"/>
  <c r="O157" i="6"/>
  <c r="M17" i="7"/>
  <c r="O27" i="6"/>
  <c r="F4" i="9" s="1"/>
  <c r="O42" i="6"/>
  <c r="F6" i="9" s="1"/>
  <c r="O107" i="6"/>
  <c r="O122" i="6"/>
  <c r="F15" i="9" s="1"/>
  <c r="F8" i="9" l="1"/>
  <c r="F17" i="9"/>
  <c r="F7" i="9"/>
  <c r="O145" i="6"/>
  <c r="O86" i="6"/>
  <c r="F11" i="9" s="1"/>
  <c r="O71" i="6"/>
  <c r="F9" i="9" s="1"/>
  <c r="O116" i="6"/>
  <c r="F14" i="9" s="1"/>
</calcChain>
</file>

<file path=xl/sharedStrings.xml><?xml version="1.0" encoding="utf-8"?>
<sst xmlns="http://schemas.openxmlformats.org/spreadsheetml/2006/main" count="1163" uniqueCount="327">
  <si>
    <t>FASE 2 — BASE CONTABLE ANUAL · Matriz empresa–año–ratio</t>
  </si>
  <si>
    <t>Índice de resiliencia financiera sectorial · Empresas del S&amp;P IPSA · 2017–2025</t>
  </si>
  <si>
    <t>Leyenda</t>
  </si>
  <si>
    <t>Celda de ingreso</t>
  </si>
  <si>
    <t>Datos a extraer de los estados financieros de la CMF. Texto azul sobre fondo amarillo.</t>
  </si>
  <si>
    <t>Celda calculada</t>
  </si>
  <si>
    <t>Fórmula automática. No modificar.</t>
  </si>
  <si>
    <t>Vínculo a otra hoja</t>
  </si>
  <si>
    <t>Fórmula que trae datos de otra hoja del libro (texto verde).</t>
  </si>
  <si>
    <t>Campo clave</t>
  </si>
  <si>
    <t>Empresa, sector y año. Ya vienen completados.</t>
  </si>
  <si>
    <t>Secuencia de trabajo</t>
  </si>
  <si>
    <t>Paso 1</t>
  </si>
  <si>
    <t>Hoja «Empresas»: registre la moneda de presentación de cada sociedad (CLP o USD) y el precio ajustado de cierre al 31-12-2016, tomado de su archivo de precios de Yahoo Finance.</t>
  </si>
  <si>
    <t>Paso 2</t>
  </si>
  <si>
    <t>Hojas «Captura_NoFin» y «Captura_Fin»: ingrese las partidas de los estados financieros consolidados anuales al 31 de diciembre, en miles de la moneda de presentación, tal como figuran en el documento de la CMF.</t>
  </si>
  <si>
    <t>Paso 3</t>
  </si>
  <si>
    <t>Estrategia de extracción: cada estado financiero anual trae la columna del año y la comparativa del año anterior. Basta con abrir cinco documentos por empresa — ejercicios 2018, 2020, 2022, 2024 y 2025 — para cubrir los nueve años.</t>
  </si>
  <si>
    <t>Paso 4</t>
  </si>
  <si>
    <t>Registre en la columna «fuente» el documento y la columna de donde tomó cada fila (p. ej. «EEFF 2020, comparativo»). Es la trazabilidad que declara su metodología.</t>
  </si>
  <si>
    <t>Paso 5</t>
  </si>
  <si>
    <t>Hojas «Ratios_NoFin» y «Ratios_Fin»: se calculan solas. Revise la hoja «Control» antes de pasar a la Fase 3.</t>
  </si>
  <si>
    <t>Convenciones</t>
  </si>
  <si>
    <t>Signos</t>
  </si>
  <si>
    <t>Ingrese los costos financieros y el gasto en provisiones como números positivos. Las fórmulas usan su valor absoluto, de modo que un signo negativo tampoco produce error.</t>
  </si>
  <si>
    <t>Moneda</t>
  </si>
  <si>
    <t>No convierta a pesos. Todos los ratios son cocientes adimensionales y no cambian con la moneda. La conversión solo sería necesaria para variables de tamaño, que este diseño no utiliza.</t>
  </si>
  <si>
    <t>Sin dato</t>
  </si>
  <si>
    <t>Deje la celda vacía. Nunca ingrese cero para un dato faltante: un cero se calcula como valor real y sesga el ratio.</t>
  </si>
  <si>
    <t>EBIT</t>
  </si>
  <si>
    <t>Se calcula para todas las empresas como Ganancia antes de impuestos + Costos financieros. La columna «resultado operacional presentado» es solo informativa, porque NIC 1 no obliga a presentar ese subtotal.</t>
  </si>
  <si>
    <t>ROE</t>
  </si>
  <si>
    <t>Es descriptivo, no entra al KPI. Se deja en blanco cuando el patrimonio de la controladora es cero o negativo (caso Latam 2020–2021).</t>
  </si>
  <si>
    <t>Bancos</t>
  </si>
  <si>
    <t>Usan una plantilla propia y se ingresan en millones (MM$), tal como vienen. «Capital de trabajo» no aplica: sus estados no distinguen corriente de no corriente.</t>
  </si>
  <si>
    <t>Fila de ejemplo — formato esperado (valores ilustrativos, NO son datos reales de ninguna empresa)</t>
  </si>
  <si>
    <t>Campo</t>
  </si>
  <si>
    <t>Ejemplo</t>
  </si>
  <si>
    <t>Formato</t>
  </si>
  <si>
    <t>activo_corriente</t>
  </si>
  <si>
    <t>845320</t>
  </si>
  <si>
    <t>Miles de la moneda de presentación, sin puntos ni signo</t>
  </si>
  <si>
    <t>activo_total</t>
  </si>
  <si>
    <t>4120550</t>
  </si>
  <si>
    <t>Miles</t>
  </si>
  <si>
    <t>ingresos</t>
  </si>
  <si>
    <t>1985400</t>
  </si>
  <si>
    <t>costos_financieros</t>
  </si>
  <si>
    <t>62300</t>
  </si>
  <si>
    <t>Positivo, en miles</t>
  </si>
  <si>
    <t>ganancia_antes_impuestos</t>
  </si>
  <si>
    <t>210880</t>
  </si>
  <si>
    <t>Puede ser negativo si hubo pérdida</t>
  </si>
  <si>
    <t>precio_ajustado_cierre</t>
  </si>
  <si>
    <t>412,35</t>
  </si>
  <si>
    <t>Precio ajustado por dividendos al último día hábil del año</t>
  </si>
  <si>
    <t>fuente</t>
  </si>
  <si>
    <t>EEFF 2020, comparativo</t>
  </si>
  <si>
    <t>Texto libre</t>
  </si>
  <si>
    <t>N.º</t>
  </si>
  <si>
    <t>Nemotécnico</t>
  </si>
  <si>
    <t>Razón social</t>
  </si>
  <si>
    <t>Sector GICS</t>
  </si>
  <si>
    <t>Cód. sector</t>
  </si>
  <si>
    <t>Sector de análisis</t>
  </si>
  <si>
    <t>Plantilla</t>
  </si>
  <si>
    <t>Moneda de presentación</t>
  </si>
  <si>
    <t>Precio ajustado 31-12-2016</t>
  </si>
  <si>
    <t>Observaciones</t>
  </si>
  <si>
    <t>AGUAS-A</t>
  </si>
  <si>
    <t>Aguas Andinas S.A., Serie A</t>
  </si>
  <si>
    <t>Utilities</t>
  </si>
  <si>
    <t>Servicios básicos e infraestructura</t>
  </si>
  <si>
    <t>No financiera</t>
  </si>
  <si>
    <t>CLP</t>
  </si>
  <si>
    <t>COLBUN</t>
  </si>
  <si>
    <t>Colbún S.A.</t>
  </si>
  <si>
    <t>USD</t>
  </si>
  <si>
    <t>ENELAM</t>
  </si>
  <si>
    <t>Enel Américas S.A.</t>
  </si>
  <si>
    <t>USD. Resultados por naturaleza (sin costo de ventas). 2024: ganancia extraordinaria por venta de activos en Perú.</t>
  </si>
  <si>
    <t>ENELCHILE</t>
  </si>
  <si>
    <t>Enel Chile S.A.</t>
  </si>
  <si>
    <t>ECL</t>
  </si>
  <si>
    <t>Engie Energía Chile S.A.</t>
  </si>
  <si>
    <t>USD (kUSD en los EEFF).</t>
  </si>
  <si>
    <t>ENTEL</t>
  </si>
  <si>
    <t>Empresa Nacional de Telecomunicaciones S.A.</t>
  </si>
  <si>
    <t>Communication Services</t>
  </si>
  <si>
    <t>CENCOSUD</t>
  </si>
  <si>
    <t>Cencosud S.A.</t>
  </si>
  <si>
    <t>Consumer Staples (verificar)</t>
  </si>
  <si>
    <t>Consumo</t>
  </si>
  <si>
    <t>Verificar sector GICS contra archivo de constituyentes de S&amp;P DJI; no afecta la normalización.</t>
  </si>
  <si>
    <t>FALABELLA</t>
  </si>
  <si>
    <t>Falabella S.A.</t>
  </si>
  <si>
    <t>Consumer Discretionary</t>
  </si>
  <si>
    <t>RIPLEY</t>
  </si>
  <si>
    <t>Ripley Corp S.A.</t>
  </si>
  <si>
    <t>CCU</t>
  </si>
  <si>
    <t>Compañía Cervecerías Unidas S.A.</t>
  </si>
  <si>
    <t>Consumer Staples</t>
  </si>
  <si>
    <t>ANDINA-B</t>
  </si>
  <si>
    <t>Embotelladora Andina S.A., Serie B</t>
  </si>
  <si>
    <t>CONCHATORO</t>
  </si>
  <si>
    <t>Viña Concha y Toro S.A.</t>
  </si>
  <si>
    <t>LTM</t>
  </si>
  <si>
    <t>Latam Airlines Group S.A.</t>
  </si>
  <si>
    <t>Industrials</t>
  </si>
  <si>
    <t>Industria, recursos naturales e inmobiliario</t>
  </si>
  <si>
    <t>USD. ROE no disponible 2020–2021 por patrimonio negativo (reorganización Capítulo 11).</t>
  </si>
  <si>
    <t>PARAUCO</t>
  </si>
  <si>
    <t>Parque Arauco S.A.</t>
  </si>
  <si>
    <t>Real Estate</t>
  </si>
  <si>
    <t>Propiedades de inversión a valor razonable (NIC 40): la utilidad puede incluir revalorizaciones.</t>
  </si>
  <si>
    <t>CAP</t>
  </si>
  <si>
    <t>CAP S.A.</t>
  </si>
  <si>
    <t>Materials</t>
  </si>
  <si>
    <t>CMPC</t>
  </si>
  <si>
    <t>Empresas CMPC S.A.</t>
  </si>
  <si>
    <t>SQM-B</t>
  </si>
  <si>
    <t>Sociedad Química y Minera de Chile S.A., Serie B</t>
  </si>
  <si>
    <t>USD. 2025: revisar perímetro por la sociedad NovaAndino Litio con Codelco.</t>
  </si>
  <si>
    <t>COPEC</t>
  </si>
  <si>
    <t>Empresas Copec S.A.</t>
  </si>
  <si>
    <t>Energy</t>
  </si>
  <si>
    <t>CHILE</t>
  </si>
  <si>
    <t>Banco de Chile</t>
  </si>
  <si>
    <t>Financials</t>
  </si>
  <si>
    <t>Financiero (bancos)</t>
  </si>
  <si>
    <t>Financiera</t>
  </si>
  <si>
    <t>Montos en MM$ (millones), tal como vienen del EEFF bancario.</t>
  </si>
  <si>
    <t>BCI</t>
  </si>
  <si>
    <t>Banco de Crédito e Inversiones</t>
  </si>
  <si>
    <t>BSANTANDER</t>
  </si>
  <si>
    <t>Banco Santander-Chile</t>
  </si>
  <si>
    <t>ITAUCL</t>
  </si>
  <si>
    <t>Banco Itaú Chile</t>
  </si>
  <si>
    <t>Montos en MM$ (millones). Hasta 2021 figura como Itaú Corpbanca.</t>
  </si>
  <si>
    <t>Excluidas del panel:</t>
  </si>
  <si>
    <t>MALLPLAZA, SMU, CENCOMALLS — ingresaron al índice con posterioridad a 2017.</t>
  </si>
  <si>
    <t>IAM — salió en septiembre de 2018 y reingresó en septiembre de 2019.</t>
  </si>
  <si>
    <t>SALFACORP — salió en junio de 2020 y reingresó en septiembre de 2025.</t>
  </si>
  <si>
    <t>QUINENCO — registró una salida y reingresó en marzo de 2022.</t>
  </si>
  <si>
    <t>ILC — salió en septiembre de 2021 y reingresó en marzo de 2025.</t>
  </si>
  <si>
    <t>VAPORES — vehículo de inversión: la participación en Hapag-Lloyd concentra más del 92% de sus activos.</t>
  </si>
  <si>
    <t>Criterio: presencia ininterrumpida en el S&amp;P IPSA 2017–2025 (anuncios de rebalanceo de S&amp;P DJI).</t>
  </si>
  <si>
    <t>Código</t>
  </si>
  <si>
    <t>Partida en los EEFF (CMF)</t>
  </si>
  <si>
    <t>Elemento taxonomía IFRS</t>
  </si>
  <si>
    <t>Estado financiero</t>
  </si>
  <si>
    <t>Condición</t>
  </si>
  <si>
    <t>Se usa en</t>
  </si>
  <si>
    <t>P01</t>
  </si>
  <si>
    <t>Total de activos corrientes</t>
  </si>
  <si>
    <t>ifrs-full:CurrentAssets</t>
  </si>
  <si>
    <t>Situación financiera</t>
  </si>
  <si>
    <t>Núcleo</t>
  </si>
  <si>
    <t>Liquidez; Capital de trabajo</t>
  </si>
  <si>
    <t>P02</t>
  </si>
  <si>
    <t>pasivo_corriente</t>
  </si>
  <si>
    <t>Total de pasivos corrientes</t>
  </si>
  <si>
    <t>ifrs-full:CurrentLiabilities</t>
  </si>
  <si>
    <t>P03</t>
  </si>
  <si>
    <t>Total de activos</t>
  </si>
  <si>
    <t>ifrs-full:Assets</t>
  </si>
  <si>
    <t>Capital de trabajo; Rentabilidad; Endeudamiento; Uso de activos</t>
  </si>
  <si>
    <t>P04</t>
  </si>
  <si>
    <t>pasivo_total</t>
  </si>
  <si>
    <t>Total de pasivos</t>
  </si>
  <si>
    <t>ifrs-full:Liabilities</t>
  </si>
  <si>
    <t>Endeudamiento; control de cuadre</t>
  </si>
  <si>
    <t>P05</t>
  </si>
  <si>
    <t>patrimonio_total</t>
  </si>
  <si>
    <t>Patrimonio total</t>
  </si>
  <si>
    <t>ifrs-full:Equity</t>
  </si>
  <si>
    <t>Control de cuadre</t>
  </si>
  <si>
    <t>P06</t>
  </si>
  <si>
    <t>Ingresos de actividades ordinarias</t>
  </si>
  <si>
    <t>ifrs-full:Revenue</t>
  </si>
  <si>
    <t>Resultados</t>
  </si>
  <si>
    <t>Eficiencia; Uso de activos</t>
  </si>
  <si>
    <t>P07</t>
  </si>
  <si>
    <t>Costos financieros</t>
  </si>
  <si>
    <t>ifrs-full:FinanceCosts</t>
  </si>
  <si>
    <t>EBIT; Cobertura</t>
  </si>
  <si>
    <t>P08</t>
  </si>
  <si>
    <t>Ganancia (pérdida), antes de impuestos</t>
  </si>
  <si>
    <t>ifrs-full:ProfitLossBeforeTax</t>
  </si>
  <si>
    <t>P09</t>
  </si>
  <si>
    <t>ganancia_ejercicio</t>
  </si>
  <si>
    <t>Ganancia (pérdida)</t>
  </si>
  <si>
    <t>ifrs-full:ProfitLoss</t>
  </si>
  <si>
    <t>Rentabilidad (ROA)</t>
  </si>
  <si>
    <t>P10</t>
  </si>
  <si>
    <t>patrimonio_controladora</t>
  </si>
  <si>
    <t>Patrimonio atribuible a los propietarios de la controladora</t>
  </si>
  <si>
    <t>ifrs-full:EquityAttributableToOwnersOfParent</t>
  </si>
  <si>
    <t>Opcional</t>
  </si>
  <si>
    <t>ROE descriptivo</t>
  </si>
  <si>
    <t>P11</t>
  </si>
  <si>
    <t>ganancia_controladora</t>
  </si>
  <si>
    <t>Ganancia (pérdida), atribuible a los propietarios de la controladora</t>
  </si>
  <si>
    <t>ifrs-full:ProfitLossAttributableToOwnersOfParent</t>
  </si>
  <si>
    <t>P12</t>
  </si>
  <si>
    <t>resultado_operacional_presentado</t>
  </si>
  <si>
    <t>Ganancia (pérdida) de actividades operacionales (si se presenta)</t>
  </si>
  <si>
    <t>ifrs-full:ProfitLossFromOperatingActivities</t>
  </si>
  <si>
    <t>Solo informativo; contraste con EBIT</t>
  </si>
  <si>
    <t>M01</t>
  </si>
  <si>
    <t>— (Yahoo Finance / Bolsa de Santiago)</t>
  </si>
  <si>
    <t>Datos de mercado</t>
  </si>
  <si>
    <t>Mercado</t>
  </si>
  <si>
    <t>B01</t>
  </si>
  <si>
    <t>Total activos</t>
  </si>
  <si>
    <t>Compendio de Normas Contables para Bancos (CMF)</t>
  </si>
  <si>
    <t>Rentabilidad; Endeudamiento; Uso de activos</t>
  </si>
  <si>
    <t>B02</t>
  </si>
  <si>
    <t>Total pasivos</t>
  </si>
  <si>
    <t>Compendio CMF</t>
  </si>
  <si>
    <t>Endeudamiento</t>
  </si>
  <si>
    <t>B03</t>
  </si>
  <si>
    <t>Total patrimonio</t>
  </si>
  <si>
    <t>Control de cuadre; ROE</t>
  </si>
  <si>
    <t>B04</t>
  </si>
  <si>
    <t>efectivo</t>
  </si>
  <si>
    <t>Efectivo y depósitos en bancos</t>
  </si>
  <si>
    <t>Liquidez</t>
  </si>
  <si>
    <t>B05</t>
  </si>
  <si>
    <t>depositos</t>
  </si>
  <si>
    <t>Depósitos y otras obligaciones a la vista + Depósitos y otras captaciones a plazo (suma)</t>
  </si>
  <si>
    <t>B06</t>
  </si>
  <si>
    <t>colocaciones</t>
  </si>
  <si>
    <t>Créditos y cuentas por cobrar a clientes (desde 2022: suma de comerciales, vivienda y consumo)</t>
  </si>
  <si>
    <t>Descriptivo</t>
  </si>
  <si>
    <t>B07</t>
  </si>
  <si>
    <t>ingreso_operacional_neto</t>
  </si>
  <si>
    <t>TOTAL INGRESOS OPERACIONALES (antes de provisiones; NO usar la línea «Ingreso operacional neto» de 2017–2021)</t>
  </si>
  <si>
    <t>B08</t>
  </si>
  <si>
    <t>gastos_operacionales</t>
  </si>
  <si>
    <t>Total gastos operacionales</t>
  </si>
  <si>
    <t>Eficiencia</t>
  </si>
  <si>
    <t>B09</t>
  </si>
  <si>
    <t>gasto_provisiones</t>
  </si>
  <si>
    <t>Desde 2022: Gasto por pérdidas crediticias · Hasta 2021: Provisiones por riesgo de crédito</t>
  </si>
  <si>
    <t>Cobertura</t>
  </si>
  <si>
    <t>B10</t>
  </si>
  <si>
    <t>Desde 2022: Resultado de operaciones continuas antes de impuestos · Hasta 2021: Resultado antes de impuesto a la renta</t>
  </si>
  <si>
    <t>B11</t>
  </si>
  <si>
    <t>UTILIDAD CONSOLIDADA DEL EJERCICIO</t>
  </si>
  <si>
    <t>P = empresas no financieras (18) · B = bancos (4) · M = dato de mercado, común a ambas. Bancos: montos en MM$, tal como vienen; no convertir.</t>
  </si>
  <si>
    <t>Bancos: el Compendio de Normas Contables de la CMF se actualizó con vigencia desde 2022. Homologue los rubros de 2021 usando la columna comparativa del EEFF 2022.</t>
  </si>
  <si>
    <t>nemotecnico</t>
  </si>
  <si>
    <t>cod_sector</t>
  </si>
  <si>
    <t>sector</t>
  </si>
  <si>
    <t>anio</t>
  </si>
  <si>
    <t>moneda</t>
  </si>
  <si>
    <t>observaciones</t>
  </si>
  <si>
    <t>XBRL 2018, comparativo</t>
  </si>
  <si>
    <t>XBRL 2018, actual</t>
  </si>
  <si>
    <t>XBRL 2020, comparativo</t>
  </si>
  <si>
    <t>XBRL 2020, actual</t>
  </si>
  <si>
    <t>XBRL 2022, comparativo</t>
  </si>
  <si>
    <t>XBRL 2022, actual</t>
  </si>
  <si>
    <t>XBRL 2024, comparativo</t>
  </si>
  <si>
    <t>XBRL 2025, comparativo</t>
  </si>
  <si>
    <t>XBRL 2025, actual</t>
  </si>
  <si>
    <t>CMF, estados mensuales 12/2017, MM$</t>
  </si>
  <si>
    <t>CMF, estados mensuales 12/2018, MM$</t>
  </si>
  <si>
    <t>CMF, estados mensuales 12/2019, MM$</t>
  </si>
  <si>
    <t>CMF, estados mensuales 12/2020, MM$</t>
  </si>
  <si>
    <t>CMF, estados mensuales 12/2021, MM$</t>
  </si>
  <si>
    <t>CMF, estados mensuales 12/2022, MM$</t>
  </si>
  <si>
    <t>CMF, estados mensuales 12/2023, MM$</t>
  </si>
  <si>
    <t>CMF, estados mensuales 12/2024, MM$</t>
  </si>
  <si>
    <t>CMF, estados mensuales 12/2025, MM$</t>
  </si>
  <si>
    <t>F1_liquidez</t>
  </si>
  <si>
    <t>F2_capital_trabajo</t>
  </si>
  <si>
    <t>F3_eficiencia</t>
  </si>
  <si>
    <t>F4_rentabilidad_ROA</t>
  </si>
  <si>
    <t>F5_endeudamiento</t>
  </si>
  <si>
    <t>F6_cobertura</t>
  </si>
  <si>
    <t>F7_uso_activos</t>
  </si>
  <si>
    <t>F8_mercado_retorno</t>
  </si>
  <si>
    <t>ROE_descriptivo</t>
  </si>
  <si>
    <t>familias_validas</t>
  </si>
  <si>
    <t>cuadre_contable</t>
  </si>
  <si>
    <t>F2 Capital de trabajo no aplica a bancos: sus estados financieros no clasifican partidas en corrientes y no corrientes. El KPI de este sector se construye con 7 familias.</t>
  </si>
  <si>
    <t>F3 Eficiencia bancaria = índice de eficiencia (gastos operacionales / ingresos operacionales netos): dirección MAYOR = PEOR, a diferencia del margen de las no financieras.</t>
  </si>
  <si>
    <t>F6 Cobertura bancaria = (resultado antes de impuestos + provisiones) / provisiones: veces que el resultado antes de provisiones cubre el costo del riesgo de crédito.</t>
  </si>
  <si>
    <t>Familia</t>
  </si>
  <si>
    <t>No financieras: indicador</t>
  </si>
  <si>
    <t>Dirección</t>
  </si>
  <si>
    <t>Signo en Fase 3</t>
  </si>
  <si>
    <t>Bancos: indicador</t>
  </si>
  <si>
    <t>F1 Liquidez</t>
  </si>
  <si>
    <t>Activo corriente / Pasivo corriente</t>
  </si>
  <si>
    <t>Mayor = mejor</t>
  </si>
  <si>
    <t>Efectivo / Depósitos</t>
  </si>
  <si>
    <t>F2 Capital de trabajo</t>
  </si>
  <si>
    <t>(AC − PC) / Activo total</t>
  </si>
  <si>
    <t>No aplica</t>
  </si>
  <si>
    <t>—</t>
  </si>
  <si>
    <t>F3 Eficiencia</t>
  </si>
  <si>
    <t>EBIT / Ingresos</t>
  </si>
  <si>
    <t>Gastos operacionales / Ingreso operacional neto</t>
  </si>
  <si>
    <t>Mayor = peor</t>
  </si>
  <si>
    <t>F4 Rentabilidad</t>
  </si>
  <si>
    <t>Ganancia / Activo total (ROA)</t>
  </si>
  <si>
    <t>F5 Endeudamiento</t>
  </si>
  <si>
    <t>Pasivo total / Activo total</t>
  </si>
  <si>
    <t>F6 Cobertura</t>
  </si>
  <si>
    <t>EBIT / Costos financieros</t>
  </si>
  <si>
    <t>(GAI + Provisiones) / Provisiones</t>
  </si>
  <si>
    <t>F7 Uso de activos</t>
  </si>
  <si>
    <t>Ingresos / Activo total</t>
  </si>
  <si>
    <t>Ingreso operacional neto / Activo total</t>
  </si>
  <si>
    <t>F8 Mercado</t>
  </si>
  <si>
    <t>Retorno anual del precio ajustado</t>
  </si>
  <si>
    <t>El signo se aplica en la Fase 3: z orientado = signo × z. Así, en todas las familias un valor mayor indica mejor condición antes de promediar en el KPI.</t>
  </si>
  <si>
    <t>Años con activo total</t>
  </si>
  <si>
    <t>Celdas núcleo vacías</t>
  </si>
  <si>
    <t>Años cuadre REVISAR</t>
  </si>
  <si>
    <t>Familias válidas (promedio)</t>
  </si>
  <si>
    <t>Estado</t>
  </si>
  <si>
    <t>Empresas completas:</t>
  </si>
  <si>
    <t>Tolerancia de cuadre: |Activo − Pasivo − Patrimonio| ≤ 0,5% del activo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</si>
</sst>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0\x"/>
    <numFmt numFmtId="166" formatCode="0.0%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2E75B6"/>
      <name val="Arial"/>
      <family val="2"/>
    </font>
    <font>
      <sz val="9"/>
      <color rgb="FF0000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3" borderId="1" xfId="0" applyFont="1" applyFill="1" applyBorder="1"/>
    <xf numFmtId="0" fontId="8" fillId="0" borderId="0" xfId="0" applyFont="1"/>
    <xf numFmtId="0" fontId="5" fillId="0" borderId="0" xfId="0" applyFont="1" applyAlignment="1">
      <alignment vertical="top" wrapText="1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" fontId="4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" fontId="8" fillId="3" borderId="1" xfId="0" applyNumberFormat="1" applyFont="1" applyFill="1" applyBorder="1"/>
    <xf numFmtId="164" fontId="4" fillId="2" borderId="1" xfId="0" applyNumberFormat="1" applyFont="1" applyFill="1" applyBorder="1"/>
    <xf numFmtId="0" fontId="7" fillId="0" borderId="0" xfId="0" applyFont="1"/>
    <xf numFmtId="1" fontId="7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" fontId="6" fillId="0" borderId="0" xfId="0" applyNumberFormat="1" applyFont="1"/>
    <xf numFmtId="0" fontId="6" fillId="0" borderId="0" xfId="0" applyFont="1"/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95" customWidth="1"/>
    <col min="4" max="4" width="40" customWidth="1"/>
  </cols>
  <sheetData>
    <row r="2" spans="2:3" ht="17.25" customHeight="1" x14ac:dyDescent="0.2">
      <c r="B2" s="1" t="s">
        <v>0</v>
      </c>
    </row>
    <row r="3" spans="2:3" ht="15" customHeight="1" x14ac:dyDescent="0.2">
      <c r="B3" s="2" t="s">
        <v>1</v>
      </c>
    </row>
    <row r="5" spans="2:3" ht="15" customHeight="1" x14ac:dyDescent="0.2">
      <c r="B5" s="3" t="s">
        <v>2</v>
      </c>
    </row>
    <row r="6" spans="2:3" ht="15" customHeight="1" x14ac:dyDescent="0.2">
      <c r="B6" s="4" t="s">
        <v>3</v>
      </c>
      <c r="C6" s="5" t="s">
        <v>4</v>
      </c>
    </row>
    <row r="7" spans="2:3" ht="15" customHeight="1" x14ac:dyDescent="0.2">
      <c r="B7" s="6" t="s">
        <v>5</v>
      </c>
      <c r="C7" s="5" t="s">
        <v>6</v>
      </c>
    </row>
    <row r="8" spans="2:3" ht="15" customHeight="1" x14ac:dyDescent="0.2">
      <c r="B8" s="7" t="s">
        <v>7</v>
      </c>
      <c r="C8" s="5" t="s">
        <v>8</v>
      </c>
    </row>
    <row r="9" spans="2:3" ht="15" customHeight="1" x14ac:dyDescent="0.2">
      <c r="B9" s="8" t="s">
        <v>9</v>
      </c>
      <c r="C9" s="5" t="s">
        <v>10</v>
      </c>
    </row>
    <row r="11" spans="2:3" ht="15" customHeight="1" x14ac:dyDescent="0.2">
      <c r="B11" s="3" t="s">
        <v>11</v>
      </c>
    </row>
    <row r="12" spans="2:3" ht="30" customHeight="1" x14ac:dyDescent="0.2">
      <c r="B12" s="9" t="s">
        <v>12</v>
      </c>
      <c r="C12" s="10" t="s">
        <v>13</v>
      </c>
    </row>
    <row r="13" spans="2:3" ht="30" customHeight="1" x14ac:dyDescent="0.2">
      <c r="B13" s="9" t="s">
        <v>14</v>
      </c>
      <c r="C13" s="10" t="s">
        <v>15</v>
      </c>
    </row>
    <row r="14" spans="2:3" ht="30" customHeight="1" x14ac:dyDescent="0.2">
      <c r="B14" s="9" t="s">
        <v>16</v>
      </c>
      <c r="C14" s="10" t="s">
        <v>17</v>
      </c>
    </row>
    <row r="15" spans="2:3" ht="30" customHeight="1" x14ac:dyDescent="0.2">
      <c r="B15" s="9" t="s">
        <v>18</v>
      </c>
      <c r="C15" s="10" t="s">
        <v>19</v>
      </c>
    </row>
    <row r="16" spans="2:3" ht="30" customHeight="1" x14ac:dyDescent="0.2">
      <c r="B16" s="9" t="s">
        <v>20</v>
      </c>
      <c r="C16" s="10" t="s">
        <v>21</v>
      </c>
    </row>
    <row r="18" spans="2:4" ht="15" customHeight="1" x14ac:dyDescent="0.2">
      <c r="B18" s="3" t="s">
        <v>22</v>
      </c>
    </row>
    <row r="19" spans="2:4" ht="30" customHeight="1" x14ac:dyDescent="0.2">
      <c r="B19" s="9" t="s">
        <v>23</v>
      </c>
      <c r="C19" s="10" t="s">
        <v>24</v>
      </c>
    </row>
    <row r="20" spans="2:4" ht="30" customHeight="1" x14ac:dyDescent="0.2">
      <c r="B20" s="9" t="s">
        <v>25</v>
      </c>
      <c r="C20" s="10" t="s">
        <v>26</v>
      </c>
    </row>
    <row r="21" spans="2:4" ht="30" customHeight="1" x14ac:dyDescent="0.2">
      <c r="B21" s="9" t="s">
        <v>27</v>
      </c>
      <c r="C21" s="10" t="s">
        <v>28</v>
      </c>
    </row>
    <row r="22" spans="2:4" ht="30" customHeight="1" x14ac:dyDescent="0.2">
      <c r="B22" s="9" t="s">
        <v>29</v>
      </c>
      <c r="C22" s="10" t="s">
        <v>30</v>
      </c>
    </row>
    <row r="23" spans="2:4" ht="30" customHeight="1" x14ac:dyDescent="0.2">
      <c r="B23" s="9" t="s">
        <v>31</v>
      </c>
      <c r="C23" s="10" t="s">
        <v>32</v>
      </c>
    </row>
    <row r="24" spans="2:4" ht="30" customHeight="1" x14ac:dyDescent="0.2">
      <c r="B24" s="9" t="s">
        <v>33</v>
      </c>
      <c r="C24" s="10" t="s">
        <v>34</v>
      </c>
    </row>
    <row r="26" spans="2:4" ht="15" customHeight="1" x14ac:dyDescent="0.2">
      <c r="B26" s="3" t="s">
        <v>35</v>
      </c>
    </row>
    <row r="27" spans="2:4" ht="15" customHeight="1" x14ac:dyDescent="0.2">
      <c r="B27" s="11" t="s">
        <v>36</v>
      </c>
      <c r="C27" s="11" t="s">
        <v>37</v>
      </c>
      <c r="D27" s="11" t="s">
        <v>38</v>
      </c>
    </row>
    <row r="28" spans="2:4" ht="15" customHeight="1" x14ac:dyDescent="0.2">
      <c r="B28" s="5" t="s">
        <v>39</v>
      </c>
      <c r="C28" s="4" t="s">
        <v>40</v>
      </c>
      <c r="D28" s="2" t="s">
        <v>41</v>
      </c>
    </row>
    <row r="29" spans="2:4" ht="15" customHeight="1" x14ac:dyDescent="0.2">
      <c r="B29" s="5" t="s">
        <v>42</v>
      </c>
      <c r="C29" s="4" t="s">
        <v>43</v>
      </c>
      <c r="D29" s="2" t="s">
        <v>44</v>
      </c>
    </row>
    <row r="30" spans="2:4" ht="15" customHeight="1" x14ac:dyDescent="0.2">
      <c r="B30" s="5" t="s">
        <v>45</v>
      </c>
      <c r="C30" s="4" t="s">
        <v>46</v>
      </c>
      <c r="D30" s="2" t="s">
        <v>44</v>
      </c>
    </row>
    <row r="31" spans="2:4" ht="15" customHeight="1" x14ac:dyDescent="0.2">
      <c r="B31" s="5" t="s">
        <v>47</v>
      </c>
      <c r="C31" s="4" t="s">
        <v>48</v>
      </c>
      <c r="D31" s="2" t="s">
        <v>49</v>
      </c>
    </row>
    <row r="32" spans="2:4" ht="15" customHeight="1" x14ac:dyDescent="0.2">
      <c r="B32" s="5" t="s">
        <v>50</v>
      </c>
      <c r="C32" s="4" t="s">
        <v>51</v>
      </c>
      <c r="D32" s="2" t="s">
        <v>52</v>
      </c>
    </row>
    <row r="33" spans="2:4" ht="15" customHeight="1" x14ac:dyDescent="0.2">
      <c r="B33" s="5" t="s">
        <v>53</v>
      </c>
      <c r="C33" s="4" t="s">
        <v>54</v>
      </c>
      <c r="D33" s="2" t="s">
        <v>55</v>
      </c>
    </row>
    <row r="34" spans="2:4" ht="15" customHeight="1" x14ac:dyDescent="0.2">
      <c r="B34" s="5" t="s">
        <v>56</v>
      </c>
      <c r="C34" s="4" t="s">
        <v>57</v>
      </c>
      <c r="D34" s="2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5" customWidth="1"/>
    <col min="2" max="2" width="13" customWidth="1"/>
    <col min="3" max="3" width="44" customWidth="1"/>
    <col min="4" max="4" width="26" customWidth="1"/>
    <col min="5" max="5" width="8" customWidth="1"/>
    <col min="6" max="6" width="38" customWidth="1"/>
    <col min="7" max="7" width="14" customWidth="1"/>
    <col min="8" max="8" width="13" customWidth="1"/>
    <col min="9" max="9" width="15" customWidth="1"/>
    <col min="10" max="10" width="50" customWidth="1"/>
  </cols>
  <sheetData>
    <row r="1" spans="1:10" ht="31.5" customHeight="1" x14ac:dyDescent="0.2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  <c r="G1" s="12" t="s">
        <v>65</v>
      </c>
      <c r="H1" s="12" t="s">
        <v>66</v>
      </c>
      <c r="I1" s="12" t="s">
        <v>67</v>
      </c>
      <c r="J1" s="12" t="s">
        <v>68</v>
      </c>
    </row>
    <row r="2" spans="1:10" ht="15" customHeight="1" x14ac:dyDescent="0.2">
      <c r="A2" s="13">
        <v>1</v>
      </c>
      <c r="B2" s="13" t="s">
        <v>69</v>
      </c>
      <c r="C2" s="13" t="s">
        <v>70</v>
      </c>
      <c r="D2" s="13" t="s">
        <v>71</v>
      </c>
      <c r="E2" s="13">
        <v>1</v>
      </c>
      <c r="F2" s="13" t="s">
        <v>72</v>
      </c>
      <c r="G2" s="13" t="s">
        <v>73</v>
      </c>
      <c r="H2" s="4" t="s">
        <v>74</v>
      </c>
      <c r="I2" s="14">
        <v>191.329833984375</v>
      </c>
      <c r="J2" s="15"/>
    </row>
    <row r="3" spans="1:10" ht="15" customHeight="1" x14ac:dyDescent="0.2">
      <c r="A3" s="13">
        <v>2</v>
      </c>
      <c r="B3" s="13" t="s">
        <v>75</v>
      </c>
      <c r="C3" s="13" t="s">
        <v>76</v>
      </c>
      <c r="D3" s="13" t="s">
        <v>71</v>
      </c>
      <c r="E3" s="13">
        <v>1</v>
      </c>
      <c r="F3" s="13" t="s">
        <v>72</v>
      </c>
      <c r="G3" s="13" t="s">
        <v>73</v>
      </c>
      <c r="H3" s="4" t="s">
        <v>77</v>
      </c>
      <c r="I3" s="14">
        <v>125.3100051879883</v>
      </c>
      <c r="J3" s="15"/>
    </row>
    <row r="4" spans="1:10" ht="22.25" customHeight="1" x14ac:dyDescent="0.2">
      <c r="A4" s="13">
        <v>3</v>
      </c>
      <c r="B4" s="13" t="s">
        <v>78</v>
      </c>
      <c r="C4" s="13" t="s">
        <v>79</v>
      </c>
      <c r="D4" s="13" t="s">
        <v>71</v>
      </c>
      <c r="E4" s="13">
        <v>1</v>
      </c>
      <c r="F4" s="13" t="s">
        <v>72</v>
      </c>
      <c r="G4" s="13" t="s">
        <v>73</v>
      </c>
      <c r="H4" s="4" t="s">
        <v>77</v>
      </c>
      <c r="I4" s="14">
        <v>104.2692031860352</v>
      </c>
      <c r="J4" s="15" t="s">
        <v>80</v>
      </c>
    </row>
    <row r="5" spans="1:10" ht="15" customHeight="1" x14ac:dyDescent="0.2">
      <c r="A5" s="13">
        <v>4</v>
      </c>
      <c r="B5" s="13" t="s">
        <v>81</v>
      </c>
      <c r="C5" s="13" t="s">
        <v>82</v>
      </c>
      <c r="D5" s="13" t="s">
        <v>71</v>
      </c>
      <c r="E5" s="13">
        <v>1</v>
      </c>
      <c r="F5" s="13" t="s">
        <v>72</v>
      </c>
      <c r="G5" s="13" t="s">
        <v>73</v>
      </c>
      <c r="H5" s="4"/>
      <c r="I5" s="14">
        <v>38.458930969238281</v>
      </c>
      <c r="J5" s="15"/>
    </row>
    <row r="6" spans="1:10" ht="15" customHeight="1" x14ac:dyDescent="0.2">
      <c r="A6" s="13">
        <v>5</v>
      </c>
      <c r="B6" s="13" t="s">
        <v>83</v>
      </c>
      <c r="C6" s="13" t="s">
        <v>84</v>
      </c>
      <c r="D6" s="13" t="s">
        <v>71</v>
      </c>
      <c r="E6" s="13">
        <v>1</v>
      </c>
      <c r="F6" s="13" t="s">
        <v>72</v>
      </c>
      <c r="G6" s="13" t="s">
        <v>73</v>
      </c>
      <c r="H6" s="4" t="s">
        <v>77</v>
      </c>
      <c r="I6" s="14">
        <v>1052.5234375</v>
      </c>
      <c r="J6" s="15" t="s">
        <v>85</v>
      </c>
    </row>
    <row r="7" spans="1:10" ht="15" customHeight="1" x14ac:dyDescent="0.2">
      <c r="A7" s="13">
        <v>6</v>
      </c>
      <c r="B7" s="13" t="s">
        <v>86</v>
      </c>
      <c r="C7" s="13" t="s">
        <v>87</v>
      </c>
      <c r="D7" s="13" t="s">
        <v>88</v>
      </c>
      <c r="E7" s="13">
        <v>1</v>
      </c>
      <c r="F7" s="13" t="s">
        <v>72</v>
      </c>
      <c r="G7" s="13" t="s">
        <v>73</v>
      </c>
      <c r="H7" s="4" t="s">
        <v>74</v>
      </c>
      <c r="I7" s="14">
        <v>3329.676513671875</v>
      </c>
      <c r="J7" s="15"/>
    </row>
    <row r="8" spans="1:10" ht="22.25" customHeight="1" x14ac:dyDescent="0.2">
      <c r="A8" s="13">
        <v>7</v>
      </c>
      <c r="B8" s="13" t="s">
        <v>89</v>
      </c>
      <c r="C8" s="13" t="s">
        <v>90</v>
      </c>
      <c r="D8" s="13" t="s">
        <v>91</v>
      </c>
      <c r="E8" s="13">
        <v>2</v>
      </c>
      <c r="F8" s="13" t="s">
        <v>92</v>
      </c>
      <c r="G8" s="13" t="s">
        <v>73</v>
      </c>
      <c r="H8" s="4" t="s">
        <v>74</v>
      </c>
      <c r="I8" s="14">
        <v>1171.80517578125</v>
      </c>
      <c r="J8" s="15" t="s">
        <v>93</v>
      </c>
    </row>
    <row r="9" spans="1:10" ht="15" customHeight="1" x14ac:dyDescent="0.2">
      <c r="A9" s="13">
        <v>8</v>
      </c>
      <c r="B9" s="13" t="s">
        <v>94</v>
      </c>
      <c r="C9" s="13" t="s">
        <v>95</v>
      </c>
      <c r="D9" s="13" t="s">
        <v>96</v>
      </c>
      <c r="E9" s="13">
        <v>2</v>
      </c>
      <c r="F9" s="13" t="s">
        <v>92</v>
      </c>
      <c r="G9" s="13" t="s">
        <v>73</v>
      </c>
      <c r="H9" s="4" t="s">
        <v>74</v>
      </c>
      <c r="I9" s="14">
        <v>4588.80615234375</v>
      </c>
      <c r="J9" s="15"/>
    </row>
    <row r="10" spans="1:10" ht="15" customHeight="1" x14ac:dyDescent="0.2">
      <c r="A10" s="13">
        <v>9</v>
      </c>
      <c r="B10" s="13" t="s">
        <v>97</v>
      </c>
      <c r="C10" s="13" t="s">
        <v>98</v>
      </c>
      <c r="D10" s="13" t="s">
        <v>96</v>
      </c>
      <c r="E10" s="13">
        <v>2</v>
      </c>
      <c r="F10" s="13" t="s">
        <v>92</v>
      </c>
      <c r="G10" s="13" t="s">
        <v>73</v>
      </c>
      <c r="H10" s="4" t="s">
        <v>74</v>
      </c>
      <c r="I10" s="14">
        <v>260.35174560546881</v>
      </c>
      <c r="J10" s="15"/>
    </row>
    <row r="11" spans="1:10" ht="15" customHeight="1" x14ac:dyDescent="0.2">
      <c r="A11" s="13">
        <v>10</v>
      </c>
      <c r="B11" s="13" t="s">
        <v>99</v>
      </c>
      <c r="C11" s="13" t="s">
        <v>100</v>
      </c>
      <c r="D11" s="13" t="s">
        <v>101</v>
      </c>
      <c r="E11" s="13">
        <v>2</v>
      </c>
      <c r="F11" s="13" t="s">
        <v>92</v>
      </c>
      <c r="G11" s="13" t="s">
        <v>73</v>
      </c>
      <c r="H11" s="4" t="s">
        <v>74</v>
      </c>
      <c r="I11" s="14">
        <v>4615.25927734375</v>
      </c>
      <c r="J11" s="15"/>
    </row>
    <row r="12" spans="1:10" ht="15" customHeight="1" x14ac:dyDescent="0.2">
      <c r="A12" s="13">
        <v>11</v>
      </c>
      <c r="B12" s="13" t="s">
        <v>102</v>
      </c>
      <c r="C12" s="13" t="s">
        <v>103</v>
      </c>
      <c r="D12" s="13" t="s">
        <v>101</v>
      </c>
      <c r="E12" s="13">
        <v>2</v>
      </c>
      <c r="F12" s="13" t="s">
        <v>92</v>
      </c>
      <c r="G12" s="13" t="s">
        <v>73</v>
      </c>
      <c r="H12" s="4" t="s">
        <v>74</v>
      </c>
      <c r="I12" s="14">
        <v>1467.355346679688</v>
      </c>
      <c r="J12" s="15"/>
    </row>
    <row r="13" spans="1:10" ht="15" customHeight="1" x14ac:dyDescent="0.2">
      <c r="A13" s="13">
        <v>12</v>
      </c>
      <c r="B13" s="13" t="s">
        <v>104</v>
      </c>
      <c r="C13" s="13" t="s">
        <v>105</v>
      </c>
      <c r="D13" s="13" t="s">
        <v>101</v>
      </c>
      <c r="E13" s="13">
        <v>2</v>
      </c>
      <c r="F13" s="13" t="s">
        <v>92</v>
      </c>
      <c r="G13" s="13" t="s">
        <v>73</v>
      </c>
      <c r="H13" s="4" t="s">
        <v>74</v>
      </c>
      <c r="I13" s="14">
        <v>789.899169921875</v>
      </c>
      <c r="J13" s="15"/>
    </row>
    <row r="14" spans="1:10" ht="22.25" customHeight="1" x14ac:dyDescent="0.2">
      <c r="A14" s="13">
        <v>13</v>
      </c>
      <c r="B14" s="13" t="s">
        <v>106</v>
      </c>
      <c r="C14" s="13" t="s">
        <v>107</v>
      </c>
      <c r="D14" s="13" t="s">
        <v>108</v>
      </c>
      <c r="E14" s="13">
        <v>3</v>
      </c>
      <c r="F14" s="13" t="s">
        <v>109</v>
      </c>
      <c r="G14" s="13" t="s">
        <v>73</v>
      </c>
      <c r="H14" s="4" t="s">
        <v>77</v>
      </c>
      <c r="I14" s="14">
        <v>313.14334106445312</v>
      </c>
      <c r="J14" s="15" t="s">
        <v>110</v>
      </c>
    </row>
    <row r="15" spans="1:10" ht="22.25" customHeight="1" x14ac:dyDescent="0.2">
      <c r="A15" s="13">
        <v>14</v>
      </c>
      <c r="B15" s="13" t="s">
        <v>111</v>
      </c>
      <c r="C15" s="13" t="s">
        <v>112</v>
      </c>
      <c r="D15" s="13" t="s">
        <v>113</v>
      </c>
      <c r="E15" s="13">
        <v>3</v>
      </c>
      <c r="F15" s="13" t="s">
        <v>109</v>
      </c>
      <c r="G15" s="13" t="s">
        <v>73</v>
      </c>
      <c r="H15" s="4" t="s">
        <v>74</v>
      </c>
      <c r="I15" s="14">
        <v>1274.450561523438</v>
      </c>
      <c r="J15" s="15" t="s">
        <v>114</v>
      </c>
    </row>
    <row r="16" spans="1:10" ht="15" customHeight="1" x14ac:dyDescent="0.2">
      <c r="A16" s="13">
        <v>15</v>
      </c>
      <c r="B16" s="13" t="s">
        <v>115</v>
      </c>
      <c r="C16" s="13" t="s">
        <v>116</v>
      </c>
      <c r="D16" s="13" t="s">
        <v>117</v>
      </c>
      <c r="E16" s="13">
        <v>3</v>
      </c>
      <c r="F16" s="13" t="s">
        <v>109</v>
      </c>
      <c r="G16" s="13" t="s">
        <v>73</v>
      </c>
      <c r="H16" s="4" t="s">
        <v>77</v>
      </c>
      <c r="I16" s="14">
        <v>2815.33837890625</v>
      </c>
      <c r="J16" s="15"/>
    </row>
    <row r="17" spans="1:10" ht="15" customHeight="1" x14ac:dyDescent="0.2">
      <c r="A17" s="13">
        <v>16</v>
      </c>
      <c r="B17" s="13" t="s">
        <v>118</v>
      </c>
      <c r="C17" s="13" t="s">
        <v>119</v>
      </c>
      <c r="D17" s="13" t="s">
        <v>117</v>
      </c>
      <c r="E17" s="13">
        <v>3</v>
      </c>
      <c r="F17" s="13" t="s">
        <v>109</v>
      </c>
      <c r="G17" s="13" t="s">
        <v>73</v>
      </c>
      <c r="H17" s="4" t="s">
        <v>77</v>
      </c>
      <c r="I17" s="14">
        <v>1224.225952148438</v>
      </c>
      <c r="J17" s="15"/>
    </row>
    <row r="18" spans="1:10" ht="22.25" customHeight="1" x14ac:dyDescent="0.2">
      <c r="A18" s="13">
        <v>17</v>
      </c>
      <c r="B18" s="13" t="s">
        <v>120</v>
      </c>
      <c r="C18" s="13" t="s">
        <v>121</v>
      </c>
      <c r="D18" s="13" t="s">
        <v>117</v>
      </c>
      <c r="E18" s="13">
        <v>3</v>
      </c>
      <c r="F18" s="13" t="s">
        <v>109</v>
      </c>
      <c r="G18" s="13" t="s">
        <v>73</v>
      </c>
      <c r="H18" s="4" t="s">
        <v>77</v>
      </c>
      <c r="I18" s="14">
        <v>16181.3125</v>
      </c>
      <c r="J18" s="15" t="s">
        <v>122</v>
      </c>
    </row>
    <row r="19" spans="1:10" ht="15" customHeight="1" x14ac:dyDescent="0.2">
      <c r="A19" s="13">
        <v>18</v>
      </c>
      <c r="B19" s="13" t="s">
        <v>123</v>
      </c>
      <c r="C19" s="13" t="s">
        <v>124</v>
      </c>
      <c r="D19" s="13" t="s">
        <v>125</v>
      </c>
      <c r="E19" s="13">
        <v>3</v>
      </c>
      <c r="F19" s="13" t="s">
        <v>109</v>
      </c>
      <c r="G19" s="13" t="s">
        <v>73</v>
      </c>
      <c r="H19" s="4" t="s">
        <v>77</v>
      </c>
      <c r="I19" s="14">
        <v>6182.064453125</v>
      </c>
      <c r="J19" s="15"/>
    </row>
    <row r="20" spans="1:10" ht="15" customHeight="1" x14ac:dyDescent="0.2">
      <c r="A20" s="13">
        <v>19</v>
      </c>
      <c r="B20" s="13" t="s">
        <v>126</v>
      </c>
      <c r="C20" s="13" t="s">
        <v>127</v>
      </c>
      <c r="D20" s="13" t="s">
        <v>128</v>
      </c>
      <c r="E20" s="13">
        <v>4</v>
      </c>
      <c r="F20" s="13" t="s">
        <v>129</v>
      </c>
      <c r="G20" s="13" t="s">
        <v>130</v>
      </c>
      <c r="H20" s="4" t="s">
        <v>74</v>
      </c>
      <c r="I20" s="14">
        <v>44.933334350585938</v>
      </c>
      <c r="J20" s="15" t="s">
        <v>131</v>
      </c>
    </row>
    <row r="21" spans="1:10" ht="15" customHeight="1" x14ac:dyDescent="0.2">
      <c r="A21" s="13">
        <v>20</v>
      </c>
      <c r="B21" s="13" t="s">
        <v>132</v>
      </c>
      <c r="C21" s="13" t="s">
        <v>133</v>
      </c>
      <c r="D21" s="13" t="s">
        <v>128</v>
      </c>
      <c r="E21" s="13">
        <v>4</v>
      </c>
      <c r="F21" s="13" t="s">
        <v>129</v>
      </c>
      <c r="G21" s="13" t="s">
        <v>130</v>
      </c>
      <c r="H21" s="4" t="s">
        <v>74</v>
      </c>
      <c r="I21" s="14">
        <v>15494.48828125</v>
      </c>
      <c r="J21" s="15" t="s">
        <v>131</v>
      </c>
    </row>
    <row r="22" spans="1:10" ht="15" customHeight="1" x14ac:dyDescent="0.2">
      <c r="A22" s="13">
        <v>21</v>
      </c>
      <c r="B22" s="13" t="s">
        <v>134</v>
      </c>
      <c r="C22" s="13" t="s">
        <v>135</v>
      </c>
      <c r="D22" s="13" t="s">
        <v>128</v>
      </c>
      <c r="E22" s="13">
        <v>4</v>
      </c>
      <c r="F22" s="13" t="s">
        <v>129</v>
      </c>
      <c r="G22" s="13" t="s">
        <v>130</v>
      </c>
      <c r="H22" s="4" t="s">
        <v>74</v>
      </c>
      <c r="I22" s="14">
        <v>22.88047027587891</v>
      </c>
      <c r="J22" s="15" t="s">
        <v>131</v>
      </c>
    </row>
    <row r="23" spans="1:10" ht="22.25" customHeight="1" x14ac:dyDescent="0.2">
      <c r="A23" s="13">
        <v>22</v>
      </c>
      <c r="B23" s="13" t="s">
        <v>136</v>
      </c>
      <c r="C23" s="13" t="s">
        <v>137</v>
      </c>
      <c r="D23" s="13" t="s">
        <v>128</v>
      </c>
      <c r="E23" s="13">
        <v>4</v>
      </c>
      <c r="F23" s="13" t="s">
        <v>129</v>
      </c>
      <c r="G23" s="13" t="s">
        <v>130</v>
      </c>
      <c r="H23" s="4" t="s">
        <v>74</v>
      </c>
      <c r="I23" s="14">
        <v>17342.9921875</v>
      </c>
      <c r="J23" s="15" t="s">
        <v>138</v>
      </c>
    </row>
    <row r="25" spans="1:10" ht="15" customHeight="1" x14ac:dyDescent="0.2">
      <c r="B25" s="9" t="s">
        <v>139</v>
      </c>
    </row>
    <row r="26" spans="1:10" ht="15" customHeight="1" x14ac:dyDescent="0.2">
      <c r="B26" s="2" t="s">
        <v>140</v>
      </c>
    </row>
    <row r="27" spans="1:10" ht="15" customHeight="1" x14ac:dyDescent="0.2">
      <c r="B27" s="2" t="s">
        <v>141</v>
      </c>
    </row>
    <row r="28" spans="1:10" ht="15" customHeight="1" x14ac:dyDescent="0.2">
      <c r="B28" s="2" t="s">
        <v>142</v>
      </c>
    </row>
    <row r="29" spans="1:10" ht="15" customHeight="1" x14ac:dyDescent="0.2">
      <c r="B29" s="2" t="s">
        <v>143</v>
      </c>
    </row>
    <row r="30" spans="1:10" ht="15" customHeight="1" x14ac:dyDescent="0.2">
      <c r="B30" s="2" t="s">
        <v>144</v>
      </c>
    </row>
    <row r="31" spans="1:10" ht="15" customHeight="1" x14ac:dyDescent="0.2">
      <c r="B31" s="2" t="s">
        <v>145</v>
      </c>
    </row>
    <row r="32" spans="1:10" ht="15" customHeight="1" x14ac:dyDescent="0.2">
      <c r="B32" s="2" t="s">
        <v>146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46" customWidth="1"/>
    <col min="4" max="4" width="40" customWidth="1"/>
    <col min="5" max="5" width="22" customWidth="1"/>
    <col min="6" max="6" width="12" customWidth="1"/>
    <col min="7" max="7" width="44" customWidth="1"/>
  </cols>
  <sheetData>
    <row r="1" spans="1:7" ht="15" customHeight="1" x14ac:dyDescent="0.2">
      <c r="A1" s="12" t="s">
        <v>147</v>
      </c>
      <c r="B1" s="12" t="s">
        <v>36</v>
      </c>
      <c r="C1" s="12" t="s">
        <v>148</v>
      </c>
      <c r="D1" s="12" t="s">
        <v>149</v>
      </c>
      <c r="E1" s="12" t="s">
        <v>150</v>
      </c>
      <c r="F1" s="12" t="s">
        <v>151</v>
      </c>
      <c r="G1" s="12" t="s">
        <v>152</v>
      </c>
    </row>
    <row r="2" spans="1:7" ht="15" customHeight="1" x14ac:dyDescent="0.2">
      <c r="A2" s="16" t="s">
        <v>153</v>
      </c>
      <c r="B2" s="16" t="s">
        <v>39</v>
      </c>
      <c r="C2" s="16" t="s">
        <v>154</v>
      </c>
      <c r="D2" s="16" t="s">
        <v>155</v>
      </c>
      <c r="E2" s="16" t="s">
        <v>156</v>
      </c>
      <c r="F2" s="17" t="s">
        <v>157</v>
      </c>
      <c r="G2" s="16" t="s">
        <v>158</v>
      </c>
    </row>
    <row r="3" spans="1:7" ht="15" customHeight="1" x14ac:dyDescent="0.2">
      <c r="A3" s="16" t="s">
        <v>159</v>
      </c>
      <c r="B3" s="16" t="s">
        <v>160</v>
      </c>
      <c r="C3" s="16" t="s">
        <v>161</v>
      </c>
      <c r="D3" s="16" t="s">
        <v>162</v>
      </c>
      <c r="E3" s="16" t="s">
        <v>156</v>
      </c>
      <c r="F3" s="17" t="s">
        <v>157</v>
      </c>
      <c r="G3" s="16" t="s">
        <v>158</v>
      </c>
    </row>
    <row r="4" spans="1:7" ht="23.75" customHeight="1" x14ac:dyDescent="0.2">
      <c r="A4" s="16" t="s">
        <v>163</v>
      </c>
      <c r="B4" s="16" t="s">
        <v>42</v>
      </c>
      <c r="C4" s="16" t="s">
        <v>164</v>
      </c>
      <c r="D4" s="16" t="s">
        <v>165</v>
      </c>
      <c r="E4" s="16" t="s">
        <v>156</v>
      </c>
      <c r="F4" s="17" t="s">
        <v>157</v>
      </c>
      <c r="G4" s="16" t="s">
        <v>166</v>
      </c>
    </row>
    <row r="5" spans="1:7" ht="15" customHeight="1" x14ac:dyDescent="0.2">
      <c r="A5" s="16" t="s">
        <v>167</v>
      </c>
      <c r="B5" s="16" t="s">
        <v>168</v>
      </c>
      <c r="C5" s="16" t="s">
        <v>169</v>
      </c>
      <c r="D5" s="16" t="s">
        <v>170</v>
      </c>
      <c r="E5" s="16" t="s">
        <v>156</v>
      </c>
      <c r="F5" s="17" t="s">
        <v>157</v>
      </c>
      <c r="G5" s="16" t="s">
        <v>171</v>
      </c>
    </row>
    <row r="6" spans="1:7" ht="15" customHeight="1" x14ac:dyDescent="0.2">
      <c r="A6" s="16" t="s">
        <v>172</v>
      </c>
      <c r="B6" s="16" t="s">
        <v>173</v>
      </c>
      <c r="C6" s="16" t="s">
        <v>174</v>
      </c>
      <c r="D6" s="16" t="s">
        <v>175</v>
      </c>
      <c r="E6" s="16" t="s">
        <v>156</v>
      </c>
      <c r="F6" s="17" t="s">
        <v>157</v>
      </c>
      <c r="G6" s="16" t="s">
        <v>176</v>
      </c>
    </row>
    <row r="7" spans="1:7" ht="15" customHeight="1" x14ac:dyDescent="0.2">
      <c r="A7" s="16" t="s">
        <v>177</v>
      </c>
      <c r="B7" s="16" t="s">
        <v>45</v>
      </c>
      <c r="C7" s="16" t="s">
        <v>178</v>
      </c>
      <c r="D7" s="16" t="s">
        <v>179</v>
      </c>
      <c r="E7" s="16" t="s">
        <v>180</v>
      </c>
      <c r="F7" s="17" t="s">
        <v>157</v>
      </c>
      <c r="G7" s="16" t="s">
        <v>181</v>
      </c>
    </row>
    <row r="8" spans="1:7" ht="15" customHeight="1" x14ac:dyDescent="0.2">
      <c r="A8" s="16" t="s">
        <v>182</v>
      </c>
      <c r="B8" s="16" t="s">
        <v>47</v>
      </c>
      <c r="C8" s="16" t="s">
        <v>183</v>
      </c>
      <c r="D8" s="16" t="s">
        <v>184</v>
      </c>
      <c r="E8" s="16" t="s">
        <v>180</v>
      </c>
      <c r="F8" s="17" t="s">
        <v>157</v>
      </c>
      <c r="G8" s="16" t="s">
        <v>185</v>
      </c>
    </row>
    <row r="9" spans="1:7" ht="15" customHeight="1" x14ac:dyDescent="0.2">
      <c r="A9" s="16" t="s">
        <v>186</v>
      </c>
      <c r="B9" s="16" t="s">
        <v>50</v>
      </c>
      <c r="C9" s="16" t="s">
        <v>187</v>
      </c>
      <c r="D9" s="16" t="s">
        <v>188</v>
      </c>
      <c r="E9" s="16" t="s">
        <v>180</v>
      </c>
      <c r="F9" s="17" t="s">
        <v>157</v>
      </c>
      <c r="G9" s="16" t="s">
        <v>29</v>
      </c>
    </row>
    <row r="10" spans="1:7" ht="15" customHeight="1" x14ac:dyDescent="0.2">
      <c r="A10" s="16" t="s">
        <v>189</v>
      </c>
      <c r="B10" s="16" t="s">
        <v>190</v>
      </c>
      <c r="C10" s="16" t="s">
        <v>191</v>
      </c>
      <c r="D10" s="16" t="s">
        <v>192</v>
      </c>
      <c r="E10" s="16" t="s">
        <v>180</v>
      </c>
      <c r="F10" s="17" t="s">
        <v>157</v>
      </c>
      <c r="G10" s="16" t="s">
        <v>193</v>
      </c>
    </row>
    <row r="11" spans="1:7" ht="23.75" customHeight="1" x14ac:dyDescent="0.2">
      <c r="A11" s="16" t="s">
        <v>194</v>
      </c>
      <c r="B11" s="16" t="s">
        <v>195</v>
      </c>
      <c r="C11" s="16" t="s">
        <v>196</v>
      </c>
      <c r="D11" s="16" t="s">
        <v>197</v>
      </c>
      <c r="E11" s="16" t="s">
        <v>156</v>
      </c>
      <c r="F11" s="16" t="s">
        <v>198</v>
      </c>
      <c r="G11" s="16" t="s">
        <v>199</v>
      </c>
    </row>
    <row r="12" spans="1:7" ht="23.75" customHeight="1" x14ac:dyDescent="0.2">
      <c r="A12" s="16" t="s">
        <v>200</v>
      </c>
      <c r="B12" s="16" t="s">
        <v>201</v>
      </c>
      <c r="C12" s="16" t="s">
        <v>202</v>
      </c>
      <c r="D12" s="16" t="s">
        <v>203</v>
      </c>
      <c r="E12" s="16" t="s">
        <v>180</v>
      </c>
      <c r="F12" s="16" t="s">
        <v>198</v>
      </c>
      <c r="G12" s="16" t="s">
        <v>199</v>
      </c>
    </row>
    <row r="13" spans="1:7" ht="23.75" customHeight="1" x14ac:dyDescent="0.2">
      <c r="A13" s="16" t="s">
        <v>204</v>
      </c>
      <c r="B13" s="16" t="s">
        <v>205</v>
      </c>
      <c r="C13" s="16" t="s">
        <v>206</v>
      </c>
      <c r="D13" s="16" t="s">
        <v>207</v>
      </c>
      <c r="E13" s="16" t="s">
        <v>180</v>
      </c>
      <c r="F13" s="16" t="s">
        <v>198</v>
      </c>
      <c r="G13" s="16" t="s">
        <v>208</v>
      </c>
    </row>
    <row r="14" spans="1:7" ht="23.75" customHeight="1" x14ac:dyDescent="0.2">
      <c r="A14" s="16" t="s">
        <v>209</v>
      </c>
      <c r="B14" s="16" t="s">
        <v>53</v>
      </c>
      <c r="C14" s="16" t="s">
        <v>55</v>
      </c>
      <c r="D14" s="16" t="s">
        <v>210</v>
      </c>
      <c r="E14" s="16" t="s">
        <v>211</v>
      </c>
      <c r="F14" s="17" t="s">
        <v>157</v>
      </c>
      <c r="G14" s="16" t="s">
        <v>212</v>
      </c>
    </row>
    <row r="15" spans="1:7" ht="15" customHeight="1" x14ac:dyDescent="0.2">
      <c r="A15" s="10"/>
      <c r="B15" s="10"/>
      <c r="C15" s="10"/>
      <c r="D15" s="10"/>
      <c r="E15" s="10"/>
      <c r="F15" s="10"/>
      <c r="G15" s="10"/>
    </row>
    <row r="16" spans="1:7" ht="23.75" customHeight="1" x14ac:dyDescent="0.2">
      <c r="A16" s="16" t="s">
        <v>213</v>
      </c>
      <c r="B16" s="16" t="s">
        <v>42</v>
      </c>
      <c r="C16" s="16" t="s">
        <v>214</v>
      </c>
      <c r="D16" s="16" t="s">
        <v>215</v>
      </c>
      <c r="E16" s="16" t="s">
        <v>156</v>
      </c>
      <c r="F16" s="17" t="s">
        <v>157</v>
      </c>
      <c r="G16" s="16" t="s">
        <v>216</v>
      </c>
    </row>
    <row r="17" spans="1:7" ht="15" customHeight="1" x14ac:dyDescent="0.2">
      <c r="A17" s="16" t="s">
        <v>217</v>
      </c>
      <c r="B17" s="16" t="s">
        <v>168</v>
      </c>
      <c r="C17" s="16" t="s">
        <v>218</v>
      </c>
      <c r="D17" s="16" t="s">
        <v>219</v>
      </c>
      <c r="E17" s="16" t="s">
        <v>156</v>
      </c>
      <c r="F17" s="17" t="s">
        <v>157</v>
      </c>
      <c r="G17" s="16" t="s">
        <v>220</v>
      </c>
    </row>
    <row r="18" spans="1:7" ht="15" customHeight="1" x14ac:dyDescent="0.2">
      <c r="A18" s="16" t="s">
        <v>221</v>
      </c>
      <c r="B18" s="16" t="s">
        <v>173</v>
      </c>
      <c r="C18" s="16" t="s">
        <v>222</v>
      </c>
      <c r="D18" s="16" t="s">
        <v>219</v>
      </c>
      <c r="E18" s="16" t="s">
        <v>156</v>
      </c>
      <c r="F18" s="17" t="s">
        <v>157</v>
      </c>
      <c r="G18" s="16" t="s">
        <v>223</v>
      </c>
    </row>
    <row r="19" spans="1:7" ht="15" customHeight="1" x14ac:dyDescent="0.2">
      <c r="A19" s="16" t="s">
        <v>224</v>
      </c>
      <c r="B19" s="16" t="s">
        <v>225</v>
      </c>
      <c r="C19" s="16" t="s">
        <v>226</v>
      </c>
      <c r="D19" s="16" t="s">
        <v>219</v>
      </c>
      <c r="E19" s="16" t="s">
        <v>156</v>
      </c>
      <c r="F19" s="17" t="s">
        <v>157</v>
      </c>
      <c r="G19" s="16" t="s">
        <v>227</v>
      </c>
    </row>
    <row r="20" spans="1:7" ht="23.75" customHeight="1" x14ac:dyDescent="0.2">
      <c r="A20" s="16" t="s">
        <v>228</v>
      </c>
      <c r="B20" s="16" t="s">
        <v>229</v>
      </c>
      <c r="C20" s="16" t="s">
        <v>230</v>
      </c>
      <c r="D20" s="16" t="s">
        <v>219</v>
      </c>
      <c r="E20" s="16" t="s">
        <v>156</v>
      </c>
      <c r="F20" s="17" t="s">
        <v>157</v>
      </c>
      <c r="G20" s="16" t="s">
        <v>227</v>
      </c>
    </row>
    <row r="21" spans="1:7" ht="23.75" customHeight="1" x14ac:dyDescent="0.2">
      <c r="A21" s="16" t="s">
        <v>231</v>
      </c>
      <c r="B21" s="16" t="s">
        <v>232</v>
      </c>
      <c r="C21" s="16" t="s">
        <v>233</v>
      </c>
      <c r="D21" s="16" t="s">
        <v>219</v>
      </c>
      <c r="E21" s="16" t="s">
        <v>156</v>
      </c>
      <c r="F21" s="16" t="s">
        <v>198</v>
      </c>
      <c r="G21" s="16" t="s">
        <v>234</v>
      </c>
    </row>
    <row r="22" spans="1:7" ht="35" customHeight="1" x14ac:dyDescent="0.2">
      <c r="A22" s="16" t="s">
        <v>235</v>
      </c>
      <c r="B22" s="16" t="s">
        <v>236</v>
      </c>
      <c r="C22" s="16" t="s">
        <v>237</v>
      </c>
      <c r="D22" s="16" t="s">
        <v>219</v>
      </c>
      <c r="E22" s="16" t="s">
        <v>180</v>
      </c>
      <c r="F22" s="17" t="s">
        <v>157</v>
      </c>
      <c r="G22" s="16" t="s">
        <v>181</v>
      </c>
    </row>
    <row r="23" spans="1:7" ht="15" customHeight="1" x14ac:dyDescent="0.2">
      <c r="A23" s="16" t="s">
        <v>238</v>
      </c>
      <c r="B23" s="16" t="s">
        <v>239</v>
      </c>
      <c r="C23" s="16" t="s">
        <v>240</v>
      </c>
      <c r="D23" s="16" t="s">
        <v>219</v>
      </c>
      <c r="E23" s="16" t="s">
        <v>180</v>
      </c>
      <c r="F23" s="17" t="s">
        <v>157</v>
      </c>
      <c r="G23" s="16" t="s">
        <v>241</v>
      </c>
    </row>
    <row r="24" spans="1:7" ht="23.75" customHeight="1" x14ac:dyDescent="0.2">
      <c r="A24" s="16" t="s">
        <v>242</v>
      </c>
      <c r="B24" s="16" t="s">
        <v>243</v>
      </c>
      <c r="C24" s="16" t="s">
        <v>244</v>
      </c>
      <c r="D24" s="16" t="s">
        <v>219</v>
      </c>
      <c r="E24" s="16" t="s">
        <v>180</v>
      </c>
      <c r="F24" s="17" t="s">
        <v>157</v>
      </c>
      <c r="G24" s="16" t="s">
        <v>245</v>
      </c>
    </row>
    <row r="25" spans="1:7" ht="35" customHeight="1" x14ac:dyDescent="0.2">
      <c r="A25" s="16" t="s">
        <v>246</v>
      </c>
      <c r="B25" s="16" t="s">
        <v>50</v>
      </c>
      <c r="C25" s="16" t="s">
        <v>247</v>
      </c>
      <c r="D25" s="16" t="s">
        <v>219</v>
      </c>
      <c r="E25" s="16" t="s">
        <v>180</v>
      </c>
      <c r="F25" s="17" t="s">
        <v>157</v>
      </c>
      <c r="G25" s="16" t="s">
        <v>245</v>
      </c>
    </row>
    <row r="26" spans="1:7" ht="15" customHeight="1" x14ac:dyDescent="0.2">
      <c r="A26" s="16" t="s">
        <v>248</v>
      </c>
      <c r="B26" s="16" t="s">
        <v>190</v>
      </c>
      <c r="C26" s="16" t="s">
        <v>249</v>
      </c>
      <c r="D26" s="16" t="s">
        <v>219</v>
      </c>
      <c r="E26" s="16" t="s">
        <v>180</v>
      </c>
      <c r="F26" s="17" t="s">
        <v>157</v>
      </c>
      <c r="G26" s="16" t="s">
        <v>193</v>
      </c>
    </row>
    <row r="28" spans="1:7" ht="15" customHeight="1" x14ac:dyDescent="0.2">
      <c r="A28" s="2" t="s">
        <v>250</v>
      </c>
    </row>
    <row r="29" spans="1:7" ht="15" customHeight="1" x14ac:dyDescent="0.2">
      <c r="A29" s="2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3"/>
  <sheetViews>
    <sheetView zoomScaleNormal="100" workbookViewId="0">
      <pane xSplit="5" ySplit="1" topLeftCell="K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3" customWidth="1"/>
    <col min="2" max="2" width="7" customWidth="1"/>
    <col min="3" max="3" width="30" customWidth="1"/>
    <col min="4" max="4" width="7" customWidth="1"/>
    <col min="5" max="5" width="9" customWidth="1"/>
    <col min="6" max="18" width="15" customWidth="1"/>
    <col min="19" max="19" width="24" customWidth="1"/>
    <col min="20" max="20" width="30" customWidth="1"/>
  </cols>
  <sheetData>
    <row r="1" spans="1:20" ht="42" customHeight="1" x14ac:dyDescent="0.2">
      <c r="A1" s="12" t="s">
        <v>252</v>
      </c>
      <c r="B1" s="12" t="s">
        <v>253</v>
      </c>
      <c r="C1" s="12" t="s">
        <v>254</v>
      </c>
      <c r="D1" s="12" t="s">
        <v>255</v>
      </c>
      <c r="E1" s="12" t="s">
        <v>256</v>
      </c>
      <c r="F1" s="12" t="s">
        <v>39</v>
      </c>
      <c r="G1" s="12" t="s">
        <v>160</v>
      </c>
      <c r="H1" s="12" t="s">
        <v>42</v>
      </c>
      <c r="I1" s="12" t="s">
        <v>168</v>
      </c>
      <c r="J1" s="12" t="s">
        <v>173</v>
      </c>
      <c r="K1" s="12" t="s">
        <v>45</v>
      </c>
      <c r="L1" s="12" t="s">
        <v>47</v>
      </c>
      <c r="M1" s="12" t="s">
        <v>50</v>
      </c>
      <c r="N1" s="12" t="s">
        <v>190</v>
      </c>
      <c r="O1" s="12" t="s">
        <v>195</v>
      </c>
      <c r="P1" s="12" t="s">
        <v>201</v>
      </c>
      <c r="Q1" s="12" t="s">
        <v>205</v>
      </c>
      <c r="R1" s="12" t="s">
        <v>53</v>
      </c>
      <c r="S1" s="12" t="s">
        <v>56</v>
      </c>
      <c r="T1" s="12" t="s">
        <v>257</v>
      </c>
    </row>
    <row r="2" spans="1:20" ht="15" customHeight="1" x14ac:dyDescent="0.2">
      <c r="A2" s="8" t="s">
        <v>69</v>
      </c>
      <c r="B2" s="8">
        <v>1</v>
      </c>
      <c r="C2" s="8" t="s">
        <v>72</v>
      </c>
      <c r="D2" s="18">
        <v>2017</v>
      </c>
      <c r="E2" s="7" t="str">
        <f>IFERROR(INDEX(Empresas!$H$2:$H$23,MATCH($A2,Empresas!$B$2:$B$23,0))&amp;"","")</f>
        <v>CLP</v>
      </c>
      <c r="F2" s="19">
        <v>150618761</v>
      </c>
      <c r="G2" s="19">
        <v>237111903</v>
      </c>
      <c r="H2" s="19">
        <v>1796880136</v>
      </c>
      <c r="I2" s="19">
        <v>1103580659</v>
      </c>
      <c r="J2" s="19">
        <v>693299477</v>
      </c>
      <c r="K2" s="19">
        <v>509540577</v>
      </c>
      <c r="L2" s="19">
        <v>31112258</v>
      </c>
      <c r="M2" s="19">
        <v>189822878</v>
      </c>
      <c r="N2" s="19">
        <v>143482253</v>
      </c>
      <c r="O2" s="19">
        <v>642630776</v>
      </c>
      <c r="P2" s="19">
        <v>139620280</v>
      </c>
      <c r="Q2" s="19">
        <v>226819054</v>
      </c>
      <c r="R2" s="14">
        <v>236.9022521972656</v>
      </c>
      <c r="S2" s="4" t="s">
        <v>258</v>
      </c>
      <c r="T2" s="4"/>
    </row>
    <row r="3" spans="1:20" ht="15" customHeight="1" x14ac:dyDescent="0.2">
      <c r="A3" s="8" t="s">
        <v>69</v>
      </c>
      <c r="B3" s="8">
        <v>1</v>
      </c>
      <c r="C3" s="8" t="s">
        <v>72</v>
      </c>
      <c r="D3" s="18">
        <v>2018</v>
      </c>
      <c r="E3" s="7" t="str">
        <f>IFERROR(INDEX(Empresas!$H$2:$H$23,MATCH($A3,Empresas!$B$2:$B$23,0))&amp;"","")</f>
        <v>CLP</v>
      </c>
      <c r="F3" s="19">
        <v>168513972</v>
      </c>
      <c r="G3" s="19">
        <v>242318524</v>
      </c>
      <c r="H3" s="19">
        <v>1906052099</v>
      </c>
      <c r="I3" s="19">
        <v>1219060702</v>
      </c>
      <c r="J3" s="19">
        <v>686991397</v>
      </c>
      <c r="K3" s="19">
        <v>530404680</v>
      </c>
      <c r="L3" s="19">
        <v>29996785</v>
      </c>
      <c r="M3" s="19">
        <v>185824777</v>
      </c>
      <c r="N3" s="19">
        <v>139318355</v>
      </c>
      <c r="O3" s="19">
        <v>638620655</v>
      </c>
      <c r="P3" s="19">
        <v>136056517</v>
      </c>
      <c r="Q3" s="19">
        <v>233071676</v>
      </c>
      <c r="R3" s="14">
        <v>234.73774719238281</v>
      </c>
      <c r="S3" s="4" t="s">
        <v>259</v>
      </c>
      <c r="T3" s="4"/>
    </row>
    <row r="4" spans="1:20" ht="15" customHeight="1" x14ac:dyDescent="0.2">
      <c r="A4" s="8" t="s">
        <v>69</v>
      </c>
      <c r="B4" s="8">
        <v>1</v>
      </c>
      <c r="C4" s="8" t="s">
        <v>72</v>
      </c>
      <c r="D4" s="18">
        <v>2019</v>
      </c>
      <c r="E4" s="7" t="str">
        <f>IFERROR(INDEX(Empresas!$H$2:$H$23,MATCH($A4,Empresas!$B$2:$B$23,0))&amp;"","")</f>
        <v>CLP</v>
      </c>
      <c r="F4" s="19">
        <v>197676646</v>
      </c>
      <c r="G4" s="19">
        <v>242137717</v>
      </c>
      <c r="H4" s="19">
        <v>2001444302</v>
      </c>
      <c r="I4" s="19">
        <v>1313970839</v>
      </c>
      <c r="J4" s="19">
        <v>687473463</v>
      </c>
      <c r="K4" s="19">
        <v>484329084</v>
      </c>
      <c r="L4" s="19">
        <v>26752209</v>
      </c>
      <c r="M4" s="19">
        <v>192072838</v>
      </c>
      <c r="N4" s="19">
        <v>139750372</v>
      </c>
      <c r="O4" s="19">
        <v>644453334</v>
      </c>
      <c r="P4" s="19">
        <v>141737188</v>
      </c>
      <c r="Q4" s="19">
        <v>235636236</v>
      </c>
      <c r="R4" s="14">
        <v>207.44206237792969</v>
      </c>
      <c r="S4" s="4" t="s">
        <v>260</v>
      </c>
      <c r="T4" s="4"/>
    </row>
    <row r="5" spans="1:20" ht="15" customHeight="1" x14ac:dyDescent="0.2">
      <c r="A5" s="8" t="s">
        <v>69</v>
      </c>
      <c r="B5" s="8">
        <v>1</v>
      </c>
      <c r="C5" s="8" t="s">
        <v>72</v>
      </c>
      <c r="D5" s="18">
        <v>2020</v>
      </c>
      <c r="E5" s="7" t="str">
        <f>IFERROR(INDEX(Empresas!$H$2:$H$23,MATCH($A5,Empresas!$B$2:$B$23,0))&amp;"","")</f>
        <v>CLP</v>
      </c>
      <c r="F5" s="19">
        <v>302254499</v>
      </c>
      <c r="G5" s="19">
        <v>244032589</v>
      </c>
      <c r="H5" s="19">
        <v>2144436488</v>
      </c>
      <c r="I5" s="19">
        <v>1303687681</v>
      </c>
      <c r="J5" s="19">
        <v>840748807</v>
      </c>
      <c r="K5" s="19">
        <v>478773563</v>
      </c>
      <c r="L5" s="19">
        <v>28172393</v>
      </c>
      <c r="M5" s="19">
        <v>115681631</v>
      </c>
      <c r="N5" s="19">
        <v>100365495</v>
      </c>
      <c r="O5" s="19">
        <v>840723242</v>
      </c>
      <c r="P5" s="19">
        <v>98691668</v>
      </c>
      <c r="Q5" s="19">
        <v>162824880</v>
      </c>
      <c r="R5" s="14">
        <v>159.16322326660159</v>
      </c>
      <c r="S5" s="4" t="s">
        <v>261</v>
      </c>
      <c r="T5" s="4"/>
    </row>
    <row r="6" spans="1:20" ht="15" customHeight="1" x14ac:dyDescent="0.2">
      <c r="A6" s="8" t="s">
        <v>69</v>
      </c>
      <c r="B6" s="8">
        <v>1</v>
      </c>
      <c r="C6" s="8" t="s">
        <v>72</v>
      </c>
      <c r="D6" s="18">
        <v>2021</v>
      </c>
      <c r="E6" s="7" t="str">
        <f>IFERROR(INDEX(Empresas!$H$2:$H$23,MATCH($A6,Empresas!$B$2:$B$23,0))&amp;"","")</f>
        <v>CLP</v>
      </c>
      <c r="F6" s="19">
        <v>283854689</v>
      </c>
      <c r="G6" s="19">
        <v>248642211</v>
      </c>
      <c r="H6" s="19">
        <v>2229221610</v>
      </c>
      <c r="I6" s="19">
        <v>1386673897</v>
      </c>
      <c r="J6" s="19">
        <v>842547713</v>
      </c>
      <c r="K6" s="19">
        <v>506459633</v>
      </c>
      <c r="L6" s="19">
        <v>27862844</v>
      </c>
      <c r="M6" s="19">
        <v>120309420</v>
      </c>
      <c r="N6" s="19">
        <v>100646534</v>
      </c>
      <c r="O6" s="19">
        <v>842520215</v>
      </c>
      <c r="P6" s="19">
        <v>100644529</v>
      </c>
      <c r="Q6" s="19">
        <v>212947803</v>
      </c>
      <c r="R6" s="14">
        <v>118.440071105957</v>
      </c>
      <c r="S6" s="4" t="s">
        <v>262</v>
      </c>
      <c r="T6" s="4"/>
    </row>
    <row r="7" spans="1:20" ht="15" customHeight="1" x14ac:dyDescent="0.2">
      <c r="A7" s="8" t="s">
        <v>69</v>
      </c>
      <c r="B7" s="8">
        <v>1</v>
      </c>
      <c r="C7" s="8" t="s">
        <v>72</v>
      </c>
      <c r="D7" s="18">
        <v>2022</v>
      </c>
      <c r="E7" s="7" t="str">
        <f>IFERROR(INDEX(Empresas!$H$2:$H$23,MATCH($A7,Empresas!$B$2:$B$23,0))&amp;"","")</f>
        <v>CLP</v>
      </c>
      <c r="F7" s="19">
        <v>324838124</v>
      </c>
      <c r="G7" s="19">
        <v>265797147</v>
      </c>
      <c r="H7" s="19">
        <v>2379349560</v>
      </c>
      <c r="I7" s="19">
        <v>1540458461</v>
      </c>
      <c r="J7" s="19">
        <v>838891099</v>
      </c>
      <c r="K7" s="19">
        <v>575465445</v>
      </c>
      <c r="L7" s="19">
        <v>36630374</v>
      </c>
      <c r="M7" s="19">
        <v>82672491</v>
      </c>
      <c r="N7" s="19">
        <v>85250874</v>
      </c>
      <c r="O7" s="19">
        <v>838861526</v>
      </c>
      <c r="P7" s="19">
        <v>85248734</v>
      </c>
      <c r="Q7" s="19">
        <v>228258340</v>
      </c>
      <c r="R7" s="14">
        <v>160.16978454589841</v>
      </c>
      <c r="S7" s="4" t="s">
        <v>263</v>
      </c>
      <c r="T7" s="4"/>
    </row>
    <row r="8" spans="1:20" ht="15" customHeight="1" x14ac:dyDescent="0.2">
      <c r="A8" s="8" t="s">
        <v>69</v>
      </c>
      <c r="B8" s="8">
        <v>1</v>
      </c>
      <c r="C8" s="8" t="s">
        <v>72</v>
      </c>
      <c r="D8" s="18">
        <v>2023</v>
      </c>
      <c r="E8" s="7" t="str">
        <f>IFERROR(INDEX(Empresas!$H$2:$H$23,MATCH($A8,Empresas!$B$2:$B$23,0))&amp;"","")</f>
        <v>CLP</v>
      </c>
      <c r="F8" s="19">
        <v>275004410</v>
      </c>
      <c r="G8" s="19">
        <v>361668126</v>
      </c>
      <c r="H8" s="19">
        <v>2423347729</v>
      </c>
      <c r="I8" s="19">
        <v>1537208431</v>
      </c>
      <c r="J8" s="19">
        <v>886139298</v>
      </c>
      <c r="K8" s="19">
        <v>640855854</v>
      </c>
      <c r="L8" s="19">
        <v>48849432</v>
      </c>
      <c r="M8" s="19">
        <v>167301553</v>
      </c>
      <c r="N8" s="19">
        <v>133392316</v>
      </c>
      <c r="O8" s="19">
        <v>886107830</v>
      </c>
      <c r="P8" s="19">
        <v>133390421</v>
      </c>
      <c r="Q8" s="19">
        <v>256251484</v>
      </c>
      <c r="R8" s="14">
        <v>246.37361145019531</v>
      </c>
      <c r="S8" s="4" t="s">
        <v>264</v>
      </c>
      <c r="T8" s="4"/>
    </row>
    <row r="9" spans="1:20" ht="15" customHeight="1" x14ac:dyDescent="0.2">
      <c r="A9" s="8" t="s">
        <v>69</v>
      </c>
      <c r="B9" s="8">
        <v>1</v>
      </c>
      <c r="C9" s="8" t="s">
        <v>72</v>
      </c>
      <c r="D9" s="18">
        <v>2024</v>
      </c>
      <c r="E9" s="7" t="str">
        <f>IFERROR(INDEX(Empresas!$H$2:$H$23,MATCH($A9,Empresas!$B$2:$B$23,0))&amp;"","")</f>
        <v>CLP</v>
      </c>
      <c r="F9" s="19">
        <v>288702263</v>
      </c>
      <c r="G9" s="19">
        <v>351513489</v>
      </c>
      <c r="H9" s="19">
        <v>3018159335</v>
      </c>
      <c r="I9" s="19">
        <v>1726043867</v>
      </c>
      <c r="J9" s="19">
        <v>1292115468</v>
      </c>
      <c r="K9" s="19">
        <v>663124854</v>
      </c>
      <c r="L9" s="19">
        <v>49334397</v>
      </c>
      <c r="M9" s="19">
        <v>158648372</v>
      </c>
      <c r="N9" s="19">
        <v>124341654</v>
      </c>
      <c r="O9" s="19">
        <v>1292066950</v>
      </c>
      <c r="P9" s="19">
        <v>124339646</v>
      </c>
      <c r="Q9" s="19">
        <v>250689914</v>
      </c>
      <c r="R9" s="14">
        <v>273.23779296875</v>
      </c>
      <c r="S9" s="4" t="s">
        <v>265</v>
      </c>
      <c r="T9" s="4"/>
    </row>
    <row r="10" spans="1:20" ht="15" customHeight="1" x14ac:dyDescent="0.2">
      <c r="A10" s="8" t="s">
        <v>69</v>
      </c>
      <c r="B10" s="8">
        <v>1</v>
      </c>
      <c r="C10" s="8" t="s">
        <v>72</v>
      </c>
      <c r="D10" s="18">
        <v>2025</v>
      </c>
      <c r="E10" s="7" t="str">
        <f>IFERROR(INDEX(Empresas!$H$2:$H$23,MATCH($A10,Empresas!$B$2:$B$23,0))&amp;"","")</f>
        <v>CLP</v>
      </c>
      <c r="F10" s="19">
        <v>349120706</v>
      </c>
      <c r="G10" s="19">
        <v>279876332</v>
      </c>
      <c r="H10" s="19">
        <v>3160940487</v>
      </c>
      <c r="I10" s="19">
        <v>1837956795</v>
      </c>
      <c r="J10" s="19">
        <v>1322983692</v>
      </c>
      <c r="K10" s="19">
        <v>712787064</v>
      </c>
      <c r="L10" s="19">
        <v>55425087</v>
      </c>
      <c r="M10" s="19">
        <v>177385719</v>
      </c>
      <c r="N10" s="19">
        <v>139810947</v>
      </c>
      <c r="O10" s="19">
        <v>1322935141</v>
      </c>
      <c r="P10" s="19">
        <v>139808491</v>
      </c>
      <c r="Q10" s="19">
        <v>270051183</v>
      </c>
      <c r="R10" s="14">
        <v>358.47021484375</v>
      </c>
      <c r="S10" s="4" t="s">
        <v>266</v>
      </c>
      <c r="T10" s="4"/>
    </row>
    <row r="11" spans="1:20" ht="15" customHeight="1" x14ac:dyDescent="0.2">
      <c r="A11" s="8" t="s">
        <v>75</v>
      </c>
      <c r="B11" s="8">
        <v>1</v>
      </c>
      <c r="C11" s="8" t="s">
        <v>72</v>
      </c>
      <c r="D11" s="18">
        <v>2017</v>
      </c>
      <c r="E11" s="7" t="str">
        <f>IFERROR(INDEX(Empresas!$H$2:$H$23,MATCH($A11,Empresas!$B$2:$B$23,0))&amp;"","")</f>
        <v>USD</v>
      </c>
      <c r="F11" s="19">
        <v>1147162</v>
      </c>
      <c r="G11" s="19">
        <v>360397</v>
      </c>
      <c r="H11" s="19">
        <v>6922542</v>
      </c>
      <c r="I11" s="19">
        <v>2971835</v>
      </c>
      <c r="J11" s="19">
        <v>3950707</v>
      </c>
      <c r="K11" s="19">
        <v>1548412</v>
      </c>
      <c r="L11" s="19">
        <v>84954</v>
      </c>
      <c r="M11" s="19">
        <v>322682</v>
      </c>
      <c r="N11" s="19">
        <v>288602</v>
      </c>
      <c r="O11" s="19">
        <v>3724532</v>
      </c>
      <c r="P11" s="19">
        <v>270985</v>
      </c>
      <c r="Q11" s="19">
        <v>383837</v>
      </c>
      <c r="R11" s="14">
        <v>140.41795349121091</v>
      </c>
      <c r="S11" s="4" t="s">
        <v>258</v>
      </c>
      <c r="T11" s="4"/>
    </row>
    <row r="12" spans="1:20" ht="15" customHeight="1" x14ac:dyDescent="0.2">
      <c r="A12" s="8" t="s">
        <v>75</v>
      </c>
      <c r="B12" s="8">
        <v>1</v>
      </c>
      <c r="C12" s="8" t="s">
        <v>72</v>
      </c>
      <c r="D12" s="18">
        <v>2018</v>
      </c>
      <c r="E12" s="7" t="str">
        <f>IFERROR(INDEX(Empresas!$H$2:$H$23,MATCH($A12,Empresas!$B$2:$B$23,0))&amp;"","")</f>
        <v>USD</v>
      </c>
      <c r="F12" s="19">
        <v>1151263</v>
      </c>
      <c r="G12" s="19">
        <v>345365</v>
      </c>
      <c r="H12" s="19">
        <v>6778349</v>
      </c>
      <c r="I12" s="19">
        <v>2921411</v>
      </c>
      <c r="J12" s="19">
        <v>3856938</v>
      </c>
      <c r="K12" s="19">
        <v>1571347</v>
      </c>
      <c r="L12" s="19">
        <v>83871</v>
      </c>
      <c r="M12" s="19">
        <v>328843</v>
      </c>
      <c r="N12" s="19">
        <v>230425</v>
      </c>
      <c r="O12" s="19">
        <v>3656514</v>
      </c>
      <c r="P12" s="19">
        <v>240350</v>
      </c>
      <c r="Q12" s="19">
        <v>393600</v>
      </c>
      <c r="R12" s="14">
        <v>138.3588562011719</v>
      </c>
      <c r="S12" s="4" t="s">
        <v>259</v>
      </c>
      <c r="T12" s="4"/>
    </row>
    <row r="13" spans="1:20" ht="15" customHeight="1" x14ac:dyDescent="0.2">
      <c r="A13" s="8" t="s">
        <v>75</v>
      </c>
      <c r="B13" s="8">
        <v>1</v>
      </c>
      <c r="C13" s="8" t="s">
        <v>72</v>
      </c>
      <c r="D13" s="18">
        <v>2019</v>
      </c>
      <c r="E13" s="7" t="str">
        <f>IFERROR(INDEX(Empresas!$H$2:$H$23,MATCH($A13,Empresas!$B$2:$B$23,0))&amp;"","")</f>
        <v>USD</v>
      </c>
      <c r="F13" s="19">
        <v>1139451</v>
      </c>
      <c r="G13" s="19">
        <v>338298</v>
      </c>
      <c r="H13" s="19">
        <v>6705350</v>
      </c>
      <c r="I13" s="19">
        <v>2969715</v>
      </c>
      <c r="J13" s="19">
        <v>3735635</v>
      </c>
      <c r="K13" s="19">
        <v>1487387</v>
      </c>
      <c r="L13" s="19">
        <v>91069</v>
      </c>
      <c r="M13" s="19">
        <v>270182</v>
      </c>
      <c r="N13" s="19">
        <v>201966</v>
      </c>
      <c r="O13" s="19">
        <v>3536293</v>
      </c>
      <c r="P13" s="19">
        <v>203047</v>
      </c>
      <c r="Q13" s="19">
        <v>337210</v>
      </c>
      <c r="R13" s="14">
        <v>119.1542510986328</v>
      </c>
      <c r="S13" s="4" t="s">
        <v>260</v>
      </c>
      <c r="T13" s="4"/>
    </row>
    <row r="14" spans="1:20" ht="15" customHeight="1" x14ac:dyDescent="0.2">
      <c r="A14" s="8" t="s">
        <v>75</v>
      </c>
      <c r="B14" s="8">
        <v>1</v>
      </c>
      <c r="C14" s="8" t="s">
        <v>72</v>
      </c>
      <c r="D14" s="18">
        <v>2020</v>
      </c>
      <c r="E14" s="7" t="str">
        <f>IFERROR(INDEX(Empresas!$H$2:$H$23,MATCH($A14,Empresas!$B$2:$B$23,0))&amp;"","")</f>
        <v>USD</v>
      </c>
      <c r="F14" s="19">
        <v>1259184</v>
      </c>
      <c r="G14" s="19">
        <v>306532</v>
      </c>
      <c r="H14" s="19">
        <v>6633867</v>
      </c>
      <c r="I14" s="19">
        <v>3048499</v>
      </c>
      <c r="J14" s="19">
        <v>3585368</v>
      </c>
      <c r="K14" s="19">
        <v>1348868</v>
      </c>
      <c r="L14" s="19">
        <v>90459</v>
      </c>
      <c r="M14" s="19">
        <v>132219</v>
      </c>
      <c r="N14" s="19">
        <v>89468</v>
      </c>
      <c r="O14" s="19">
        <v>3459451</v>
      </c>
      <c r="P14" s="19">
        <v>162893</v>
      </c>
      <c r="Q14" s="19">
        <v>195761</v>
      </c>
      <c r="R14" s="14">
        <v>124.6289596557617</v>
      </c>
      <c r="S14" s="4" t="s">
        <v>261</v>
      </c>
      <c r="T14" s="4"/>
    </row>
    <row r="15" spans="1:20" ht="15" customHeight="1" x14ac:dyDescent="0.2">
      <c r="A15" s="8" t="s">
        <v>75</v>
      </c>
      <c r="B15" s="8">
        <v>1</v>
      </c>
      <c r="C15" s="8" t="s">
        <v>72</v>
      </c>
      <c r="D15" s="18">
        <v>2021</v>
      </c>
      <c r="E15" s="7" t="str">
        <f>IFERROR(INDEX(Empresas!$H$2:$H$23,MATCH($A15,Empresas!$B$2:$B$23,0))&amp;"","")</f>
        <v>USD</v>
      </c>
      <c r="F15" s="19">
        <v>1766436</v>
      </c>
      <c r="G15" s="19">
        <v>679004</v>
      </c>
      <c r="H15" s="19">
        <v>6602508</v>
      </c>
      <c r="I15" s="19">
        <v>3761082</v>
      </c>
      <c r="J15" s="19">
        <v>2841426</v>
      </c>
      <c r="K15" s="19">
        <v>1439744</v>
      </c>
      <c r="L15" s="19">
        <v>86347</v>
      </c>
      <c r="M15" s="19">
        <v>825172</v>
      </c>
      <c r="N15" s="19">
        <v>540180</v>
      </c>
      <c r="O15" s="19">
        <v>2720627</v>
      </c>
      <c r="P15" s="19">
        <v>545298</v>
      </c>
      <c r="Q15" s="19">
        <v>913680</v>
      </c>
      <c r="R15" s="14">
        <v>68.857498168945312</v>
      </c>
      <c r="S15" s="4" t="s">
        <v>262</v>
      </c>
      <c r="T15" s="4"/>
    </row>
    <row r="16" spans="1:20" ht="15" customHeight="1" x14ac:dyDescent="0.2">
      <c r="A16" s="8" t="s">
        <v>75</v>
      </c>
      <c r="B16" s="8">
        <v>1</v>
      </c>
      <c r="C16" s="8" t="s">
        <v>72</v>
      </c>
      <c r="D16" s="18">
        <v>2022</v>
      </c>
      <c r="E16" s="7" t="str">
        <f>IFERROR(INDEX(Empresas!$H$2:$H$23,MATCH($A16,Empresas!$B$2:$B$23,0))&amp;"","")</f>
        <v>USD</v>
      </c>
      <c r="F16" s="19">
        <v>1688307</v>
      </c>
      <c r="G16" s="19">
        <v>542664</v>
      </c>
      <c r="H16" s="19">
        <v>6605974</v>
      </c>
      <c r="I16" s="19">
        <v>3653097</v>
      </c>
      <c r="J16" s="19">
        <v>2952877</v>
      </c>
      <c r="K16" s="19">
        <v>1974023</v>
      </c>
      <c r="L16" s="19">
        <v>88723</v>
      </c>
      <c r="M16" s="19">
        <v>416000</v>
      </c>
      <c r="N16" s="19">
        <v>310467</v>
      </c>
      <c r="O16" s="19">
        <v>2817580</v>
      </c>
      <c r="P16" s="19">
        <v>295969</v>
      </c>
      <c r="Q16" s="19">
        <v>466168</v>
      </c>
      <c r="R16" s="14">
        <v>86.75360107421875</v>
      </c>
      <c r="S16" s="4" t="s">
        <v>263</v>
      </c>
      <c r="T16" s="4"/>
    </row>
    <row r="17" spans="1:20" ht="15" customHeight="1" x14ac:dyDescent="0.2">
      <c r="A17" s="8" t="s">
        <v>75</v>
      </c>
      <c r="B17" s="8">
        <v>1</v>
      </c>
      <c r="C17" s="8" t="s">
        <v>72</v>
      </c>
      <c r="D17" s="18">
        <v>2023</v>
      </c>
      <c r="E17" s="7" t="str">
        <f>IFERROR(INDEX(Empresas!$H$2:$H$23,MATCH($A17,Empresas!$B$2:$B$23,0))&amp;"","")</f>
        <v>USD</v>
      </c>
      <c r="F17" s="19">
        <v>1426255</v>
      </c>
      <c r="G17" s="19">
        <v>470836</v>
      </c>
      <c r="H17" s="19">
        <v>6660723</v>
      </c>
      <c r="I17" s="19">
        <v>3563445</v>
      </c>
      <c r="J17" s="19">
        <v>3097278</v>
      </c>
      <c r="K17" s="19">
        <v>2003619</v>
      </c>
      <c r="L17" s="19">
        <v>85409</v>
      </c>
      <c r="M17" s="19">
        <v>548572</v>
      </c>
      <c r="N17" s="19">
        <v>403830</v>
      </c>
      <c r="O17" s="19">
        <v>2973256</v>
      </c>
      <c r="P17" s="19">
        <v>393489</v>
      </c>
      <c r="Q17" s="19">
        <v>559568</v>
      </c>
      <c r="R17" s="14">
        <v>138.9443664550781</v>
      </c>
      <c r="S17" s="4" t="s">
        <v>264</v>
      </c>
      <c r="T17" s="4"/>
    </row>
    <row r="18" spans="1:20" ht="15" customHeight="1" x14ac:dyDescent="0.2">
      <c r="A18" s="8" t="s">
        <v>75</v>
      </c>
      <c r="B18" s="8">
        <v>1</v>
      </c>
      <c r="C18" s="8" t="s">
        <v>72</v>
      </c>
      <c r="D18" s="18">
        <v>2024</v>
      </c>
      <c r="E18" s="7" t="str">
        <f>IFERROR(INDEX(Empresas!$H$2:$H$23,MATCH($A18,Empresas!$B$2:$B$23,0))&amp;"","")</f>
        <v>USD</v>
      </c>
      <c r="F18" s="19">
        <v>1200078</v>
      </c>
      <c r="G18" s="19">
        <v>370170</v>
      </c>
      <c r="H18" s="19">
        <v>6908204</v>
      </c>
      <c r="I18" s="19">
        <v>3677808</v>
      </c>
      <c r="J18" s="19">
        <v>3230396</v>
      </c>
      <c r="K18" s="19">
        <v>1575984</v>
      </c>
      <c r="L18" s="19">
        <v>70290</v>
      </c>
      <c r="M18" s="19">
        <v>344735</v>
      </c>
      <c r="N18" s="19">
        <v>257157</v>
      </c>
      <c r="O18" s="19">
        <v>3104259</v>
      </c>
      <c r="P18" s="19">
        <v>252457</v>
      </c>
      <c r="Q18" s="19">
        <v>353138</v>
      </c>
      <c r="R18" s="14">
        <v>122.15488433837891</v>
      </c>
      <c r="S18" s="4" t="s">
        <v>265</v>
      </c>
      <c r="T18" s="4"/>
    </row>
    <row r="19" spans="1:20" ht="15" customHeight="1" x14ac:dyDescent="0.2">
      <c r="A19" s="8" t="s">
        <v>75</v>
      </c>
      <c r="B19" s="8">
        <v>1</v>
      </c>
      <c r="C19" s="8" t="s">
        <v>72</v>
      </c>
      <c r="D19" s="18">
        <v>2025</v>
      </c>
      <c r="E19" s="7" t="str">
        <f>IFERROR(INDEX(Empresas!$H$2:$H$23,MATCH($A19,Empresas!$B$2:$B$23,0))&amp;"","")</f>
        <v>USD</v>
      </c>
      <c r="F19" s="19">
        <v>1414034</v>
      </c>
      <c r="G19" s="19">
        <v>376337</v>
      </c>
      <c r="H19" s="19">
        <v>7199543</v>
      </c>
      <c r="I19" s="19">
        <v>3952955</v>
      </c>
      <c r="J19" s="19">
        <v>3246588</v>
      </c>
      <c r="K19" s="19">
        <v>1595567</v>
      </c>
      <c r="L19" s="19">
        <v>94103</v>
      </c>
      <c r="M19" s="19">
        <v>233139</v>
      </c>
      <c r="N19" s="19">
        <v>186971</v>
      </c>
      <c r="O19" s="19">
        <v>3245341</v>
      </c>
      <c r="P19" s="19">
        <v>187207</v>
      </c>
      <c r="Q19" s="19">
        <v>269168</v>
      </c>
      <c r="R19" s="14">
        <v>143.15272521972659</v>
      </c>
      <c r="S19" s="4" t="s">
        <v>266</v>
      </c>
      <c r="T19" s="4"/>
    </row>
    <row r="20" spans="1:20" ht="15" customHeight="1" x14ac:dyDescent="0.2">
      <c r="A20" s="8" t="s">
        <v>78</v>
      </c>
      <c r="B20" s="8">
        <v>1</v>
      </c>
      <c r="C20" s="8" t="s">
        <v>72</v>
      </c>
      <c r="D20" s="18">
        <v>2017</v>
      </c>
      <c r="E20" s="7" t="str">
        <f>IFERROR(INDEX(Empresas!$H$2:$H$23,MATCH($A20,Empresas!$B$2:$B$23,0))&amp;"","")</f>
        <v>USD</v>
      </c>
      <c r="F20" s="19">
        <v>4545421</v>
      </c>
      <c r="G20" s="19">
        <v>4934336</v>
      </c>
      <c r="H20" s="19">
        <v>20168991</v>
      </c>
      <c r="I20" s="19">
        <v>11890484</v>
      </c>
      <c r="J20" s="19">
        <v>8278507</v>
      </c>
      <c r="K20" s="19">
        <v>9489266</v>
      </c>
      <c r="L20" s="19">
        <v>869535</v>
      </c>
      <c r="M20" s="19">
        <v>1645648</v>
      </c>
      <c r="N20" s="19">
        <v>1126514</v>
      </c>
      <c r="O20" s="19">
        <v>6480471</v>
      </c>
      <c r="P20" s="19">
        <v>709043</v>
      </c>
      <c r="Q20" s="19">
        <v>2224744</v>
      </c>
      <c r="R20" s="14">
        <v>134.8207702636719</v>
      </c>
      <c r="S20" s="4" t="s">
        <v>258</v>
      </c>
      <c r="T20" s="4"/>
    </row>
    <row r="21" spans="1:20" ht="15" customHeight="1" x14ac:dyDescent="0.2">
      <c r="A21" s="8" t="s">
        <v>78</v>
      </c>
      <c r="B21" s="8">
        <v>1</v>
      </c>
      <c r="C21" s="8" t="s">
        <v>72</v>
      </c>
      <c r="D21" s="18">
        <v>2018</v>
      </c>
      <c r="E21" s="7" t="str">
        <f>IFERROR(INDEX(Empresas!$H$2:$H$23,MATCH($A21,Empresas!$B$2:$B$23,0))&amp;"","")</f>
        <v>USD</v>
      </c>
      <c r="F21" s="19">
        <v>6383986</v>
      </c>
      <c r="G21" s="19">
        <v>9650756</v>
      </c>
      <c r="H21" s="19">
        <v>27396356</v>
      </c>
      <c r="I21" s="19">
        <v>18564456</v>
      </c>
      <c r="J21" s="19">
        <v>8831900</v>
      </c>
      <c r="K21" s="19">
        <v>12119134</v>
      </c>
      <c r="L21" s="19">
        <v>1071759</v>
      </c>
      <c r="M21" s="19">
        <v>2104990</v>
      </c>
      <c r="N21" s="19">
        <v>1667058</v>
      </c>
      <c r="O21" s="19">
        <v>6724008</v>
      </c>
      <c r="P21" s="19">
        <v>1201381</v>
      </c>
      <c r="Q21" s="19">
        <v>2435201</v>
      </c>
      <c r="R21" s="14">
        <v>120.540412902832</v>
      </c>
      <c r="S21" s="4" t="s">
        <v>259</v>
      </c>
      <c r="T21" s="4"/>
    </row>
    <row r="22" spans="1:20" ht="15" customHeight="1" x14ac:dyDescent="0.2">
      <c r="A22" s="8" t="s">
        <v>78</v>
      </c>
      <c r="B22" s="8">
        <v>1</v>
      </c>
      <c r="C22" s="8" t="s">
        <v>72</v>
      </c>
      <c r="D22" s="18">
        <v>2019</v>
      </c>
      <c r="E22" s="7" t="str">
        <f>IFERROR(INDEX(Empresas!$H$2:$H$23,MATCH($A22,Empresas!$B$2:$B$23,0))&amp;"","")</f>
        <v>USD</v>
      </c>
      <c r="F22" s="19">
        <v>6581254</v>
      </c>
      <c r="G22" s="19">
        <v>6735932</v>
      </c>
      <c r="H22" s="19">
        <v>29776384</v>
      </c>
      <c r="I22" s="19">
        <v>17530198</v>
      </c>
      <c r="J22" s="19">
        <v>12246186</v>
      </c>
      <c r="K22" s="19">
        <v>13053376</v>
      </c>
      <c r="L22" s="19">
        <v>1088631</v>
      </c>
      <c r="M22" s="19">
        <v>2406109</v>
      </c>
      <c r="N22" s="19">
        <v>2169763</v>
      </c>
      <c r="O22" s="19">
        <v>9966287</v>
      </c>
      <c r="P22" s="19">
        <v>1614085</v>
      </c>
      <c r="Q22" s="19">
        <v>3062184</v>
      </c>
      <c r="R22" s="14">
        <v>166.95367431640619</v>
      </c>
      <c r="S22" s="4" t="s">
        <v>260</v>
      </c>
      <c r="T22" s="4"/>
    </row>
    <row r="23" spans="1:20" ht="15" customHeight="1" x14ac:dyDescent="0.2">
      <c r="A23" s="8" t="s">
        <v>78</v>
      </c>
      <c r="B23" s="8">
        <v>1</v>
      </c>
      <c r="C23" s="8" t="s">
        <v>72</v>
      </c>
      <c r="D23" s="18">
        <v>2020</v>
      </c>
      <c r="E23" s="7" t="str">
        <f>IFERROR(INDEX(Empresas!$H$2:$H$23,MATCH($A23,Empresas!$B$2:$B$23,0))&amp;"","")</f>
        <v>USD</v>
      </c>
      <c r="F23" s="19">
        <v>6179256</v>
      </c>
      <c r="G23" s="19">
        <v>7277222</v>
      </c>
      <c r="H23" s="19">
        <v>26933558</v>
      </c>
      <c r="I23" s="19">
        <v>16599895</v>
      </c>
      <c r="J23" s="19">
        <v>10333663</v>
      </c>
      <c r="K23" s="19">
        <v>11238976</v>
      </c>
      <c r="L23" s="19">
        <v>768453</v>
      </c>
      <c r="M23" s="19">
        <v>1747812</v>
      </c>
      <c r="N23" s="19">
        <v>1181252</v>
      </c>
      <c r="O23" s="19">
        <v>8105859</v>
      </c>
      <c r="P23" s="19">
        <v>825197</v>
      </c>
      <c r="Q23" s="19">
        <v>2300158</v>
      </c>
      <c r="R23" s="14">
        <v>115.9869766235352</v>
      </c>
      <c r="S23" s="4" t="s">
        <v>261</v>
      </c>
      <c r="T23" s="4"/>
    </row>
    <row r="24" spans="1:20" ht="15" customHeight="1" x14ac:dyDescent="0.2">
      <c r="A24" s="8" t="s">
        <v>78</v>
      </c>
      <c r="B24" s="8">
        <v>1</v>
      </c>
      <c r="C24" s="8" t="s">
        <v>72</v>
      </c>
      <c r="D24" s="18">
        <v>2021</v>
      </c>
      <c r="E24" s="7" t="str">
        <f>IFERROR(INDEX(Empresas!$H$2:$H$23,MATCH($A24,Empresas!$B$2:$B$23,0))&amp;"","")</f>
        <v>USD</v>
      </c>
      <c r="F24" s="19">
        <v>7062479</v>
      </c>
      <c r="G24" s="19">
        <v>7795534</v>
      </c>
      <c r="H24" s="19">
        <v>34958938</v>
      </c>
      <c r="I24" s="19">
        <v>19928845</v>
      </c>
      <c r="J24" s="19">
        <v>15030093</v>
      </c>
      <c r="K24" s="19">
        <v>14535024</v>
      </c>
      <c r="L24" s="19">
        <v>1052065</v>
      </c>
      <c r="M24" s="19">
        <v>1940803</v>
      </c>
      <c r="N24" s="19">
        <v>1134511</v>
      </c>
      <c r="O24" s="19">
        <v>12832657</v>
      </c>
      <c r="P24" s="19">
        <v>740859</v>
      </c>
      <c r="Q24" s="19">
        <v>3012436</v>
      </c>
      <c r="R24" s="14">
        <v>92.985153198242188</v>
      </c>
      <c r="S24" s="4" t="s">
        <v>262</v>
      </c>
      <c r="T24" s="4"/>
    </row>
    <row r="25" spans="1:20" ht="15" customHeight="1" x14ac:dyDescent="0.2">
      <c r="A25" s="8" t="s">
        <v>78</v>
      </c>
      <c r="B25" s="8">
        <v>1</v>
      </c>
      <c r="C25" s="8" t="s">
        <v>72</v>
      </c>
      <c r="D25" s="18">
        <v>2022</v>
      </c>
      <c r="E25" s="7" t="str">
        <f>IFERROR(INDEX(Empresas!$H$2:$H$23,MATCH($A25,Empresas!$B$2:$B$23,0))&amp;"","")</f>
        <v>USD</v>
      </c>
      <c r="F25" s="19">
        <v>7763830</v>
      </c>
      <c r="G25" s="19">
        <v>7926972</v>
      </c>
      <c r="H25" s="19">
        <v>34773647</v>
      </c>
      <c r="I25" s="19">
        <v>19326529</v>
      </c>
      <c r="J25" s="19">
        <v>15447118</v>
      </c>
      <c r="K25" s="19">
        <v>13566678</v>
      </c>
      <c r="L25" s="19">
        <v>1553546</v>
      </c>
      <c r="M25" s="19">
        <v>1143105</v>
      </c>
      <c r="N25" s="19">
        <v>303099</v>
      </c>
      <c r="O25" s="19">
        <v>12957150</v>
      </c>
      <c r="P25" s="19">
        <v>-44145</v>
      </c>
      <c r="Q25" s="19">
        <v>2113591</v>
      </c>
      <c r="R25" s="14">
        <v>113.4843063354492</v>
      </c>
      <c r="S25" s="4" t="s">
        <v>263</v>
      </c>
      <c r="T25" s="4"/>
    </row>
    <row r="26" spans="1:20" ht="15" customHeight="1" x14ac:dyDescent="0.2">
      <c r="A26" s="8" t="s">
        <v>78</v>
      </c>
      <c r="B26" s="8">
        <v>1</v>
      </c>
      <c r="C26" s="8" t="s">
        <v>72</v>
      </c>
      <c r="D26" s="18">
        <v>2023</v>
      </c>
      <c r="E26" s="7" t="str">
        <f>IFERROR(INDEX(Empresas!$H$2:$H$23,MATCH($A26,Empresas!$B$2:$B$23,0))&amp;"","")</f>
        <v>USD</v>
      </c>
      <c r="F26" s="19">
        <v>10319459</v>
      </c>
      <c r="G26" s="19">
        <v>9727420</v>
      </c>
      <c r="H26" s="19">
        <v>36854680</v>
      </c>
      <c r="I26" s="19">
        <v>19833885</v>
      </c>
      <c r="J26" s="19">
        <v>17020795</v>
      </c>
      <c r="K26" s="19">
        <v>11768430</v>
      </c>
      <c r="L26" s="19">
        <v>1635259</v>
      </c>
      <c r="M26" s="19">
        <v>1450462</v>
      </c>
      <c r="N26" s="19">
        <v>1172518</v>
      </c>
      <c r="O26" s="19">
        <v>14504637</v>
      </c>
      <c r="P26" s="19">
        <v>864269</v>
      </c>
      <c r="Q26" s="19">
        <v>2449002</v>
      </c>
      <c r="R26" s="14">
        <v>97.48651123046875</v>
      </c>
      <c r="S26" s="4" t="s">
        <v>264</v>
      </c>
      <c r="T26" s="4"/>
    </row>
    <row r="27" spans="1:20" ht="15" customHeight="1" x14ac:dyDescent="0.2">
      <c r="A27" s="8" t="s">
        <v>78</v>
      </c>
      <c r="B27" s="8">
        <v>1</v>
      </c>
      <c r="C27" s="8" t="s">
        <v>72</v>
      </c>
      <c r="D27" s="18">
        <v>2024</v>
      </c>
      <c r="E27" s="7" t="str">
        <f>IFERROR(INDEX(Empresas!$H$2:$H$23,MATCH($A27,Empresas!$B$2:$B$23,0))&amp;"","")</f>
        <v>USD</v>
      </c>
      <c r="F27" s="19">
        <v>7419351</v>
      </c>
      <c r="G27" s="19">
        <v>7114976</v>
      </c>
      <c r="H27" s="19">
        <v>31484337</v>
      </c>
      <c r="I27" s="19">
        <v>15077305</v>
      </c>
      <c r="J27" s="19">
        <v>16407032</v>
      </c>
      <c r="K27" s="19">
        <v>12615912</v>
      </c>
      <c r="L27" s="19">
        <v>1587843</v>
      </c>
      <c r="M27" s="19">
        <v>1312389</v>
      </c>
      <c r="N27" s="19">
        <v>2861484</v>
      </c>
      <c r="O27" s="19">
        <v>14130193</v>
      </c>
      <c r="P27" s="19">
        <v>2589133</v>
      </c>
      <c r="Q27" s="19">
        <v>2495297</v>
      </c>
      <c r="R27" s="14">
        <v>87.24017333984375</v>
      </c>
      <c r="S27" s="4" t="s">
        <v>265</v>
      </c>
      <c r="T27" s="4"/>
    </row>
    <row r="28" spans="1:20" ht="15" customHeight="1" x14ac:dyDescent="0.2">
      <c r="A28" s="8" t="s">
        <v>78</v>
      </c>
      <c r="B28" s="8">
        <v>1</v>
      </c>
      <c r="C28" s="8" t="s">
        <v>72</v>
      </c>
      <c r="D28" s="18">
        <v>2025</v>
      </c>
      <c r="E28" s="7" t="str">
        <f>IFERROR(INDEX(Empresas!$H$2:$H$23,MATCH($A28,Empresas!$B$2:$B$23,0))&amp;"","")</f>
        <v>USD</v>
      </c>
      <c r="F28" s="19">
        <v>6695824</v>
      </c>
      <c r="G28" s="19">
        <v>7737034</v>
      </c>
      <c r="H28" s="19">
        <v>34871081</v>
      </c>
      <c r="I28" s="19">
        <v>16294367</v>
      </c>
      <c r="J28" s="19">
        <v>18576714</v>
      </c>
      <c r="K28" s="19">
        <v>12818885</v>
      </c>
      <c r="L28" s="19">
        <v>1307207</v>
      </c>
      <c r="M28" s="19">
        <v>1902104</v>
      </c>
      <c r="N28" s="19">
        <v>1345692</v>
      </c>
      <c r="O28" s="19">
        <v>16023472</v>
      </c>
      <c r="P28" s="19">
        <v>960070</v>
      </c>
      <c r="Q28" s="19">
        <v>3051640</v>
      </c>
      <c r="R28" s="14">
        <v>85.657028198242188</v>
      </c>
      <c r="S28" s="4" t="s">
        <v>266</v>
      </c>
      <c r="T28" s="4"/>
    </row>
    <row r="29" spans="1:20" ht="15" customHeight="1" x14ac:dyDescent="0.2">
      <c r="A29" s="8" t="s">
        <v>81</v>
      </c>
      <c r="B29" s="8">
        <v>1</v>
      </c>
      <c r="C29" s="8" t="s">
        <v>72</v>
      </c>
      <c r="D29" s="18">
        <v>2017</v>
      </c>
      <c r="E29" s="7" t="str">
        <f>IFERROR(INDEX(Empresas!$H$2:$H$23,MATCH($A29,Empresas!$B$2:$B$23,0))&amp;"","")</f>
        <v/>
      </c>
      <c r="F29" s="19">
        <v>1055136552</v>
      </c>
      <c r="G29" s="19">
        <v>816816646</v>
      </c>
      <c r="H29" s="19">
        <v>5694773008</v>
      </c>
      <c r="I29" s="19">
        <v>1907811351</v>
      </c>
      <c r="J29" s="19">
        <v>3786961657</v>
      </c>
      <c r="K29" s="19">
        <v>2484101582</v>
      </c>
      <c r="L29" s="19">
        <v>53510882</v>
      </c>
      <c r="M29" s="19">
        <v>666760212</v>
      </c>
      <c r="N29" s="19">
        <v>523417911</v>
      </c>
      <c r="O29" s="19">
        <v>2983384010</v>
      </c>
      <c r="P29" s="19"/>
      <c r="Q29" s="19">
        <v>691871770</v>
      </c>
      <c r="R29" s="14">
        <v>47.224590301513672</v>
      </c>
      <c r="S29" s="4" t="s">
        <v>258</v>
      </c>
      <c r="T29" s="4"/>
    </row>
    <row r="30" spans="1:20" ht="15" customHeight="1" x14ac:dyDescent="0.2">
      <c r="A30" s="8" t="s">
        <v>81</v>
      </c>
      <c r="B30" s="8">
        <v>1</v>
      </c>
      <c r="C30" s="8" t="s">
        <v>72</v>
      </c>
      <c r="D30" s="18">
        <v>2018</v>
      </c>
      <c r="E30" s="7" t="str">
        <f>IFERROR(INDEX(Empresas!$H$2:$H$23,MATCH($A30,Empresas!$B$2:$B$23,0))&amp;"","")</f>
        <v/>
      </c>
      <c r="F30" s="19">
        <v>996947772</v>
      </c>
      <c r="G30" s="19">
        <v>1217464152</v>
      </c>
      <c r="H30" s="19">
        <v>7488020164</v>
      </c>
      <c r="I30" s="19">
        <v>3813856383</v>
      </c>
      <c r="J30" s="19">
        <v>3674163781</v>
      </c>
      <c r="K30" s="19">
        <v>2410360459</v>
      </c>
      <c r="L30" s="19">
        <v>122184189</v>
      </c>
      <c r="M30" s="19">
        <v>566330276</v>
      </c>
      <c r="N30" s="19">
        <v>412847757</v>
      </c>
      <c r="O30" s="19">
        <v>3421228519</v>
      </c>
      <c r="P30" s="19"/>
      <c r="Q30" s="19">
        <v>674015100</v>
      </c>
      <c r="R30" s="14">
        <v>45.228988647460938</v>
      </c>
      <c r="S30" s="4" t="s">
        <v>259</v>
      </c>
      <c r="T30" s="4"/>
    </row>
    <row r="31" spans="1:20" ht="15" customHeight="1" x14ac:dyDescent="0.2">
      <c r="A31" s="8" t="s">
        <v>81</v>
      </c>
      <c r="B31" s="8">
        <v>1</v>
      </c>
      <c r="C31" s="8" t="s">
        <v>72</v>
      </c>
      <c r="D31" s="18">
        <v>2019</v>
      </c>
      <c r="E31" s="7" t="str">
        <f>IFERROR(INDEX(Empresas!$H$2:$H$23,MATCH($A31,Empresas!$B$2:$B$23,0))&amp;"","")</f>
        <v/>
      </c>
      <c r="F31" s="19">
        <v>1018212660</v>
      </c>
      <c r="G31" s="19">
        <v>1041299852</v>
      </c>
      <c r="H31" s="19">
        <v>7857988164</v>
      </c>
      <c r="I31" s="19">
        <v>4110704512</v>
      </c>
      <c r="J31" s="19">
        <v>3747283652</v>
      </c>
      <c r="K31" s="19">
        <v>2624576323</v>
      </c>
      <c r="L31" s="19">
        <v>164897900</v>
      </c>
      <c r="M31" s="19">
        <v>377321122</v>
      </c>
      <c r="N31" s="19">
        <v>316093218</v>
      </c>
      <c r="O31" s="19">
        <v>3484697986</v>
      </c>
      <c r="P31" s="19">
        <v>296153605</v>
      </c>
      <c r="Q31" s="19">
        <v>537895036</v>
      </c>
      <c r="R31" s="14">
        <v>49.978221893310547</v>
      </c>
      <c r="S31" s="4" t="s">
        <v>260</v>
      </c>
      <c r="T31" s="4"/>
    </row>
    <row r="32" spans="1:20" ht="15" customHeight="1" x14ac:dyDescent="0.2">
      <c r="A32" s="8" t="s">
        <v>81</v>
      </c>
      <c r="B32" s="8">
        <v>1</v>
      </c>
      <c r="C32" s="8" t="s">
        <v>72</v>
      </c>
      <c r="D32" s="18">
        <v>2020</v>
      </c>
      <c r="E32" s="7" t="str">
        <f>IFERROR(INDEX(Empresas!$H$2:$H$23,MATCH($A32,Empresas!$B$2:$B$23,0))&amp;"","")</f>
        <v/>
      </c>
      <c r="F32" s="19">
        <v>1026401196</v>
      </c>
      <c r="G32" s="19">
        <v>1045480165</v>
      </c>
      <c r="H32" s="19">
        <v>7904471584</v>
      </c>
      <c r="I32" s="19">
        <v>4310197085</v>
      </c>
      <c r="J32" s="19">
        <v>3594274499</v>
      </c>
      <c r="K32" s="19">
        <v>2548384317</v>
      </c>
      <c r="L32" s="19">
        <v>127408771</v>
      </c>
      <c r="M32" s="19">
        <v>-133691942</v>
      </c>
      <c r="N32" s="19">
        <v>-52386835</v>
      </c>
      <c r="O32" s="19">
        <v>3351915790</v>
      </c>
      <c r="P32" s="19">
        <v>-50860313</v>
      </c>
      <c r="Q32" s="19">
        <v>-9598853</v>
      </c>
      <c r="R32" s="14">
        <v>41.883350372314453</v>
      </c>
      <c r="S32" s="4" t="s">
        <v>261</v>
      </c>
      <c r="T32" s="4"/>
    </row>
    <row r="33" spans="1:20" ht="15" customHeight="1" x14ac:dyDescent="0.2">
      <c r="A33" s="8" t="s">
        <v>81</v>
      </c>
      <c r="B33" s="8">
        <v>1</v>
      </c>
      <c r="C33" s="8" t="s">
        <v>72</v>
      </c>
      <c r="D33" s="18">
        <v>2021</v>
      </c>
      <c r="E33" s="7" t="str">
        <f>IFERROR(INDEX(Empresas!$H$2:$H$23,MATCH($A33,Empresas!$B$2:$B$23,0))&amp;"","")</f>
        <v/>
      </c>
      <c r="F33" s="19">
        <v>1268252493</v>
      </c>
      <c r="G33" s="19">
        <v>2132326217</v>
      </c>
      <c r="H33" s="19">
        <v>9500323596</v>
      </c>
      <c r="I33" s="19">
        <v>6153830698</v>
      </c>
      <c r="J33" s="19">
        <v>3346492898</v>
      </c>
      <c r="K33" s="19">
        <v>2829682404</v>
      </c>
      <c r="L33" s="19">
        <v>174043116</v>
      </c>
      <c r="M33" s="19">
        <v>115848792</v>
      </c>
      <c r="N33" s="19">
        <v>100710134</v>
      </c>
      <c r="O33" s="19">
        <v>3097868353</v>
      </c>
      <c r="P33" s="19">
        <v>85153969</v>
      </c>
      <c r="Q33" s="19">
        <v>288496122</v>
      </c>
      <c r="R33" s="14">
        <v>24.271528244018551</v>
      </c>
      <c r="S33" s="4" t="s">
        <v>262</v>
      </c>
      <c r="T33" s="4"/>
    </row>
    <row r="34" spans="1:20" ht="15" customHeight="1" x14ac:dyDescent="0.2">
      <c r="A34" s="8" t="s">
        <v>81</v>
      </c>
      <c r="B34" s="8">
        <v>1</v>
      </c>
      <c r="C34" s="8" t="s">
        <v>72</v>
      </c>
      <c r="D34" s="18">
        <v>2022</v>
      </c>
      <c r="E34" s="7" t="str">
        <f>IFERROR(INDEX(Empresas!$H$2:$H$23,MATCH($A34,Empresas!$B$2:$B$23,0))&amp;"","")</f>
        <v/>
      </c>
      <c r="F34" s="19">
        <v>3064242319</v>
      </c>
      <c r="G34" s="19">
        <v>3168491880</v>
      </c>
      <c r="H34" s="19">
        <v>11865579732</v>
      </c>
      <c r="I34" s="19">
        <v>7476640429</v>
      </c>
      <c r="J34" s="19">
        <v>4388939303</v>
      </c>
      <c r="K34" s="19">
        <v>4379000090</v>
      </c>
      <c r="L34" s="19">
        <v>193618033</v>
      </c>
      <c r="M34" s="19">
        <v>1778680669</v>
      </c>
      <c r="N34" s="19">
        <v>1308983789</v>
      </c>
      <c r="O34" s="19">
        <v>4097200895</v>
      </c>
      <c r="P34" s="19">
        <v>1252082258</v>
      </c>
      <c r="Q34" s="19">
        <v>1916363887</v>
      </c>
      <c r="R34" s="14">
        <v>32.246185302734382</v>
      </c>
      <c r="S34" s="4" t="s">
        <v>263</v>
      </c>
      <c r="T34" s="4"/>
    </row>
    <row r="35" spans="1:20" ht="15" customHeight="1" x14ac:dyDescent="0.2">
      <c r="A35" s="8" t="s">
        <v>81</v>
      </c>
      <c r="B35" s="8">
        <v>1</v>
      </c>
      <c r="C35" s="8" t="s">
        <v>72</v>
      </c>
      <c r="D35" s="18">
        <v>2023</v>
      </c>
      <c r="E35" s="7" t="str">
        <f>IFERROR(INDEX(Empresas!$H$2:$H$23,MATCH($A35,Empresas!$B$2:$B$23,0))&amp;"","")</f>
        <v/>
      </c>
      <c r="F35" s="19">
        <v>2370971259</v>
      </c>
      <c r="G35" s="19">
        <v>2793918344</v>
      </c>
      <c r="H35" s="19">
        <v>11833721036</v>
      </c>
      <c r="I35" s="19">
        <v>7072834764</v>
      </c>
      <c r="J35" s="19">
        <v>4760886272</v>
      </c>
      <c r="K35" s="19">
        <v>4262591097</v>
      </c>
      <c r="L35" s="19">
        <v>247067556</v>
      </c>
      <c r="M35" s="19">
        <v>906925876</v>
      </c>
      <c r="N35" s="19">
        <v>680013391</v>
      </c>
      <c r="O35" s="19">
        <v>4446079918</v>
      </c>
      <c r="P35" s="19">
        <v>633455775</v>
      </c>
      <c r="Q35" s="19">
        <v>1000381600</v>
      </c>
      <c r="R35" s="14">
        <v>47.549022674560547</v>
      </c>
      <c r="S35" s="4" t="s">
        <v>264</v>
      </c>
      <c r="T35" s="4"/>
    </row>
    <row r="36" spans="1:20" ht="15" customHeight="1" x14ac:dyDescent="0.2">
      <c r="A36" s="8" t="s">
        <v>81</v>
      </c>
      <c r="B36" s="8">
        <v>1</v>
      </c>
      <c r="C36" s="8" t="s">
        <v>72</v>
      </c>
      <c r="D36" s="18">
        <v>2024</v>
      </c>
      <c r="E36" s="7" t="str">
        <f>IFERROR(INDEX(Empresas!$H$2:$H$23,MATCH($A36,Empresas!$B$2:$B$23,0))&amp;"","")</f>
        <v/>
      </c>
      <c r="F36" s="19">
        <v>2242156</v>
      </c>
      <c r="G36" s="19">
        <v>2251458</v>
      </c>
      <c r="H36" s="19">
        <v>12765086</v>
      </c>
      <c r="I36" s="19">
        <v>7419784</v>
      </c>
      <c r="J36" s="19">
        <v>5345302</v>
      </c>
      <c r="K36" s="19">
        <v>4137511</v>
      </c>
      <c r="L36" s="19">
        <v>246450</v>
      </c>
      <c r="M36" s="19">
        <v>239443</v>
      </c>
      <c r="N36" s="19">
        <v>202432</v>
      </c>
      <c r="O36" s="19">
        <v>4976415</v>
      </c>
      <c r="P36" s="19">
        <v>153763</v>
      </c>
      <c r="Q36" s="19">
        <v>414518</v>
      </c>
      <c r="R36" s="14">
        <v>52.085506439208977</v>
      </c>
      <c r="S36" s="4" t="s">
        <v>265</v>
      </c>
      <c r="T36" s="4"/>
    </row>
    <row r="37" spans="1:20" ht="15" customHeight="1" x14ac:dyDescent="0.2">
      <c r="A37" s="8" t="s">
        <v>81</v>
      </c>
      <c r="B37" s="8">
        <v>1</v>
      </c>
      <c r="C37" s="8" t="s">
        <v>72</v>
      </c>
      <c r="D37" s="18">
        <v>2025</v>
      </c>
      <c r="E37" s="7" t="str">
        <f>IFERROR(INDEX(Empresas!$H$2:$H$23,MATCH($A37,Empresas!$B$2:$B$23,0))&amp;"","")</f>
        <v/>
      </c>
      <c r="F37" s="19">
        <v>2239087</v>
      </c>
      <c r="G37" s="19">
        <v>2473336</v>
      </c>
      <c r="H37" s="19">
        <v>12903659</v>
      </c>
      <c r="I37" s="19">
        <v>7354152</v>
      </c>
      <c r="J37" s="19">
        <v>5549507</v>
      </c>
      <c r="K37" s="19">
        <v>4509547</v>
      </c>
      <c r="L37" s="19">
        <v>330272</v>
      </c>
      <c r="M37" s="19">
        <v>794958</v>
      </c>
      <c r="N37" s="19">
        <v>584899</v>
      </c>
      <c r="O37" s="19">
        <v>5175869</v>
      </c>
      <c r="P37" s="19">
        <v>537629</v>
      </c>
      <c r="Q37" s="19">
        <v>1055798</v>
      </c>
      <c r="R37" s="14">
        <v>71.389579772949219</v>
      </c>
      <c r="S37" s="4" t="s">
        <v>266</v>
      </c>
      <c r="T37" s="4"/>
    </row>
    <row r="38" spans="1:20" ht="15" customHeight="1" x14ac:dyDescent="0.2">
      <c r="A38" s="8" t="s">
        <v>83</v>
      </c>
      <c r="B38" s="8">
        <v>1</v>
      </c>
      <c r="C38" s="8" t="s">
        <v>72</v>
      </c>
      <c r="D38" s="18">
        <v>2017</v>
      </c>
      <c r="E38" s="7" t="str">
        <f>IFERROR(INDEX(Empresas!$H$2:$H$23,MATCH($A38,Empresas!$B$2:$B$23,0))&amp;"","")</f>
        <v>USD</v>
      </c>
      <c r="F38" s="19">
        <v>381378</v>
      </c>
      <c r="G38" s="19">
        <v>333019</v>
      </c>
      <c r="H38" s="19">
        <v>3364203</v>
      </c>
      <c r="I38" s="19">
        <v>1298732</v>
      </c>
      <c r="J38" s="19">
        <v>2065471</v>
      </c>
      <c r="K38" s="19">
        <v>1054062</v>
      </c>
      <c r="L38" s="19">
        <v>11594</v>
      </c>
      <c r="M38" s="19">
        <v>143494</v>
      </c>
      <c r="N38" s="19">
        <v>109010</v>
      </c>
      <c r="O38" s="19">
        <v>1991493</v>
      </c>
      <c r="P38" s="19">
        <v>100862</v>
      </c>
      <c r="Q38" s="19">
        <v>148439</v>
      </c>
      <c r="R38" s="14">
        <v>1321.550415039062</v>
      </c>
      <c r="S38" s="4" t="s">
        <v>258</v>
      </c>
      <c r="T38" s="4"/>
    </row>
    <row r="39" spans="1:20" ht="15" customHeight="1" x14ac:dyDescent="0.2">
      <c r="A39" s="8" t="s">
        <v>83</v>
      </c>
      <c r="B39" s="8">
        <v>1</v>
      </c>
      <c r="C39" s="8" t="s">
        <v>72</v>
      </c>
      <c r="D39" s="18">
        <v>2018</v>
      </c>
      <c r="E39" s="7" t="str">
        <f>IFERROR(INDEX(Empresas!$H$2:$H$23,MATCH($A39,Empresas!$B$2:$B$23,0))&amp;"","")</f>
        <v>USD</v>
      </c>
      <c r="F39" s="19">
        <v>427615</v>
      </c>
      <c r="G39" s="19">
        <v>305766</v>
      </c>
      <c r="H39" s="19">
        <v>3462736</v>
      </c>
      <c r="I39" s="19">
        <v>1324712</v>
      </c>
      <c r="J39" s="19">
        <v>2138024</v>
      </c>
      <c r="K39" s="19">
        <v>1275296</v>
      </c>
      <c r="L39" s="19">
        <v>12771</v>
      </c>
      <c r="M39" s="19">
        <v>149562</v>
      </c>
      <c r="N39" s="19">
        <v>111223</v>
      </c>
      <c r="O39" s="19">
        <v>2069806</v>
      </c>
      <c r="P39" s="19">
        <v>102582</v>
      </c>
      <c r="Q39" s="19">
        <v>151834</v>
      </c>
      <c r="R39" s="14">
        <v>1268.026977539062</v>
      </c>
      <c r="S39" s="4" t="s">
        <v>259</v>
      </c>
      <c r="T39" s="4"/>
    </row>
    <row r="40" spans="1:20" ht="15" customHeight="1" x14ac:dyDescent="0.2">
      <c r="A40" s="8" t="s">
        <v>83</v>
      </c>
      <c r="B40" s="8">
        <v>1</v>
      </c>
      <c r="C40" s="8" t="s">
        <v>72</v>
      </c>
      <c r="D40" s="18">
        <v>2019</v>
      </c>
      <c r="E40" s="7" t="str">
        <f>IFERROR(INDEX(Empresas!$H$2:$H$23,MATCH($A40,Empresas!$B$2:$B$23,0))&amp;"","")</f>
        <v>USD</v>
      </c>
      <c r="F40" s="19">
        <v>485255</v>
      </c>
      <c r="G40" s="19">
        <v>357485</v>
      </c>
      <c r="H40" s="19">
        <v>3507790</v>
      </c>
      <c r="I40" s="19">
        <v>1384189</v>
      </c>
      <c r="J40" s="19">
        <v>2123601</v>
      </c>
      <c r="K40" s="19">
        <v>1454436</v>
      </c>
      <c r="L40" s="19">
        <v>37837</v>
      </c>
      <c r="M40" s="19">
        <v>161321</v>
      </c>
      <c r="N40" s="19">
        <v>118717</v>
      </c>
      <c r="O40" s="19">
        <v>2059251</v>
      </c>
      <c r="P40" s="19">
        <v>110823</v>
      </c>
      <c r="Q40" s="19">
        <v>189682</v>
      </c>
      <c r="R40" s="14">
        <v>1144.675048828125</v>
      </c>
      <c r="S40" s="4" t="s">
        <v>260</v>
      </c>
      <c r="T40" s="4"/>
    </row>
    <row r="41" spans="1:20" ht="15" customHeight="1" x14ac:dyDescent="0.2">
      <c r="A41" s="8" t="s">
        <v>83</v>
      </c>
      <c r="B41" s="8">
        <v>1</v>
      </c>
      <c r="C41" s="8" t="s">
        <v>72</v>
      </c>
      <c r="D41" s="18">
        <v>2020</v>
      </c>
      <c r="E41" s="7" t="str">
        <f>IFERROR(INDEX(Empresas!$H$2:$H$23,MATCH($A41,Empresas!$B$2:$B$23,0))&amp;"","")</f>
        <v>USD</v>
      </c>
      <c r="F41" s="19">
        <v>464866</v>
      </c>
      <c r="G41" s="19">
        <v>323459</v>
      </c>
      <c r="H41" s="19">
        <v>3720980</v>
      </c>
      <c r="I41" s="19">
        <v>1552972</v>
      </c>
      <c r="J41" s="19">
        <v>2168008</v>
      </c>
      <c r="K41" s="19">
        <v>1351658</v>
      </c>
      <c r="L41" s="19">
        <v>59476</v>
      </c>
      <c r="M41" s="19">
        <v>203722</v>
      </c>
      <c r="N41" s="19">
        <v>163531</v>
      </c>
      <c r="O41" s="19">
        <v>2168008</v>
      </c>
      <c r="P41" s="19">
        <v>163531</v>
      </c>
      <c r="Q41" s="19">
        <v>263554</v>
      </c>
      <c r="R41" s="14">
        <v>869.81396484375</v>
      </c>
      <c r="S41" s="4" t="s">
        <v>261</v>
      </c>
      <c r="T41" s="4"/>
    </row>
    <row r="42" spans="1:20" ht="15" customHeight="1" x14ac:dyDescent="0.2">
      <c r="A42" s="8" t="s">
        <v>83</v>
      </c>
      <c r="B42" s="8">
        <v>1</v>
      </c>
      <c r="C42" s="8" t="s">
        <v>72</v>
      </c>
      <c r="D42" s="18">
        <v>2021</v>
      </c>
      <c r="E42" s="7" t="str">
        <f>IFERROR(INDEX(Empresas!$H$2:$H$23,MATCH($A42,Empresas!$B$2:$B$23,0))&amp;"","")</f>
        <v>USD</v>
      </c>
      <c r="F42" s="19">
        <v>616232</v>
      </c>
      <c r="G42" s="19">
        <v>397389</v>
      </c>
      <c r="H42" s="19">
        <v>3998862</v>
      </c>
      <c r="I42" s="19">
        <v>1826851</v>
      </c>
      <c r="J42" s="19">
        <v>2172011</v>
      </c>
      <c r="K42" s="19">
        <v>1478614</v>
      </c>
      <c r="L42" s="19">
        <v>88807</v>
      </c>
      <c r="M42" s="19">
        <v>60797</v>
      </c>
      <c r="N42" s="19">
        <v>47374</v>
      </c>
      <c r="O42" s="19">
        <v>2172011</v>
      </c>
      <c r="P42" s="19">
        <v>47374</v>
      </c>
      <c r="Q42" s="19">
        <v>127339</v>
      </c>
      <c r="R42" s="14">
        <v>501.96218872070312</v>
      </c>
      <c r="S42" s="4" t="s">
        <v>262</v>
      </c>
      <c r="T42" s="4"/>
    </row>
    <row r="43" spans="1:20" ht="15" customHeight="1" x14ac:dyDescent="0.2">
      <c r="A43" s="8" t="s">
        <v>83</v>
      </c>
      <c r="B43" s="8">
        <v>1</v>
      </c>
      <c r="C43" s="8" t="s">
        <v>72</v>
      </c>
      <c r="D43" s="18">
        <v>2022</v>
      </c>
      <c r="E43" s="7" t="str">
        <f>IFERROR(INDEX(Empresas!$H$2:$H$23,MATCH($A43,Empresas!$B$2:$B$23,0))&amp;"","")</f>
        <v>USD</v>
      </c>
      <c r="F43" s="19">
        <v>835843</v>
      </c>
      <c r="G43" s="19">
        <v>660219</v>
      </c>
      <c r="H43" s="19">
        <v>4328261</v>
      </c>
      <c r="I43" s="19">
        <v>2514346</v>
      </c>
      <c r="J43" s="19">
        <v>1813915</v>
      </c>
      <c r="K43" s="19">
        <v>1920266</v>
      </c>
      <c r="L43" s="19">
        <v>75485</v>
      </c>
      <c r="M43" s="19">
        <v>-521427</v>
      </c>
      <c r="N43" s="19">
        <v>-388769</v>
      </c>
      <c r="O43" s="19">
        <v>1813915</v>
      </c>
      <c r="P43" s="19">
        <v>-388769</v>
      </c>
      <c r="Q43" s="19">
        <v>-453535</v>
      </c>
      <c r="R43" s="14">
        <v>489.96310424804688</v>
      </c>
      <c r="S43" s="4" t="s">
        <v>263</v>
      </c>
      <c r="T43" s="4"/>
    </row>
    <row r="44" spans="1:20" ht="15" customHeight="1" x14ac:dyDescent="0.2">
      <c r="A44" s="8" t="s">
        <v>83</v>
      </c>
      <c r="B44" s="8">
        <v>1</v>
      </c>
      <c r="C44" s="8" t="s">
        <v>72</v>
      </c>
      <c r="D44" s="18">
        <v>2023</v>
      </c>
      <c r="E44" s="7" t="str">
        <f>IFERROR(INDEX(Empresas!$H$2:$H$23,MATCH($A44,Empresas!$B$2:$B$23,0))&amp;"","")</f>
        <v>USD</v>
      </c>
      <c r="F44" s="19">
        <v>986370</v>
      </c>
      <c r="G44" s="19">
        <v>708618</v>
      </c>
      <c r="H44" s="19">
        <v>4258928</v>
      </c>
      <c r="I44" s="19">
        <v>2872915</v>
      </c>
      <c r="J44" s="19">
        <v>1386013</v>
      </c>
      <c r="K44" s="19">
        <v>2187837</v>
      </c>
      <c r="L44" s="19">
        <v>127764</v>
      </c>
      <c r="M44" s="19">
        <v>-499104</v>
      </c>
      <c r="N44" s="19">
        <v>-411054</v>
      </c>
      <c r="O44" s="19">
        <v>1386013</v>
      </c>
      <c r="P44" s="19">
        <v>-411054</v>
      </c>
      <c r="Q44" s="19">
        <v>-395887</v>
      </c>
      <c r="R44" s="14">
        <v>919.9306640625</v>
      </c>
      <c r="S44" s="4" t="s">
        <v>264</v>
      </c>
      <c r="T44" s="4"/>
    </row>
    <row r="45" spans="1:20" ht="15" customHeight="1" x14ac:dyDescent="0.2">
      <c r="A45" s="8" t="s">
        <v>83</v>
      </c>
      <c r="B45" s="8">
        <v>1</v>
      </c>
      <c r="C45" s="8" t="s">
        <v>72</v>
      </c>
      <c r="D45" s="18">
        <v>2024</v>
      </c>
      <c r="E45" s="7" t="str">
        <f>IFERROR(INDEX(Empresas!$H$2:$H$23,MATCH($A45,Empresas!$B$2:$B$23,0))&amp;"","")</f>
        <v>USD</v>
      </c>
      <c r="F45" s="19">
        <v>1080511</v>
      </c>
      <c r="G45" s="19">
        <v>649883</v>
      </c>
      <c r="H45" s="19">
        <v>4720780</v>
      </c>
      <c r="I45" s="19">
        <v>3155983</v>
      </c>
      <c r="J45" s="19">
        <v>1564797</v>
      </c>
      <c r="K45" s="19">
        <v>1836464</v>
      </c>
      <c r="L45" s="19">
        <v>130907</v>
      </c>
      <c r="M45" s="19">
        <v>311205</v>
      </c>
      <c r="N45" s="19">
        <v>228291</v>
      </c>
      <c r="O45" s="19">
        <v>1564797</v>
      </c>
      <c r="P45" s="19">
        <v>228291</v>
      </c>
      <c r="Q45" s="19">
        <v>365892</v>
      </c>
      <c r="R45" s="14">
        <v>906.931640625</v>
      </c>
      <c r="S45" s="4" t="s">
        <v>265</v>
      </c>
      <c r="T45" s="4"/>
    </row>
    <row r="46" spans="1:20" ht="15" customHeight="1" x14ac:dyDescent="0.2">
      <c r="A46" s="8" t="s">
        <v>83</v>
      </c>
      <c r="B46" s="8">
        <v>1</v>
      </c>
      <c r="C46" s="8" t="s">
        <v>72</v>
      </c>
      <c r="D46" s="18">
        <v>2025</v>
      </c>
      <c r="E46" s="7" t="str">
        <f>IFERROR(INDEX(Empresas!$H$2:$H$23,MATCH($A46,Empresas!$B$2:$B$23,0))&amp;"","")</f>
        <v>USD</v>
      </c>
      <c r="F46" s="19">
        <v>710725</v>
      </c>
      <c r="G46" s="19">
        <v>623902</v>
      </c>
      <c r="H46" s="19">
        <v>5217767</v>
      </c>
      <c r="I46" s="19">
        <v>3484998</v>
      </c>
      <c r="J46" s="19">
        <v>1732769</v>
      </c>
      <c r="K46" s="19">
        <v>2076554</v>
      </c>
      <c r="L46" s="19">
        <v>142072</v>
      </c>
      <c r="M46" s="19">
        <v>354662</v>
      </c>
      <c r="N46" s="19">
        <v>222839</v>
      </c>
      <c r="O46" s="19">
        <v>1732769</v>
      </c>
      <c r="P46" s="19">
        <v>222839</v>
      </c>
      <c r="Q46" s="19">
        <v>456372</v>
      </c>
      <c r="R46" s="14">
        <v>1346.952270507812</v>
      </c>
      <c r="S46" s="4" t="s">
        <v>266</v>
      </c>
      <c r="T46" s="4"/>
    </row>
    <row r="47" spans="1:20" ht="15" customHeight="1" x14ac:dyDescent="0.2">
      <c r="A47" s="8" t="s">
        <v>86</v>
      </c>
      <c r="B47" s="8">
        <v>1</v>
      </c>
      <c r="C47" s="8" t="s">
        <v>72</v>
      </c>
      <c r="D47" s="18">
        <v>2017</v>
      </c>
      <c r="E47" s="7" t="str">
        <f>IFERROR(INDEX(Empresas!$H$2:$H$23,MATCH($A47,Empresas!$B$2:$B$23,0))&amp;"","")</f>
        <v>CLP</v>
      </c>
      <c r="F47" s="19">
        <v>744945928</v>
      </c>
      <c r="G47" s="19">
        <v>623404767</v>
      </c>
      <c r="H47" s="19">
        <v>3529040173</v>
      </c>
      <c r="I47" s="19">
        <v>2290689003</v>
      </c>
      <c r="J47" s="19">
        <v>1238351170</v>
      </c>
      <c r="K47" s="19">
        <v>1943071198</v>
      </c>
      <c r="L47" s="19">
        <v>80035968</v>
      </c>
      <c r="M47" s="19">
        <v>26000924</v>
      </c>
      <c r="N47" s="19">
        <v>43409541</v>
      </c>
      <c r="O47" s="19">
        <v>1238351170</v>
      </c>
      <c r="P47" s="19">
        <v>43409541</v>
      </c>
      <c r="Q47" s="19">
        <v>117385336</v>
      </c>
      <c r="R47" s="14">
        <v>3253.425537109375</v>
      </c>
      <c r="S47" s="4" t="s">
        <v>258</v>
      </c>
      <c r="T47" s="4"/>
    </row>
    <row r="48" spans="1:20" ht="15" customHeight="1" x14ac:dyDescent="0.2">
      <c r="A48" s="8" t="s">
        <v>86</v>
      </c>
      <c r="B48" s="8">
        <v>1</v>
      </c>
      <c r="C48" s="8" t="s">
        <v>72</v>
      </c>
      <c r="D48" s="18">
        <v>2018</v>
      </c>
      <c r="E48" s="7" t="str">
        <f>IFERROR(INDEX(Empresas!$H$2:$H$23,MATCH($A48,Empresas!$B$2:$B$23,0))&amp;"","")</f>
        <v>CLP</v>
      </c>
      <c r="F48" s="19">
        <v>810596112</v>
      </c>
      <c r="G48" s="19">
        <v>658742932</v>
      </c>
      <c r="H48" s="19">
        <v>3964215271</v>
      </c>
      <c r="I48" s="19">
        <v>2597793309</v>
      </c>
      <c r="J48" s="19">
        <v>1366421962</v>
      </c>
      <c r="K48" s="19">
        <v>1913174282</v>
      </c>
      <c r="L48" s="19">
        <v>77711185</v>
      </c>
      <c r="M48" s="19">
        <v>-2270976</v>
      </c>
      <c r="N48" s="19">
        <v>-23614092</v>
      </c>
      <c r="O48" s="19">
        <v>1366421962</v>
      </c>
      <c r="P48" s="19">
        <v>-23614092</v>
      </c>
      <c r="Q48" s="19">
        <v>90913071</v>
      </c>
      <c r="R48" s="14">
        <v>2549.168212890625</v>
      </c>
      <c r="S48" s="4" t="s">
        <v>259</v>
      </c>
      <c r="T48" s="4"/>
    </row>
    <row r="49" spans="1:20" ht="15" customHeight="1" x14ac:dyDescent="0.2">
      <c r="A49" s="8" t="s">
        <v>86</v>
      </c>
      <c r="B49" s="8">
        <v>1</v>
      </c>
      <c r="C49" s="8" t="s">
        <v>72</v>
      </c>
      <c r="D49" s="18">
        <v>2019</v>
      </c>
      <c r="E49" s="7" t="str">
        <f>IFERROR(INDEX(Empresas!$H$2:$H$23,MATCH($A49,Empresas!$B$2:$B$23,0))&amp;"","")</f>
        <v>CLP</v>
      </c>
      <c r="F49" s="19">
        <v>1350183140</v>
      </c>
      <c r="G49" s="19">
        <v>891001450</v>
      </c>
      <c r="H49" s="19">
        <v>5169493602</v>
      </c>
      <c r="I49" s="19">
        <v>3560819204</v>
      </c>
      <c r="J49" s="19">
        <v>1608674398</v>
      </c>
      <c r="K49" s="19">
        <v>1978791988</v>
      </c>
      <c r="L49" s="19">
        <v>97558997</v>
      </c>
      <c r="M49" s="19">
        <v>240209837</v>
      </c>
      <c r="N49" s="19">
        <v>154152106</v>
      </c>
      <c r="O49" s="19">
        <v>1608674398</v>
      </c>
      <c r="P49" s="19"/>
      <c r="Q49" s="19">
        <v>343916569</v>
      </c>
      <c r="R49" s="14">
        <v>2533.252197265625</v>
      </c>
      <c r="S49" s="4" t="s">
        <v>260</v>
      </c>
      <c r="T49" s="4"/>
    </row>
    <row r="50" spans="1:20" ht="15" customHeight="1" x14ac:dyDescent="0.2">
      <c r="A50" s="8" t="s">
        <v>86</v>
      </c>
      <c r="B50" s="8">
        <v>1</v>
      </c>
      <c r="C50" s="8" t="s">
        <v>72</v>
      </c>
      <c r="D50" s="18">
        <v>2020</v>
      </c>
      <c r="E50" s="7" t="str">
        <f>IFERROR(INDEX(Empresas!$H$2:$H$23,MATCH($A50,Empresas!$B$2:$B$23,0))&amp;"","")</f>
        <v>CLP</v>
      </c>
      <c r="F50" s="19">
        <v>1376958931</v>
      </c>
      <c r="G50" s="19">
        <v>814156775</v>
      </c>
      <c r="H50" s="19">
        <v>4888444532</v>
      </c>
      <c r="I50" s="19">
        <v>3379954105</v>
      </c>
      <c r="J50" s="19">
        <v>1508490427</v>
      </c>
      <c r="K50" s="19">
        <v>2092644232</v>
      </c>
      <c r="L50" s="19">
        <v>102535938</v>
      </c>
      <c r="M50" s="19">
        <v>93954056</v>
      </c>
      <c r="N50" s="19">
        <v>84466248</v>
      </c>
      <c r="O50" s="19">
        <v>1508490427</v>
      </c>
      <c r="P50" s="19"/>
      <c r="Q50" s="19">
        <v>212469036</v>
      </c>
      <c r="R50" s="14">
        <v>2153.9814453125</v>
      </c>
      <c r="S50" s="4" t="s">
        <v>261</v>
      </c>
      <c r="T50" s="4"/>
    </row>
    <row r="51" spans="1:20" ht="15" customHeight="1" x14ac:dyDescent="0.2">
      <c r="A51" s="8" t="s">
        <v>86</v>
      </c>
      <c r="B51" s="8">
        <v>1</v>
      </c>
      <c r="C51" s="8" t="s">
        <v>72</v>
      </c>
      <c r="D51" s="18">
        <v>2021</v>
      </c>
      <c r="E51" s="7" t="str">
        <f>IFERROR(INDEX(Empresas!$H$2:$H$23,MATCH($A51,Empresas!$B$2:$B$23,0))&amp;"","")</f>
        <v>CLP</v>
      </c>
      <c r="F51" s="19">
        <v>1295049133</v>
      </c>
      <c r="G51" s="19">
        <v>1157171716</v>
      </c>
      <c r="H51" s="19">
        <v>5470958637</v>
      </c>
      <c r="I51" s="19">
        <v>3967913270</v>
      </c>
      <c r="J51" s="19">
        <v>1503045367</v>
      </c>
      <c r="K51" s="19">
        <v>2408809597</v>
      </c>
      <c r="L51" s="19">
        <v>113951133</v>
      </c>
      <c r="M51" s="19">
        <v>118630360</v>
      </c>
      <c r="N51" s="19">
        <v>74975311</v>
      </c>
      <c r="O51" s="19">
        <v>1503045367</v>
      </c>
      <c r="P51" s="19">
        <v>74975311</v>
      </c>
      <c r="Q51" s="19">
        <v>294374685</v>
      </c>
      <c r="R51" s="14">
        <v>1837.465576171875</v>
      </c>
      <c r="S51" s="4" t="s">
        <v>262</v>
      </c>
      <c r="T51" s="4"/>
    </row>
    <row r="52" spans="1:20" ht="15" customHeight="1" x14ac:dyDescent="0.2">
      <c r="A52" s="8" t="s">
        <v>86</v>
      </c>
      <c r="B52" s="8">
        <v>1</v>
      </c>
      <c r="C52" s="8" t="s">
        <v>72</v>
      </c>
      <c r="D52" s="18">
        <v>2022</v>
      </c>
      <c r="E52" s="7" t="str">
        <f>IFERROR(INDEX(Empresas!$H$2:$H$23,MATCH($A52,Empresas!$B$2:$B$23,0))&amp;"","")</f>
        <v>CLP</v>
      </c>
      <c r="F52" s="19">
        <v>1484646595</v>
      </c>
      <c r="G52" s="19">
        <v>1132020070</v>
      </c>
      <c r="H52" s="19">
        <v>5595346439</v>
      </c>
      <c r="I52" s="19">
        <v>4040830663</v>
      </c>
      <c r="J52" s="19">
        <v>1554515776</v>
      </c>
      <c r="K52" s="19">
        <v>2540682904</v>
      </c>
      <c r="L52" s="19">
        <v>113696383</v>
      </c>
      <c r="M52" s="19">
        <v>539751444</v>
      </c>
      <c r="N52" s="19">
        <v>456787332</v>
      </c>
      <c r="O52" s="19">
        <v>1554515776</v>
      </c>
      <c r="P52" s="19">
        <v>456787332</v>
      </c>
      <c r="Q52" s="19">
        <v>757608676</v>
      </c>
      <c r="R52" s="14">
        <v>2344.293701171875</v>
      </c>
      <c r="S52" s="4" t="s">
        <v>263</v>
      </c>
      <c r="T52" s="4"/>
    </row>
    <row r="53" spans="1:20" ht="15" customHeight="1" x14ac:dyDescent="0.2">
      <c r="A53" s="8" t="s">
        <v>86</v>
      </c>
      <c r="B53" s="8">
        <v>1</v>
      </c>
      <c r="C53" s="8" t="s">
        <v>72</v>
      </c>
      <c r="D53" s="18">
        <v>2023</v>
      </c>
      <c r="E53" s="7" t="str">
        <f>IFERROR(INDEX(Empresas!$H$2:$H$23,MATCH($A53,Empresas!$B$2:$B$23,0))&amp;"","")</f>
        <v>CLP</v>
      </c>
      <c r="F53" s="19">
        <v>1596064579</v>
      </c>
      <c r="G53" s="19">
        <v>1336992696</v>
      </c>
      <c r="H53" s="19">
        <v>5698687722</v>
      </c>
      <c r="I53" s="19">
        <v>4023234762</v>
      </c>
      <c r="J53" s="19">
        <v>1675452960</v>
      </c>
      <c r="K53" s="19">
        <v>2473692310</v>
      </c>
      <c r="L53" s="19">
        <v>113270200</v>
      </c>
      <c r="M53" s="19">
        <v>120594631</v>
      </c>
      <c r="N53" s="19">
        <v>88884366</v>
      </c>
      <c r="O53" s="19">
        <v>1675452960</v>
      </c>
      <c r="P53" s="19">
        <v>88884366</v>
      </c>
      <c r="Q53" s="19">
        <v>249569340</v>
      </c>
      <c r="R53" s="14">
        <v>2655.2822265625</v>
      </c>
      <c r="S53" s="4" t="s">
        <v>264</v>
      </c>
      <c r="T53" s="4"/>
    </row>
    <row r="54" spans="1:20" ht="15" customHeight="1" x14ac:dyDescent="0.2">
      <c r="A54" s="8" t="s">
        <v>86</v>
      </c>
      <c r="B54" s="8">
        <v>1</v>
      </c>
      <c r="C54" s="8" t="s">
        <v>72</v>
      </c>
      <c r="D54" s="18">
        <v>2024</v>
      </c>
      <c r="E54" s="7" t="str">
        <f>IFERROR(INDEX(Empresas!$H$2:$H$23,MATCH($A54,Empresas!$B$2:$B$23,0))&amp;"","")</f>
        <v>CLP</v>
      </c>
      <c r="F54" s="19">
        <v>1354153503</v>
      </c>
      <c r="G54" s="19">
        <v>1390644381</v>
      </c>
      <c r="H54" s="19">
        <v>5839398906</v>
      </c>
      <c r="I54" s="19">
        <v>4003379269</v>
      </c>
      <c r="J54" s="19">
        <v>1836019637</v>
      </c>
      <c r="K54" s="19">
        <v>2703236728</v>
      </c>
      <c r="L54" s="19">
        <v>111986497</v>
      </c>
      <c r="M54" s="19">
        <v>131167257</v>
      </c>
      <c r="N54" s="19">
        <v>67672129</v>
      </c>
      <c r="O54" s="19">
        <v>1836019637</v>
      </c>
      <c r="P54" s="19">
        <v>67672129</v>
      </c>
      <c r="Q54" s="19">
        <v>230852594</v>
      </c>
      <c r="R54" s="14">
        <v>2653.197509765625</v>
      </c>
      <c r="S54" s="4" t="s">
        <v>265</v>
      </c>
      <c r="T54" s="4"/>
    </row>
    <row r="55" spans="1:20" ht="15" customHeight="1" x14ac:dyDescent="0.2">
      <c r="A55" s="8" t="s">
        <v>86</v>
      </c>
      <c r="B55" s="8">
        <v>1</v>
      </c>
      <c r="C55" s="8" t="s">
        <v>72</v>
      </c>
      <c r="D55" s="18">
        <v>2025</v>
      </c>
      <c r="E55" s="7" t="str">
        <f>IFERROR(INDEX(Empresas!$H$2:$H$23,MATCH($A55,Empresas!$B$2:$B$23,0))&amp;"","")</f>
        <v>CLP</v>
      </c>
      <c r="F55" s="19">
        <v>1349902280</v>
      </c>
      <c r="G55" s="19">
        <v>1165931045</v>
      </c>
      <c r="H55" s="19">
        <v>5716879713</v>
      </c>
      <c r="I55" s="19">
        <v>3773582832</v>
      </c>
      <c r="J55" s="19">
        <v>1943296881</v>
      </c>
      <c r="K55" s="19">
        <v>2954930278</v>
      </c>
      <c r="L55" s="19">
        <v>165362521</v>
      </c>
      <c r="M55" s="19">
        <v>89153460</v>
      </c>
      <c r="N55" s="19">
        <v>191396469</v>
      </c>
      <c r="O55" s="19">
        <v>1943296881</v>
      </c>
      <c r="P55" s="19">
        <v>191396469</v>
      </c>
      <c r="Q55" s="19">
        <v>249853484</v>
      </c>
      <c r="R55" s="14">
        <v>4522.30810546875</v>
      </c>
      <c r="S55" s="4" t="s">
        <v>266</v>
      </c>
      <c r="T55" s="4"/>
    </row>
    <row r="56" spans="1:20" ht="15" customHeight="1" x14ac:dyDescent="0.2">
      <c r="A56" s="8" t="s">
        <v>89</v>
      </c>
      <c r="B56" s="8">
        <v>2</v>
      </c>
      <c r="C56" s="8" t="s">
        <v>92</v>
      </c>
      <c r="D56" s="18">
        <v>2017</v>
      </c>
      <c r="E56" s="7" t="str">
        <f>IFERROR(INDEX(Empresas!$H$2:$H$23,MATCH($A56,Empresas!$B$2:$B$23,0))&amp;"","")</f>
        <v>CLP</v>
      </c>
      <c r="F56" s="19">
        <v>2616704742</v>
      </c>
      <c r="G56" s="19">
        <v>2695719238</v>
      </c>
      <c r="H56" s="19">
        <v>10024711422</v>
      </c>
      <c r="I56" s="19">
        <v>6015689973</v>
      </c>
      <c r="J56" s="19">
        <v>4009021449</v>
      </c>
      <c r="K56" s="19">
        <v>10456987206</v>
      </c>
      <c r="L56" s="19">
        <v>297173197</v>
      </c>
      <c r="M56" s="19">
        <v>638419975</v>
      </c>
      <c r="N56" s="19">
        <v>440135976</v>
      </c>
      <c r="O56" s="19">
        <v>4010150786</v>
      </c>
      <c r="P56" s="19">
        <v>439988718</v>
      </c>
      <c r="Q56" s="19">
        <v>825410527</v>
      </c>
      <c r="R56" s="14">
        <v>1181.654174804688</v>
      </c>
      <c r="S56" s="4" t="s">
        <v>258</v>
      </c>
      <c r="T56" s="4"/>
    </row>
    <row r="57" spans="1:20" ht="15" customHeight="1" x14ac:dyDescent="0.2">
      <c r="A57" s="8" t="s">
        <v>89</v>
      </c>
      <c r="B57" s="8">
        <v>2</v>
      </c>
      <c r="C57" s="8" t="s">
        <v>92</v>
      </c>
      <c r="D57" s="18">
        <v>2018</v>
      </c>
      <c r="E57" s="7" t="str">
        <f>IFERROR(INDEX(Empresas!$H$2:$H$23,MATCH($A57,Empresas!$B$2:$B$23,0))&amp;"","")</f>
        <v>CLP</v>
      </c>
      <c r="F57" s="19">
        <v>2649598319</v>
      </c>
      <c r="G57" s="19">
        <v>2622878167</v>
      </c>
      <c r="H57" s="19">
        <v>10634698845</v>
      </c>
      <c r="I57" s="19">
        <v>6390656921</v>
      </c>
      <c r="J57" s="19">
        <v>4244041924</v>
      </c>
      <c r="K57" s="19">
        <v>9646001747</v>
      </c>
      <c r="L57" s="19">
        <v>237011354</v>
      </c>
      <c r="M57" s="19">
        <v>278346717</v>
      </c>
      <c r="N57" s="19">
        <v>190594477</v>
      </c>
      <c r="O57" s="19">
        <v>4245504837</v>
      </c>
      <c r="P57" s="19">
        <v>191285239</v>
      </c>
      <c r="Q57" s="19">
        <v>608906016</v>
      </c>
      <c r="R57" s="14">
        <v>840.58184814453125</v>
      </c>
      <c r="S57" s="4" t="s">
        <v>259</v>
      </c>
      <c r="T57" s="4"/>
    </row>
    <row r="58" spans="1:20" ht="15" customHeight="1" x14ac:dyDescent="0.2">
      <c r="A58" s="8" t="s">
        <v>89</v>
      </c>
      <c r="B58" s="8">
        <v>2</v>
      </c>
      <c r="C58" s="8" t="s">
        <v>92</v>
      </c>
      <c r="D58" s="18">
        <v>2019</v>
      </c>
      <c r="E58" s="7" t="str">
        <f>IFERROR(INDEX(Empresas!$H$2:$H$23,MATCH($A58,Empresas!$B$2:$B$23,0))&amp;"","")</f>
        <v>CLP</v>
      </c>
      <c r="F58" s="19">
        <v>3211830302</v>
      </c>
      <c r="G58" s="19">
        <v>2537199479</v>
      </c>
      <c r="H58" s="19">
        <v>12248307991</v>
      </c>
      <c r="I58" s="19">
        <v>7258386384</v>
      </c>
      <c r="J58" s="19">
        <v>4989921607</v>
      </c>
      <c r="K58" s="19">
        <v>9548213456</v>
      </c>
      <c r="L58" s="19">
        <v>282095846</v>
      </c>
      <c r="M58" s="19">
        <v>329464815</v>
      </c>
      <c r="N58" s="19">
        <v>154617183</v>
      </c>
      <c r="O58" s="19">
        <v>4442538398</v>
      </c>
      <c r="P58" s="19">
        <v>114109633</v>
      </c>
      <c r="Q58" s="19">
        <v>713608184</v>
      </c>
      <c r="R58" s="14">
        <v>667.63140869140625</v>
      </c>
      <c r="S58" s="4" t="s">
        <v>260</v>
      </c>
      <c r="T58" s="4"/>
    </row>
    <row r="59" spans="1:20" ht="15" customHeight="1" x14ac:dyDescent="0.2">
      <c r="A59" s="8" t="s">
        <v>89</v>
      </c>
      <c r="B59" s="8">
        <v>2</v>
      </c>
      <c r="C59" s="8" t="s">
        <v>92</v>
      </c>
      <c r="D59" s="18">
        <v>2020</v>
      </c>
      <c r="E59" s="7" t="str">
        <f>IFERROR(INDEX(Empresas!$H$2:$H$23,MATCH($A59,Empresas!$B$2:$B$23,0))&amp;"","")</f>
        <v>CLP</v>
      </c>
      <c r="F59" s="19">
        <v>2750870198</v>
      </c>
      <c r="G59" s="19">
        <v>2523502528</v>
      </c>
      <c r="H59" s="19">
        <v>10845080030</v>
      </c>
      <c r="I59" s="19">
        <v>6326579185</v>
      </c>
      <c r="J59" s="19">
        <v>4518500845</v>
      </c>
      <c r="K59" s="19">
        <v>9836117393</v>
      </c>
      <c r="L59" s="19">
        <v>264941294</v>
      </c>
      <c r="M59" s="19">
        <v>202558250</v>
      </c>
      <c r="N59" s="19">
        <v>64980678</v>
      </c>
      <c r="O59" s="19">
        <v>3957334556</v>
      </c>
      <c r="P59" s="19">
        <v>22930607</v>
      </c>
      <c r="Q59" s="19">
        <v>593715165</v>
      </c>
      <c r="R59" s="14">
        <v>879.8507080078125</v>
      </c>
      <c r="S59" s="4" t="s">
        <v>261</v>
      </c>
      <c r="T59" s="4"/>
    </row>
    <row r="60" spans="1:20" ht="15" customHeight="1" x14ac:dyDescent="0.2">
      <c r="A60" s="8" t="s">
        <v>89</v>
      </c>
      <c r="B60" s="8">
        <v>2</v>
      </c>
      <c r="C60" s="8" t="s">
        <v>92</v>
      </c>
      <c r="D60" s="18">
        <v>2021</v>
      </c>
      <c r="E60" s="7" t="str">
        <f>IFERROR(INDEX(Empresas!$H$2:$H$23,MATCH($A60,Empresas!$B$2:$B$23,0))&amp;"","")</f>
        <v>CLP</v>
      </c>
      <c r="F60" s="19">
        <v>3360396781</v>
      </c>
      <c r="G60" s="19">
        <v>3161774685</v>
      </c>
      <c r="H60" s="19">
        <v>11951507481</v>
      </c>
      <c r="I60" s="19">
        <v>7217249903</v>
      </c>
      <c r="J60" s="19">
        <v>4734257578</v>
      </c>
      <c r="K60" s="19">
        <v>11760071408</v>
      </c>
      <c r="L60" s="19">
        <v>143512497</v>
      </c>
      <c r="M60" s="19">
        <v>755829320</v>
      </c>
      <c r="N60" s="19">
        <v>495135760</v>
      </c>
      <c r="O60" s="19">
        <v>4176462336</v>
      </c>
      <c r="P60" s="19">
        <v>471910200</v>
      </c>
      <c r="Q60" s="19">
        <v>1035297383</v>
      </c>
      <c r="R60" s="14">
        <v>1186.45556640625</v>
      </c>
      <c r="S60" s="4" t="s">
        <v>262</v>
      </c>
      <c r="T60" s="4"/>
    </row>
    <row r="61" spans="1:20" ht="15" customHeight="1" x14ac:dyDescent="0.2">
      <c r="A61" s="8" t="s">
        <v>89</v>
      </c>
      <c r="B61" s="8">
        <v>2</v>
      </c>
      <c r="C61" s="8" t="s">
        <v>92</v>
      </c>
      <c r="D61" s="18">
        <v>2022</v>
      </c>
      <c r="E61" s="7" t="str">
        <f>IFERROR(INDEX(Empresas!$H$2:$H$23,MATCH($A61,Empresas!$B$2:$B$23,0))&amp;"","")</f>
        <v>CLP</v>
      </c>
      <c r="F61" s="19">
        <v>3108157445</v>
      </c>
      <c r="G61" s="19">
        <v>3753381559</v>
      </c>
      <c r="H61" s="19">
        <v>13340199791</v>
      </c>
      <c r="I61" s="19">
        <v>9093982389</v>
      </c>
      <c r="J61" s="19">
        <v>4246217402</v>
      </c>
      <c r="K61" s="19">
        <v>14202097551</v>
      </c>
      <c r="L61" s="19">
        <v>233871142</v>
      </c>
      <c r="M61" s="19">
        <v>641933421</v>
      </c>
      <c r="N61" s="19">
        <v>404748150</v>
      </c>
      <c r="O61" s="19">
        <v>3670812256</v>
      </c>
      <c r="P61" s="19">
        <v>338929324</v>
      </c>
      <c r="Q61" s="19">
        <v>1122918890</v>
      </c>
      <c r="R61" s="14">
        <v>1270.419921875</v>
      </c>
      <c r="S61" s="4" t="s">
        <v>263</v>
      </c>
      <c r="T61" s="4"/>
    </row>
    <row r="62" spans="1:20" ht="15" customHeight="1" x14ac:dyDescent="0.2">
      <c r="A62" s="8" t="s">
        <v>89</v>
      </c>
      <c r="B62" s="8">
        <v>2</v>
      </c>
      <c r="C62" s="8" t="s">
        <v>92</v>
      </c>
      <c r="D62" s="18">
        <v>2023</v>
      </c>
      <c r="E62" s="7" t="str">
        <f>IFERROR(INDEX(Empresas!$H$2:$H$23,MATCH($A62,Empresas!$B$2:$B$23,0))&amp;"","")</f>
        <v>CLP</v>
      </c>
      <c r="F62" s="19">
        <v>2976277224</v>
      </c>
      <c r="G62" s="19">
        <v>3798928406</v>
      </c>
      <c r="H62" s="19">
        <v>13573122529</v>
      </c>
      <c r="I62" s="19">
        <v>9295494767</v>
      </c>
      <c r="J62" s="19">
        <v>4277627762</v>
      </c>
      <c r="K62" s="19">
        <v>14230641548</v>
      </c>
      <c r="L62" s="19">
        <v>311890685</v>
      </c>
      <c r="M62" s="19">
        <v>513384871</v>
      </c>
      <c r="N62" s="19">
        <v>292212589</v>
      </c>
      <c r="O62" s="19">
        <v>3670611817</v>
      </c>
      <c r="P62" s="19">
        <v>220279761</v>
      </c>
      <c r="Q62" s="19">
        <v>999026496</v>
      </c>
      <c r="R62" s="14">
        <v>1608.335205078125</v>
      </c>
      <c r="S62" s="4" t="s">
        <v>264</v>
      </c>
      <c r="T62" s="4"/>
    </row>
    <row r="63" spans="1:20" ht="15" customHeight="1" x14ac:dyDescent="0.2">
      <c r="A63" s="8" t="s">
        <v>89</v>
      </c>
      <c r="B63" s="8">
        <v>2</v>
      </c>
      <c r="C63" s="8" t="s">
        <v>92</v>
      </c>
      <c r="D63" s="18">
        <v>2024</v>
      </c>
      <c r="E63" s="7" t="str">
        <f>IFERROR(INDEX(Empresas!$H$2:$H$23,MATCH($A63,Empresas!$B$2:$B$23,0))&amp;"","")</f>
        <v>CLP</v>
      </c>
      <c r="F63" s="19">
        <v>3898450092</v>
      </c>
      <c r="G63" s="19">
        <v>4248606702</v>
      </c>
      <c r="H63" s="19">
        <v>15322076179</v>
      </c>
      <c r="I63" s="19">
        <v>10010779606</v>
      </c>
      <c r="J63" s="19">
        <v>5311296573</v>
      </c>
      <c r="K63" s="19">
        <v>16493815028</v>
      </c>
      <c r="L63" s="19">
        <v>413960213</v>
      </c>
      <c r="M63" s="19">
        <v>481471824</v>
      </c>
      <c r="N63" s="19">
        <v>233683205</v>
      </c>
      <c r="O63" s="19">
        <v>4679049300</v>
      </c>
      <c r="P63" s="19">
        <v>158934578</v>
      </c>
      <c r="Q63" s="19">
        <v>1070149053</v>
      </c>
      <c r="R63" s="14">
        <v>2164.783935546875</v>
      </c>
      <c r="S63" s="4" t="s">
        <v>265</v>
      </c>
      <c r="T63" s="4"/>
    </row>
    <row r="64" spans="1:20" ht="15" customHeight="1" x14ac:dyDescent="0.2">
      <c r="A64" s="8" t="s">
        <v>89</v>
      </c>
      <c r="B64" s="8">
        <v>2</v>
      </c>
      <c r="C64" s="8" t="s">
        <v>92</v>
      </c>
      <c r="D64" s="18">
        <v>2025</v>
      </c>
      <c r="E64" s="7" t="str">
        <f>IFERROR(INDEX(Empresas!$H$2:$H$23,MATCH($A64,Empresas!$B$2:$B$23,0))&amp;"","")</f>
        <v>CLP</v>
      </c>
      <c r="F64" s="19">
        <v>3464999068</v>
      </c>
      <c r="G64" s="19">
        <v>3773170490</v>
      </c>
      <c r="H64" s="19">
        <v>14863909320</v>
      </c>
      <c r="I64" s="19">
        <v>9589819107</v>
      </c>
      <c r="J64" s="19">
        <v>5274090213</v>
      </c>
      <c r="K64" s="19">
        <v>16594515400</v>
      </c>
      <c r="L64" s="19">
        <v>392867478</v>
      </c>
      <c r="M64" s="19">
        <v>668569164</v>
      </c>
      <c r="N64" s="19">
        <v>398118881</v>
      </c>
      <c r="O64" s="19">
        <v>4623884879</v>
      </c>
      <c r="P64" s="19">
        <v>314917071</v>
      </c>
      <c r="Q64" s="19">
        <v>1036690398</v>
      </c>
      <c r="R64" s="14">
        <v>2862.1171875</v>
      </c>
      <c r="S64" s="4" t="s">
        <v>266</v>
      </c>
      <c r="T64" s="4"/>
    </row>
    <row r="65" spans="1:20" ht="15" customHeight="1" x14ac:dyDescent="0.2">
      <c r="A65" s="8" t="s">
        <v>94</v>
      </c>
      <c r="B65" s="8">
        <v>2</v>
      </c>
      <c r="C65" s="8" t="s">
        <v>92</v>
      </c>
      <c r="D65" s="18">
        <v>2017</v>
      </c>
      <c r="E65" s="7" t="str">
        <f>IFERROR(INDEX(Empresas!$H$2:$H$23,MATCH($A65,Empresas!$B$2:$B$23,0))&amp;"","")</f>
        <v>CLP</v>
      </c>
      <c r="F65" s="19">
        <v>3656802438</v>
      </c>
      <c r="G65" s="19">
        <v>2280260661</v>
      </c>
      <c r="H65" s="19">
        <v>14340608485</v>
      </c>
      <c r="I65" s="19">
        <v>9047150981</v>
      </c>
      <c r="J65" s="19">
        <v>5293457504</v>
      </c>
      <c r="K65" s="19">
        <v>8209851510</v>
      </c>
      <c r="L65" s="19">
        <v>195372181</v>
      </c>
      <c r="M65" s="19">
        <v>640330711</v>
      </c>
      <c r="N65" s="19">
        <v>558904194</v>
      </c>
      <c r="O65" s="19">
        <v>4399014527</v>
      </c>
      <c r="P65" s="19">
        <v>509593496</v>
      </c>
      <c r="Q65" s="19">
        <v>823039888</v>
      </c>
      <c r="R65" s="14">
        <v>5389.91064453125</v>
      </c>
      <c r="S65" s="4" t="s">
        <v>258</v>
      </c>
      <c r="T65" s="4"/>
    </row>
    <row r="66" spans="1:20" ht="15" customHeight="1" x14ac:dyDescent="0.2">
      <c r="A66" s="8" t="s">
        <v>94</v>
      </c>
      <c r="B66" s="8">
        <v>2</v>
      </c>
      <c r="C66" s="8" t="s">
        <v>92</v>
      </c>
      <c r="D66" s="18">
        <v>2018</v>
      </c>
      <c r="E66" s="7" t="str">
        <f>IFERROR(INDEX(Empresas!$H$2:$H$23,MATCH($A66,Empresas!$B$2:$B$23,0))&amp;"","")</f>
        <v>CLP</v>
      </c>
      <c r="F66" s="19">
        <v>4131126897</v>
      </c>
      <c r="G66" s="19">
        <v>2532653141</v>
      </c>
      <c r="H66" s="19">
        <v>15878737437</v>
      </c>
      <c r="I66" s="19">
        <v>9891380214</v>
      </c>
      <c r="J66" s="19">
        <v>5987357223</v>
      </c>
      <c r="K66" s="19">
        <v>8483577333</v>
      </c>
      <c r="L66" s="19">
        <v>181505280</v>
      </c>
      <c r="M66" s="19">
        <v>618525741</v>
      </c>
      <c r="N66" s="19">
        <v>543727378</v>
      </c>
      <c r="O66" s="19">
        <v>5067862670</v>
      </c>
      <c r="P66" s="19">
        <v>478468376</v>
      </c>
      <c r="Q66" s="19">
        <v>793946296</v>
      </c>
      <c r="R66" s="14">
        <v>4513.107421875</v>
      </c>
      <c r="S66" s="4" t="s">
        <v>259</v>
      </c>
      <c r="T66" s="4"/>
    </row>
    <row r="67" spans="1:20" ht="15" customHeight="1" x14ac:dyDescent="0.2">
      <c r="A67" s="8" t="s">
        <v>94</v>
      </c>
      <c r="B67" s="8">
        <v>2</v>
      </c>
      <c r="C67" s="8" t="s">
        <v>92</v>
      </c>
      <c r="D67" s="18">
        <v>2019</v>
      </c>
      <c r="E67" s="7" t="str">
        <f>IFERROR(INDEX(Empresas!$H$2:$H$23,MATCH($A67,Empresas!$B$2:$B$23,0))&amp;"","")</f>
        <v>CLP</v>
      </c>
      <c r="F67" s="19">
        <v>2427250279</v>
      </c>
      <c r="G67" s="19">
        <v>2022687551</v>
      </c>
      <c r="H67" s="19">
        <v>18333670838</v>
      </c>
      <c r="I67" s="19">
        <v>12101058762</v>
      </c>
      <c r="J67" s="19">
        <v>6232612076</v>
      </c>
      <c r="K67" s="19">
        <v>8053582835</v>
      </c>
      <c r="L67" s="19">
        <v>209910800</v>
      </c>
      <c r="M67" s="19">
        <v>184981961</v>
      </c>
      <c r="N67" s="19">
        <v>356176474</v>
      </c>
      <c r="O67" s="19">
        <v>5258947121</v>
      </c>
      <c r="P67" s="19">
        <v>295473530</v>
      </c>
      <c r="Q67" s="19">
        <v>411164220</v>
      </c>
      <c r="R67" s="14">
        <v>2917.955322265625</v>
      </c>
      <c r="S67" s="4" t="s">
        <v>260</v>
      </c>
      <c r="T67" s="4"/>
    </row>
    <row r="68" spans="1:20" ht="15" customHeight="1" x14ac:dyDescent="0.2">
      <c r="A68" s="8" t="s">
        <v>94</v>
      </c>
      <c r="B68" s="8">
        <v>2</v>
      </c>
      <c r="C68" s="8" t="s">
        <v>92</v>
      </c>
      <c r="D68" s="18">
        <v>2020</v>
      </c>
      <c r="E68" s="7" t="str">
        <f>IFERROR(INDEX(Empresas!$H$2:$H$23,MATCH($A68,Empresas!$B$2:$B$23,0))&amp;"","")</f>
        <v>CLP</v>
      </c>
      <c r="F68" s="19">
        <v>3060891581</v>
      </c>
      <c r="G68" s="19">
        <v>2162842602</v>
      </c>
      <c r="H68" s="19">
        <v>18918529666</v>
      </c>
      <c r="I68" s="19">
        <v>12933273975</v>
      </c>
      <c r="J68" s="19">
        <v>5985255691</v>
      </c>
      <c r="K68" s="19">
        <v>8281049949</v>
      </c>
      <c r="L68" s="19">
        <v>254510949</v>
      </c>
      <c r="M68" s="19">
        <v>-87794699</v>
      </c>
      <c r="N68" s="19">
        <v>36664442</v>
      </c>
      <c r="O68" s="19">
        <v>5021739662</v>
      </c>
      <c r="P68" s="19">
        <v>30758319</v>
      </c>
      <c r="Q68" s="19">
        <v>152993905</v>
      </c>
      <c r="R68" s="14">
        <v>2397.8916015625</v>
      </c>
      <c r="S68" s="4" t="s">
        <v>261</v>
      </c>
      <c r="T68" s="4"/>
    </row>
    <row r="69" spans="1:20" ht="15" customHeight="1" x14ac:dyDescent="0.2">
      <c r="A69" s="8" t="s">
        <v>94</v>
      </c>
      <c r="B69" s="8">
        <v>2</v>
      </c>
      <c r="C69" s="8" t="s">
        <v>92</v>
      </c>
      <c r="D69" s="18">
        <v>2021</v>
      </c>
      <c r="E69" s="7" t="str">
        <f>IFERROR(INDEX(Empresas!$H$2:$H$23,MATCH($A69,Empresas!$B$2:$B$23,0))&amp;"","")</f>
        <v>CLP</v>
      </c>
      <c r="F69" s="19">
        <v>3072386843</v>
      </c>
      <c r="G69" s="19">
        <v>2447658416</v>
      </c>
      <c r="H69" s="19">
        <v>21432643866</v>
      </c>
      <c r="I69" s="19">
        <v>14787579136</v>
      </c>
      <c r="J69" s="19">
        <v>6645064730</v>
      </c>
      <c r="K69" s="19">
        <v>10335383740</v>
      </c>
      <c r="L69" s="19">
        <v>234461905</v>
      </c>
      <c r="M69" s="19">
        <v>591720860</v>
      </c>
      <c r="N69" s="19">
        <v>695021733</v>
      </c>
      <c r="O69" s="19">
        <v>5651406957</v>
      </c>
      <c r="P69" s="19">
        <v>652030703</v>
      </c>
      <c r="Q69" s="19">
        <v>776116886</v>
      </c>
      <c r="R69" s="14">
        <v>2565.022705078125</v>
      </c>
      <c r="S69" s="4" t="s">
        <v>262</v>
      </c>
      <c r="T69" s="4"/>
    </row>
    <row r="70" spans="1:20" ht="15" customHeight="1" x14ac:dyDescent="0.2">
      <c r="A70" s="8" t="s">
        <v>94</v>
      </c>
      <c r="B70" s="8">
        <v>2</v>
      </c>
      <c r="C70" s="8" t="s">
        <v>92</v>
      </c>
      <c r="D70" s="18">
        <v>2022</v>
      </c>
      <c r="E70" s="7" t="str">
        <f>IFERROR(INDEX(Empresas!$H$2:$H$23,MATCH($A70,Empresas!$B$2:$B$23,0))&amp;"","")</f>
        <v>CLP</v>
      </c>
      <c r="F70" s="19">
        <v>3444184685</v>
      </c>
      <c r="G70" s="19">
        <v>2659077750</v>
      </c>
      <c r="H70" s="19">
        <v>22545222145</v>
      </c>
      <c r="I70" s="19">
        <v>16044120488</v>
      </c>
      <c r="J70" s="19">
        <v>6501101657</v>
      </c>
      <c r="K70" s="19">
        <v>10460666398</v>
      </c>
      <c r="L70" s="19">
        <v>309849692</v>
      </c>
      <c r="M70" s="19">
        <v>-89392920</v>
      </c>
      <c r="N70" s="19">
        <v>132431138</v>
      </c>
      <c r="O70" s="19">
        <v>5508952271</v>
      </c>
      <c r="P70" s="19">
        <v>90188723</v>
      </c>
      <c r="Q70" s="19">
        <v>303254037</v>
      </c>
      <c r="R70" s="14">
        <v>1584.428466796875</v>
      </c>
      <c r="S70" s="4" t="s">
        <v>263</v>
      </c>
      <c r="T70" s="4"/>
    </row>
    <row r="71" spans="1:20" ht="15" customHeight="1" x14ac:dyDescent="0.2">
      <c r="A71" s="8" t="s">
        <v>94</v>
      </c>
      <c r="B71" s="8">
        <v>2</v>
      </c>
      <c r="C71" s="8" t="s">
        <v>92</v>
      </c>
      <c r="D71" s="18">
        <v>2023</v>
      </c>
      <c r="E71" s="7" t="str">
        <f>IFERROR(INDEX(Empresas!$H$2:$H$23,MATCH($A71,Empresas!$B$2:$B$23,0))&amp;"","")</f>
        <v>CLP</v>
      </c>
      <c r="F71" s="19">
        <v>3474663885</v>
      </c>
      <c r="G71" s="19">
        <v>2237236347</v>
      </c>
      <c r="H71" s="19">
        <v>23839384483</v>
      </c>
      <c r="I71" s="19">
        <v>16382873239</v>
      </c>
      <c r="J71" s="19">
        <v>7456511244</v>
      </c>
      <c r="K71" s="19">
        <v>9355114657</v>
      </c>
      <c r="L71" s="19">
        <v>350424957</v>
      </c>
      <c r="M71" s="19">
        <v>175868820</v>
      </c>
      <c r="N71" s="19">
        <v>188584511</v>
      </c>
      <c r="O71" s="19">
        <v>6301182584</v>
      </c>
      <c r="P71" s="19">
        <v>60640788</v>
      </c>
      <c r="Q71" s="19">
        <v>487551588</v>
      </c>
      <c r="R71" s="14">
        <v>2112.571044921875</v>
      </c>
      <c r="S71" s="4" t="s">
        <v>264</v>
      </c>
      <c r="T71" s="4"/>
    </row>
    <row r="72" spans="1:20" ht="15" customHeight="1" x14ac:dyDescent="0.2">
      <c r="A72" s="8" t="s">
        <v>94</v>
      </c>
      <c r="B72" s="8">
        <v>2</v>
      </c>
      <c r="C72" s="8" t="s">
        <v>92</v>
      </c>
      <c r="D72" s="18">
        <v>2024</v>
      </c>
      <c r="E72" s="7" t="str">
        <f>IFERROR(INDEX(Empresas!$H$2:$H$23,MATCH($A72,Empresas!$B$2:$B$23,0))&amp;"","")</f>
        <v>CLP</v>
      </c>
      <c r="F72" s="19">
        <v>4464298404</v>
      </c>
      <c r="G72" s="19">
        <v>2891943375</v>
      </c>
      <c r="H72" s="19">
        <v>25261840065</v>
      </c>
      <c r="I72" s="19">
        <v>16820286290</v>
      </c>
      <c r="J72" s="19">
        <v>8441553775</v>
      </c>
      <c r="K72" s="19">
        <v>10322104478</v>
      </c>
      <c r="L72" s="19">
        <v>350758042</v>
      </c>
      <c r="M72" s="19">
        <v>631405478</v>
      </c>
      <c r="N72" s="19">
        <v>635404389</v>
      </c>
      <c r="O72" s="19">
        <v>6828367191</v>
      </c>
      <c r="P72" s="19">
        <v>480943269</v>
      </c>
      <c r="Q72" s="19">
        <v>920128688</v>
      </c>
      <c r="R72" s="14">
        <v>3375.3125</v>
      </c>
      <c r="S72" s="4" t="s">
        <v>265</v>
      </c>
      <c r="T72" s="4"/>
    </row>
    <row r="73" spans="1:20" ht="15" customHeight="1" x14ac:dyDescent="0.2">
      <c r="A73" s="8" t="s">
        <v>94</v>
      </c>
      <c r="B73" s="8">
        <v>2</v>
      </c>
      <c r="C73" s="8" t="s">
        <v>92</v>
      </c>
      <c r="D73" s="18">
        <v>2025</v>
      </c>
      <c r="E73" s="7" t="str">
        <f>IFERROR(INDEX(Empresas!$H$2:$H$23,MATCH($A73,Empresas!$B$2:$B$23,0))&amp;"","")</f>
        <v>CLP</v>
      </c>
      <c r="F73" s="19">
        <v>4059192900</v>
      </c>
      <c r="G73" s="19">
        <v>2625414884</v>
      </c>
      <c r="H73" s="19">
        <v>26812998391</v>
      </c>
      <c r="I73" s="19">
        <v>16643138864</v>
      </c>
      <c r="J73" s="19">
        <v>10169859527</v>
      </c>
      <c r="K73" s="19">
        <v>11342385896</v>
      </c>
      <c r="L73" s="19">
        <v>335429574</v>
      </c>
      <c r="M73" s="19">
        <v>2217358233</v>
      </c>
      <c r="N73" s="19">
        <v>1984315017</v>
      </c>
      <c r="O73" s="19">
        <v>7972297221</v>
      </c>
      <c r="P73" s="19">
        <v>1347476767</v>
      </c>
      <c r="Q73" s="19">
        <v>2451227096</v>
      </c>
      <c r="R73" s="14">
        <v>6190.0751953125</v>
      </c>
      <c r="S73" s="4" t="s">
        <v>266</v>
      </c>
      <c r="T73" s="4"/>
    </row>
    <row r="74" spans="1:20" ht="15" customHeight="1" x14ac:dyDescent="0.2">
      <c r="A74" s="8" t="s">
        <v>97</v>
      </c>
      <c r="B74" s="8">
        <v>2</v>
      </c>
      <c r="C74" s="8" t="s">
        <v>92</v>
      </c>
      <c r="D74" s="18">
        <v>2017</v>
      </c>
      <c r="E74" s="7" t="str">
        <f>IFERROR(INDEX(Empresas!$H$2:$H$23,MATCH($A74,Empresas!$B$2:$B$23,0))&amp;"","")</f>
        <v>CLP</v>
      </c>
      <c r="F74" s="19">
        <v>1353170666</v>
      </c>
      <c r="G74" s="19">
        <v>1144243201</v>
      </c>
      <c r="H74" s="19">
        <v>2779433566</v>
      </c>
      <c r="I74" s="19">
        <v>1834505833</v>
      </c>
      <c r="J74" s="19">
        <v>944927733</v>
      </c>
      <c r="K74" s="19">
        <v>1669037686</v>
      </c>
      <c r="L74" s="19">
        <v>22342225</v>
      </c>
      <c r="M74" s="19">
        <v>100492175</v>
      </c>
      <c r="N74" s="19">
        <v>85851442</v>
      </c>
      <c r="O74" s="19">
        <v>944630784</v>
      </c>
      <c r="P74" s="19">
        <v>85843196</v>
      </c>
      <c r="Q74" s="19">
        <v>83793296</v>
      </c>
      <c r="R74" s="14">
        <v>445.85592651367188</v>
      </c>
      <c r="S74" s="4" t="s">
        <v>258</v>
      </c>
      <c r="T74" s="4"/>
    </row>
    <row r="75" spans="1:20" ht="15" customHeight="1" x14ac:dyDescent="0.2">
      <c r="A75" s="8" t="s">
        <v>97</v>
      </c>
      <c r="B75" s="8">
        <v>2</v>
      </c>
      <c r="C75" s="8" t="s">
        <v>92</v>
      </c>
      <c r="D75" s="18">
        <v>2018</v>
      </c>
      <c r="E75" s="7" t="str">
        <f>IFERROR(INDEX(Empresas!$H$2:$H$23,MATCH($A75,Empresas!$B$2:$B$23,0))&amp;"","")</f>
        <v>CLP</v>
      </c>
      <c r="F75" s="19">
        <v>1460966159</v>
      </c>
      <c r="G75" s="19">
        <v>1248193299</v>
      </c>
      <c r="H75" s="19">
        <v>2972212877</v>
      </c>
      <c r="I75" s="19">
        <v>1962344456</v>
      </c>
      <c r="J75" s="19">
        <v>1009868421</v>
      </c>
      <c r="K75" s="19">
        <v>1702063266</v>
      </c>
      <c r="L75" s="19">
        <v>21280078</v>
      </c>
      <c r="M75" s="19">
        <v>89844782</v>
      </c>
      <c r="N75" s="19">
        <v>69663837</v>
      </c>
      <c r="O75" s="19">
        <v>1009563831</v>
      </c>
      <c r="P75" s="19">
        <v>69656196</v>
      </c>
      <c r="Q75" s="19">
        <v>81114971</v>
      </c>
      <c r="R75" s="14">
        <v>392.36123657226562</v>
      </c>
      <c r="S75" s="4" t="s">
        <v>259</v>
      </c>
      <c r="T75" s="4"/>
    </row>
    <row r="76" spans="1:20" ht="15" customHeight="1" x14ac:dyDescent="0.2">
      <c r="A76" s="8" t="s">
        <v>97</v>
      </c>
      <c r="B76" s="8">
        <v>2</v>
      </c>
      <c r="C76" s="8" t="s">
        <v>92</v>
      </c>
      <c r="D76" s="18">
        <v>2019</v>
      </c>
      <c r="E76" s="7" t="str">
        <f>IFERROR(INDEX(Empresas!$H$2:$H$23,MATCH($A76,Empresas!$B$2:$B$23,0))&amp;"","")</f>
        <v>CLP</v>
      </c>
      <c r="F76" s="19">
        <v>1593523796</v>
      </c>
      <c r="G76" s="19">
        <v>1439340489</v>
      </c>
      <c r="H76" s="19">
        <v>3609318734</v>
      </c>
      <c r="I76" s="19">
        <v>2575669224</v>
      </c>
      <c r="J76" s="19">
        <v>1033649510</v>
      </c>
      <c r="K76" s="19">
        <v>1727425808</v>
      </c>
      <c r="L76" s="19">
        <v>36999051</v>
      </c>
      <c r="M76" s="19">
        <v>132925047</v>
      </c>
      <c r="N76" s="19">
        <v>100503920</v>
      </c>
      <c r="O76" s="19">
        <v>1033523879</v>
      </c>
      <c r="P76" s="19">
        <v>100682879</v>
      </c>
      <c r="Q76" s="19">
        <v>132598622</v>
      </c>
      <c r="R76" s="14">
        <v>234.13349914550781</v>
      </c>
      <c r="S76" s="4" t="s">
        <v>260</v>
      </c>
      <c r="T76" s="4"/>
    </row>
    <row r="77" spans="1:20" ht="15" customHeight="1" x14ac:dyDescent="0.2">
      <c r="A77" s="8" t="s">
        <v>97</v>
      </c>
      <c r="B77" s="8">
        <v>2</v>
      </c>
      <c r="C77" s="8" t="s">
        <v>92</v>
      </c>
      <c r="D77" s="18">
        <v>2020</v>
      </c>
      <c r="E77" s="7" t="str">
        <f>IFERROR(INDEX(Empresas!$H$2:$H$23,MATCH($A77,Empresas!$B$2:$B$23,0))&amp;"","")</f>
        <v>CLP</v>
      </c>
      <c r="F77" s="19">
        <v>1857934439</v>
      </c>
      <c r="G77" s="19">
        <v>1570653520</v>
      </c>
      <c r="H77" s="19">
        <v>3523732372</v>
      </c>
      <c r="I77" s="19">
        <v>2627828433</v>
      </c>
      <c r="J77" s="19">
        <v>895903939</v>
      </c>
      <c r="K77" s="19">
        <v>1499541059</v>
      </c>
      <c r="L77" s="19">
        <v>41730340</v>
      </c>
      <c r="M77" s="19">
        <v>-78473915</v>
      </c>
      <c r="N77" s="19">
        <v>-78555377</v>
      </c>
      <c r="O77" s="19">
        <v>895703560</v>
      </c>
      <c r="P77" s="19">
        <v>-78630125</v>
      </c>
      <c r="Q77" s="19">
        <v>-36290335</v>
      </c>
      <c r="R77" s="14">
        <v>161.4986267089844</v>
      </c>
      <c r="S77" s="4" t="s">
        <v>261</v>
      </c>
      <c r="T77" s="4"/>
    </row>
    <row r="78" spans="1:20" ht="15" customHeight="1" x14ac:dyDescent="0.2">
      <c r="A78" s="8" t="s">
        <v>97</v>
      </c>
      <c r="B78" s="8">
        <v>2</v>
      </c>
      <c r="C78" s="8" t="s">
        <v>92</v>
      </c>
      <c r="D78" s="18">
        <v>2021</v>
      </c>
      <c r="E78" s="7" t="str">
        <f>IFERROR(INDEX(Empresas!$H$2:$H$23,MATCH($A78,Empresas!$B$2:$B$23,0))&amp;"","")</f>
        <v>CLP</v>
      </c>
      <c r="F78" s="19">
        <v>1613585264</v>
      </c>
      <c r="G78" s="19">
        <v>1556664524</v>
      </c>
      <c r="H78" s="19">
        <v>3537035975</v>
      </c>
      <c r="I78" s="19">
        <v>2564804923</v>
      </c>
      <c r="J78" s="19">
        <v>972231052</v>
      </c>
      <c r="K78" s="19">
        <v>2062196083</v>
      </c>
      <c r="L78" s="19">
        <v>42814313</v>
      </c>
      <c r="M78" s="19">
        <v>97180797</v>
      </c>
      <c r="N78" s="19">
        <v>78592202</v>
      </c>
      <c r="O78" s="19">
        <v>972005765</v>
      </c>
      <c r="P78" s="19">
        <v>78567294</v>
      </c>
      <c r="Q78" s="19">
        <v>143005836</v>
      </c>
      <c r="R78" s="14">
        <v>111.2610321044922</v>
      </c>
      <c r="S78" s="4" t="s">
        <v>262</v>
      </c>
      <c r="T78" s="4"/>
    </row>
    <row r="79" spans="1:20" ht="15" customHeight="1" x14ac:dyDescent="0.2">
      <c r="A79" s="8" t="s">
        <v>97</v>
      </c>
      <c r="B79" s="8">
        <v>2</v>
      </c>
      <c r="C79" s="8" t="s">
        <v>92</v>
      </c>
      <c r="D79" s="18">
        <v>2022</v>
      </c>
      <c r="E79" s="7" t="str">
        <f>IFERROR(INDEX(Empresas!$H$2:$H$23,MATCH($A79,Empresas!$B$2:$B$23,0))&amp;"","")</f>
        <v>CLP</v>
      </c>
      <c r="F79" s="19">
        <v>1809329279</v>
      </c>
      <c r="G79" s="19">
        <v>1694581553</v>
      </c>
      <c r="H79" s="19">
        <v>3865279991</v>
      </c>
      <c r="I79" s="19">
        <v>2853105633</v>
      </c>
      <c r="J79" s="19">
        <v>1012174358</v>
      </c>
      <c r="K79" s="19">
        <v>2074701458</v>
      </c>
      <c r="L79" s="19">
        <v>44009255</v>
      </c>
      <c r="M79" s="19">
        <v>-10796550</v>
      </c>
      <c r="N79" s="19">
        <v>21017754</v>
      </c>
      <c r="O79" s="19">
        <v>1011757137</v>
      </c>
      <c r="P79" s="19">
        <v>20825820</v>
      </c>
      <c r="Q79" s="19">
        <v>22513123</v>
      </c>
      <c r="R79" s="14">
        <v>116.863639831543</v>
      </c>
      <c r="S79" s="4" t="s">
        <v>263</v>
      </c>
      <c r="T79" s="4"/>
    </row>
    <row r="80" spans="1:20" ht="15" customHeight="1" x14ac:dyDescent="0.2">
      <c r="A80" s="8" t="s">
        <v>97</v>
      </c>
      <c r="B80" s="8">
        <v>2</v>
      </c>
      <c r="C80" s="8" t="s">
        <v>92</v>
      </c>
      <c r="D80" s="18">
        <v>2023</v>
      </c>
      <c r="E80" s="7" t="str">
        <f>IFERROR(INDEX(Empresas!$H$2:$H$23,MATCH($A80,Empresas!$B$2:$B$23,0))&amp;"","")</f>
        <v>CLP</v>
      </c>
      <c r="F80" s="19">
        <v>1515341427</v>
      </c>
      <c r="G80" s="19">
        <v>1796876401</v>
      </c>
      <c r="H80" s="19">
        <v>3736275129</v>
      </c>
      <c r="I80" s="19">
        <v>2785044980</v>
      </c>
      <c r="J80" s="19">
        <v>951230149</v>
      </c>
      <c r="K80" s="19">
        <v>1926417770</v>
      </c>
      <c r="L80" s="19">
        <v>42682803</v>
      </c>
      <c r="M80" s="19">
        <v>-82908084</v>
      </c>
      <c r="N80" s="19">
        <v>-49860179</v>
      </c>
      <c r="O80" s="19">
        <v>949898724</v>
      </c>
      <c r="P80" s="19">
        <v>-50774383</v>
      </c>
      <c r="Q80" s="19">
        <v>-55592704</v>
      </c>
      <c r="R80" s="14">
        <v>166.6888427734375</v>
      </c>
      <c r="S80" s="4" t="s">
        <v>264</v>
      </c>
      <c r="T80" s="4"/>
    </row>
    <row r="81" spans="1:20" ht="15" customHeight="1" x14ac:dyDescent="0.2">
      <c r="A81" s="8" t="s">
        <v>97</v>
      </c>
      <c r="B81" s="8">
        <v>2</v>
      </c>
      <c r="C81" s="8" t="s">
        <v>92</v>
      </c>
      <c r="D81" s="18">
        <v>2024</v>
      </c>
      <c r="E81" s="7" t="str">
        <f>IFERROR(INDEX(Empresas!$H$2:$H$23,MATCH($A81,Empresas!$B$2:$B$23,0))&amp;"","")</f>
        <v>CLP</v>
      </c>
      <c r="F81" s="19">
        <v>1578252448</v>
      </c>
      <c r="G81" s="19">
        <v>1845696501</v>
      </c>
      <c r="H81" s="19">
        <v>3944151485</v>
      </c>
      <c r="I81" s="19">
        <v>2889289697</v>
      </c>
      <c r="J81" s="19">
        <v>1054861788</v>
      </c>
      <c r="K81" s="19">
        <v>2087322377</v>
      </c>
      <c r="L81" s="19">
        <v>51032763</v>
      </c>
      <c r="M81" s="19">
        <v>70964976</v>
      </c>
      <c r="N81" s="19">
        <v>54051206</v>
      </c>
      <c r="O81" s="19">
        <v>1053454452</v>
      </c>
      <c r="P81" s="19">
        <v>53975295</v>
      </c>
      <c r="Q81" s="19">
        <v>98186110</v>
      </c>
      <c r="R81" s="14">
        <v>258.88327026367188</v>
      </c>
      <c r="S81" s="4" t="s">
        <v>265</v>
      </c>
      <c r="T81" s="4"/>
    </row>
    <row r="82" spans="1:20" ht="15" customHeight="1" x14ac:dyDescent="0.2">
      <c r="A82" s="8" t="s">
        <v>97</v>
      </c>
      <c r="B82" s="8">
        <v>2</v>
      </c>
      <c r="C82" s="8" t="s">
        <v>92</v>
      </c>
      <c r="D82" s="18">
        <v>2025</v>
      </c>
      <c r="E82" s="7" t="str">
        <f>IFERROR(INDEX(Empresas!$H$2:$H$23,MATCH($A82,Empresas!$B$2:$B$23,0))&amp;"","")</f>
        <v>CLP</v>
      </c>
      <c r="F82" s="19">
        <v>1574103305</v>
      </c>
      <c r="G82" s="19">
        <v>1890538443</v>
      </c>
      <c r="H82" s="19">
        <v>4125759004</v>
      </c>
      <c r="I82" s="19">
        <v>2967645277</v>
      </c>
      <c r="J82" s="19">
        <v>1158113727</v>
      </c>
      <c r="K82" s="19">
        <v>2219805354</v>
      </c>
      <c r="L82" s="19">
        <v>52989036</v>
      </c>
      <c r="M82" s="19">
        <v>142840018</v>
      </c>
      <c r="N82" s="19">
        <v>119175688</v>
      </c>
      <c r="O82" s="19">
        <v>1156735714</v>
      </c>
      <c r="P82" s="19">
        <v>119205011</v>
      </c>
      <c r="Q82" s="19">
        <v>153015556</v>
      </c>
      <c r="R82" s="14">
        <v>404.83831787109381</v>
      </c>
      <c r="S82" s="4" t="s">
        <v>266</v>
      </c>
      <c r="T82" s="4"/>
    </row>
    <row r="83" spans="1:20" ht="15" customHeight="1" x14ac:dyDescent="0.2">
      <c r="A83" s="8" t="s">
        <v>99</v>
      </c>
      <c r="B83" s="8">
        <v>2</v>
      </c>
      <c r="C83" s="8" t="s">
        <v>92</v>
      </c>
      <c r="D83" s="18">
        <v>2017</v>
      </c>
      <c r="E83" s="7" t="str">
        <f>IFERROR(INDEX(Empresas!$H$2:$H$23,MATCH($A83,Empresas!$B$2:$B$23,0))&amp;"","")</f>
        <v>CLP</v>
      </c>
      <c r="F83" s="19">
        <v>729106553</v>
      </c>
      <c r="G83" s="19">
        <v>468749455</v>
      </c>
      <c r="H83" s="19">
        <v>1976229087</v>
      </c>
      <c r="I83" s="19">
        <v>749400479</v>
      </c>
      <c r="J83" s="19">
        <v>1226828608</v>
      </c>
      <c r="K83" s="19">
        <v>1698360794</v>
      </c>
      <c r="L83" s="19">
        <v>24166313</v>
      </c>
      <c r="M83" s="19">
        <v>196474395</v>
      </c>
      <c r="N83" s="19">
        <v>148108419</v>
      </c>
      <c r="O83" s="19">
        <v>1101077057</v>
      </c>
      <c r="P83" s="19">
        <v>129607353</v>
      </c>
      <c r="Q83" s="19">
        <v>227177411</v>
      </c>
      <c r="R83" s="14">
        <v>6225.71630859375</v>
      </c>
      <c r="S83" s="4" t="s">
        <v>258</v>
      </c>
      <c r="T83" s="4"/>
    </row>
    <row r="84" spans="1:20" ht="15" customHeight="1" x14ac:dyDescent="0.2">
      <c r="A84" s="8" t="s">
        <v>99</v>
      </c>
      <c r="B84" s="8">
        <v>2</v>
      </c>
      <c r="C84" s="8" t="s">
        <v>92</v>
      </c>
      <c r="D84" s="18">
        <v>2018</v>
      </c>
      <c r="E84" s="7" t="str">
        <f>IFERROR(INDEX(Empresas!$H$2:$H$23,MATCH($A84,Empresas!$B$2:$B$23,0))&amp;"","")</f>
        <v>CLP</v>
      </c>
      <c r="F84" s="19">
        <v>941007259</v>
      </c>
      <c r="G84" s="19">
        <v>645724245</v>
      </c>
      <c r="H84" s="19">
        <v>2405864916</v>
      </c>
      <c r="I84" s="19">
        <v>1016748973</v>
      </c>
      <c r="J84" s="19">
        <v>1389115943</v>
      </c>
      <c r="K84" s="19">
        <v>1783282337</v>
      </c>
      <c r="L84" s="19">
        <v>23560662</v>
      </c>
      <c r="M84" s="19">
        <v>458211348</v>
      </c>
      <c r="N84" s="19">
        <v>322084531</v>
      </c>
      <c r="O84" s="19">
        <v>1280126708</v>
      </c>
      <c r="P84" s="19">
        <v>306890792</v>
      </c>
      <c r="Q84" s="19">
        <v>472751376</v>
      </c>
      <c r="R84" s="14">
        <v>6139.24609375</v>
      </c>
      <c r="S84" s="4" t="s">
        <v>259</v>
      </c>
      <c r="T84" s="4"/>
    </row>
    <row r="85" spans="1:20" ht="15" customHeight="1" x14ac:dyDescent="0.2">
      <c r="A85" s="8" t="s">
        <v>99</v>
      </c>
      <c r="B85" s="8">
        <v>2</v>
      </c>
      <c r="C85" s="8" t="s">
        <v>92</v>
      </c>
      <c r="D85" s="18">
        <v>2019</v>
      </c>
      <c r="E85" s="7" t="str">
        <f>IFERROR(INDEX(Empresas!$H$2:$H$23,MATCH($A85,Empresas!$B$2:$B$23,0))&amp;"","")</f>
        <v>CLP</v>
      </c>
      <c r="F85" s="19">
        <v>789281758</v>
      </c>
      <c r="G85" s="19">
        <v>483281996</v>
      </c>
      <c r="H85" s="19">
        <v>2353690714</v>
      </c>
      <c r="I85" s="19">
        <v>910763491</v>
      </c>
      <c r="J85" s="19">
        <v>1442927223</v>
      </c>
      <c r="K85" s="19">
        <v>1822540697</v>
      </c>
      <c r="L85" s="19">
        <v>27720203</v>
      </c>
      <c r="M85" s="19">
        <v>185621574</v>
      </c>
      <c r="N85" s="19">
        <v>145645660</v>
      </c>
      <c r="O85" s="19">
        <v>1328054170</v>
      </c>
      <c r="P85" s="19">
        <v>130141692</v>
      </c>
      <c r="Q85" s="19">
        <v>233965051</v>
      </c>
      <c r="R85" s="14">
        <v>5408.9140625</v>
      </c>
      <c r="S85" s="4" t="s">
        <v>260</v>
      </c>
      <c r="T85" s="4"/>
    </row>
    <row r="86" spans="1:20" ht="15" customHeight="1" x14ac:dyDescent="0.2">
      <c r="A86" s="8" t="s">
        <v>99</v>
      </c>
      <c r="B86" s="8">
        <v>2</v>
      </c>
      <c r="C86" s="8" t="s">
        <v>92</v>
      </c>
      <c r="D86" s="18">
        <v>2020</v>
      </c>
      <c r="E86" s="7" t="str">
        <f>IFERROR(INDEX(Empresas!$H$2:$H$23,MATCH($A86,Empresas!$B$2:$B$23,0))&amp;"","")</f>
        <v>CLP</v>
      </c>
      <c r="F86" s="19">
        <v>960006128</v>
      </c>
      <c r="G86" s="19">
        <v>521524086</v>
      </c>
      <c r="H86" s="19">
        <v>2525336532</v>
      </c>
      <c r="I86" s="19">
        <v>1116517857</v>
      </c>
      <c r="J86" s="19">
        <v>1408818675</v>
      </c>
      <c r="K86" s="19">
        <v>1857593678</v>
      </c>
      <c r="L86" s="19">
        <v>28714063</v>
      </c>
      <c r="M86" s="19">
        <v>143603276</v>
      </c>
      <c r="N86" s="19">
        <v>108194856</v>
      </c>
      <c r="O86" s="19">
        <v>1296574455</v>
      </c>
      <c r="P86" s="19">
        <v>96152272</v>
      </c>
      <c r="Q86" s="19">
        <v>175180780</v>
      </c>
      <c r="R86" s="14">
        <v>3999.017333984375</v>
      </c>
      <c r="S86" s="4" t="s">
        <v>261</v>
      </c>
      <c r="T86" s="4"/>
    </row>
    <row r="87" spans="1:20" ht="15" customHeight="1" x14ac:dyDescent="0.2">
      <c r="A87" s="8" t="s">
        <v>99</v>
      </c>
      <c r="B87" s="8">
        <v>2</v>
      </c>
      <c r="C87" s="8" t="s">
        <v>92</v>
      </c>
      <c r="D87" s="18">
        <v>2021</v>
      </c>
      <c r="E87" s="7" t="str">
        <f>IFERROR(INDEX(Empresas!$H$2:$H$23,MATCH($A87,Empresas!$B$2:$B$23,0))&amp;"","")</f>
        <v>CLP</v>
      </c>
      <c r="F87" s="19">
        <v>1091372374</v>
      </c>
      <c r="G87" s="19">
        <v>781115264</v>
      </c>
      <c r="H87" s="19">
        <v>2846750637</v>
      </c>
      <c r="I87" s="19">
        <v>1421235334</v>
      </c>
      <c r="J87" s="19">
        <v>1425515303</v>
      </c>
      <c r="K87" s="19">
        <v>2484712280</v>
      </c>
      <c r="L87" s="19">
        <v>35660493</v>
      </c>
      <c r="M87" s="19">
        <v>301680454</v>
      </c>
      <c r="N87" s="19">
        <v>219050681</v>
      </c>
      <c r="O87" s="19">
        <v>1307618232</v>
      </c>
      <c r="P87" s="19">
        <v>199162731</v>
      </c>
      <c r="Q87" s="19">
        <v>330471299</v>
      </c>
      <c r="R87" s="14">
        <v>5923.845703125</v>
      </c>
      <c r="S87" s="4" t="s">
        <v>262</v>
      </c>
      <c r="T87" s="4"/>
    </row>
    <row r="88" spans="1:20" ht="15" customHeight="1" x14ac:dyDescent="0.2">
      <c r="A88" s="8" t="s">
        <v>99</v>
      </c>
      <c r="B88" s="8">
        <v>2</v>
      </c>
      <c r="C88" s="8" t="s">
        <v>92</v>
      </c>
      <c r="D88" s="18">
        <v>2022</v>
      </c>
      <c r="E88" s="7" t="str">
        <f>IFERROR(INDEX(Empresas!$H$2:$H$23,MATCH($A88,Empresas!$B$2:$B$23,0))&amp;"","")</f>
        <v>CLP</v>
      </c>
      <c r="F88" s="19">
        <v>1661948432</v>
      </c>
      <c r="G88" s="19">
        <v>797152420</v>
      </c>
      <c r="H88" s="19">
        <v>3595078979</v>
      </c>
      <c r="I88" s="19">
        <v>2159109926</v>
      </c>
      <c r="J88" s="19">
        <v>1435969053</v>
      </c>
      <c r="K88" s="19">
        <v>2711434948</v>
      </c>
      <c r="L88" s="19">
        <v>75930875</v>
      </c>
      <c r="M88" s="19">
        <v>135748395</v>
      </c>
      <c r="N88" s="19">
        <v>135484452</v>
      </c>
      <c r="O88" s="19">
        <v>1315026066</v>
      </c>
      <c r="P88" s="19">
        <v>118168351</v>
      </c>
      <c r="Q88" s="19">
        <v>218761616</v>
      </c>
      <c r="R88" s="14">
        <v>5136.697265625</v>
      </c>
      <c r="S88" s="4" t="s">
        <v>263</v>
      </c>
      <c r="T88" s="4"/>
    </row>
    <row r="89" spans="1:20" ht="15" customHeight="1" x14ac:dyDescent="0.2">
      <c r="A89" s="8" t="s">
        <v>99</v>
      </c>
      <c r="B89" s="8">
        <v>2</v>
      </c>
      <c r="C89" s="8" t="s">
        <v>92</v>
      </c>
      <c r="D89" s="18">
        <v>2023</v>
      </c>
      <c r="E89" s="7" t="str">
        <f>IFERROR(INDEX(Empresas!$H$2:$H$23,MATCH($A89,Empresas!$B$2:$B$23,0))&amp;"","")</f>
        <v>CLP</v>
      </c>
      <c r="F89" s="19">
        <v>1601683087</v>
      </c>
      <c r="G89" s="19">
        <v>687482634</v>
      </c>
      <c r="H89" s="19">
        <v>3423946280</v>
      </c>
      <c r="I89" s="19">
        <v>2086563699</v>
      </c>
      <c r="J89" s="19">
        <v>1337382581</v>
      </c>
      <c r="K89" s="19">
        <v>2565556067</v>
      </c>
      <c r="L89" s="19">
        <v>77023048</v>
      </c>
      <c r="M89" s="19">
        <v>103158188</v>
      </c>
      <c r="N89" s="19">
        <v>118425443</v>
      </c>
      <c r="O89" s="19">
        <v>1218364782</v>
      </c>
      <c r="P89" s="19">
        <v>105652728</v>
      </c>
      <c r="Q89" s="19">
        <v>239966967</v>
      </c>
      <c r="R89" s="14">
        <v>5191.3876953125</v>
      </c>
      <c r="S89" s="4" t="s">
        <v>264</v>
      </c>
      <c r="T89" s="4"/>
    </row>
    <row r="90" spans="1:20" ht="15" customHeight="1" x14ac:dyDescent="0.2">
      <c r="A90" s="8" t="s">
        <v>99</v>
      </c>
      <c r="B90" s="8">
        <v>2</v>
      </c>
      <c r="C90" s="8" t="s">
        <v>92</v>
      </c>
      <c r="D90" s="18">
        <v>2024</v>
      </c>
      <c r="E90" s="7" t="str">
        <f>IFERROR(INDEX(Empresas!$H$2:$H$23,MATCH($A90,Empresas!$B$2:$B$23,0))&amp;"","")</f>
        <v>CLP</v>
      </c>
      <c r="F90" s="19">
        <v>1771266840</v>
      </c>
      <c r="G90" s="19">
        <v>860006211</v>
      </c>
      <c r="H90" s="19">
        <v>3989716990</v>
      </c>
      <c r="I90" s="19">
        <v>2317201680</v>
      </c>
      <c r="J90" s="19">
        <v>1672515310</v>
      </c>
      <c r="K90" s="19">
        <v>2904566454</v>
      </c>
      <c r="L90" s="19">
        <v>97165278</v>
      </c>
      <c r="M90" s="19">
        <v>165529723</v>
      </c>
      <c r="N90" s="19">
        <v>176544797</v>
      </c>
      <c r="O90" s="19">
        <v>1525183185</v>
      </c>
      <c r="P90" s="19">
        <v>160944138</v>
      </c>
      <c r="Q90" s="19">
        <v>262606953</v>
      </c>
      <c r="R90" s="14">
        <v>5508.10595703125</v>
      </c>
      <c r="S90" s="4" t="s">
        <v>265</v>
      </c>
      <c r="T90" s="4"/>
    </row>
    <row r="91" spans="1:20" ht="15" customHeight="1" x14ac:dyDescent="0.2">
      <c r="A91" s="8" t="s">
        <v>99</v>
      </c>
      <c r="B91" s="8">
        <v>2</v>
      </c>
      <c r="C91" s="8" t="s">
        <v>92</v>
      </c>
      <c r="D91" s="18">
        <v>2025</v>
      </c>
      <c r="E91" s="7" t="str">
        <f>IFERROR(INDEX(Empresas!$H$2:$H$23,MATCH($A91,Empresas!$B$2:$B$23,0))&amp;"","")</f>
        <v>CLP</v>
      </c>
      <c r="F91" s="19">
        <v>1511097013</v>
      </c>
      <c r="G91" s="19">
        <v>795650399</v>
      </c>
      <c r="H91" s="19">
        <v>3645386969</v>
      </c>
      <c r="I91" s="19">
        <v>2028926466</v>
      </c>
      <c r="J91" s="19">
        <v>1616460503</v>
      </c>
      <c r="K91" s="19">
        <v>2909625448</v>
      </c>
      <c r="L91" s="19">
        <v>79947714</v>
      </c>
      <c r="M91" s="19">
        <v>110240817</v>
      </c>
      <c r="N91" s="19">
        <v>137292684</v>
      </c>
      <c r="O91" s="19">
        <v>1471929546</v>
      </c>
      <c r="P91" s="19">
        <v>117152207</v>
      </c>
      <c r="Q91" s="19">
        <v>193176343</v>
      </c>
      <c r="R91" s="14">
        <v>5786.7080078125</v>
      </c>
      <c r="S91" s="4" t="s">
        <v>266</v>
      </c>
      <c r="T91" s="4"/>
    </row>
    <row r="92" spans="1:20" ht="15" customHeight="1" x14ac:dyDescent="0.2">
      <c r="A92" s="8" t="s">
        <v>102</v>
      </c>
      <c r="B92" s="8">
        <v>2</v>
      </c>
      <c r="C92" s="8" t="s">
        <v>92</v>
      </c>
      <c r="D92" s="18">
        <v>2017</v>
      </c>
      <c r="E92" s="7" t="str">
        <f>IFERROR(INDEX(Empresas!$H$2:$H$23,MATCH($A92,Empresas!$B$2:$B$23,0))&amp;"","")</f>
        <v>CLP</v>
      </c>
      <c r="F92" s="19">
        <v>484010050</v>
      </c>
      <c r="G92" s="19">
        <v>428287322</v>
      </c>
      <c r="H92" s="19">
        <v>2114859467</v>
      </c>
      <c r="I92" s="19">
        <v>1301626118</v>
      </c>
      <c r="J92" s="19">
        <v>813233349</v>
      </c>
      <c r="K92" s="19">
        <v>1848878619</v>
      </c>
      <c r="L92" s="19">
        <v>55220369</v>
      </c>
      <c r="M92" s="19">
        <v>170798359</v>
      </c>
      <c r="N92" s="19">
        <v>119000725</v>
      </c>
      <c r="O92" s="19">
        <v>791310056</v>
      </c>
      <c r="P92" s="19">
        <v>117835790</v>
      </c>
      <c r="Q92" s="19">
        <v>220038553</v>
      </c>
      <c r="R92" s="14">
        <v>1863.17431640625</v>
      </c>
      <c r="S92" s="4" t="s">
        <v>258</v>
      </c>
      <c r="T92" s="4"/>
    </row>
    <row r="93" spans="1:20" ht="15" customHeight="1" x14ac:dyDescent="0.2">
      <c r="A93" s="8" t="s">
        <v>102</v>
      </c>
      <c r="B93" s="8">
        <v>2</v>
      </c>
      <c r="C93" s="8" t="s">
        <v>92</v>
      </c>
      <c r="D93" s="18">
        <v>2018</v>
      </c>
      <c r="E93" s="7" t="str">
        <f>IFERROR(INDEX(Empresas!$H$2:$H$23,MATCH($A93,Empresas!$B$2:$B$23,0))&amp;"","")</f>
        <v>CLP</v>
      </c>
      <c r="F93" s="19">
        <v>481586454</v>
      </c>
      <c r="G93" s="19">
        <v>419862101</v>
      </c>
      <c r="H93" s="19">
        <v>2214504689</v>
      </c>
      <c r="I93" s="19">
        <v>1350789946</v>
      </c>
      <c r="J93" s="19">
        <v>863714743</v>
      </c>
      <c r="K93" s="19">
        <v>1672915799</v>
      </c>
      <c r="L93" s="19">
        <v>55014660</v>
      </c>
      <c r="M93" s="19">
        <v>153015601</v>
      </c>
      <c r="N93" s="19">
        <v>97450746</v>
      </c>
      <c r="O93" s="19">
        <v>843813126</v>
      </c>
      <c r="P93" s="19">
        <v>96603371</v>
      </c>
      <c r="Q93" s="19">
        <v>209213234</v>
      </c>
      <c r="R93" s="14">
        <v>1630.304443359375</v>
      </c>
      <c r="S93" s="4" t="s">
        <v>259</v>
      </c>
      <c r="T93" s="4"/>
    </row>
    <row r="94" spans="1:20" ht="15" customHeight="1" x14ac:dyDescent="0.2">
      <c r="A94" s="8" t="s">
        <v>102</v>
      </c>
      <c r="B94" s="8">
        <v>2</v>
      </c>
      <c r="C94" s="8" t="s">
        <v>92</v>
      </c>
      <c r="D94" s="18">
        <v>2019</v>
      </c>
      <c r="E94" s="7" t="str">
        <f>IFERROR(INDEX(Empresas!$H$2:$H$23,MATCH($A94,Empresas!$B$2:$B$23,0))&amp;"","")</f>
        <v>CLP</v>
      </c>
      <c r="F94" s="19">
        <v>533474103</v>
      </c>
      <c r="G94" s="19">
        <v>411658352</v>
      </c>
      <c r="H94" s="19">
        <v>2390948423</v>
      </c>
      <c r="I94" s="19">
        <v>1422044475</v>
      </c>
      <c r="J94" s="19">
        <v>968903948</v>
      </c>
      <c r="K94" s="19">
        <v>1779025115</v>
      </c>
      <c r="L94" s="19">
        <v>46209020</v>
      </c>
      <c r="M94" s="19">
        <v>236413116</v>
      </c>
      <c r="N94" s="19">
        <v>175246225</v>
      </c>
      <c r="O94" s="19">
        <v>948649690</v>
      </c>
      <c r="P94" s="19">
        <v>173721928</v>
      </c>
      <c r="Q94" s="19">
        <v>252548437</v>
      </c>
      <c r="R94" s="14">
        <v>1424.103759765625</v>
      </c>
      <c r="S94" s="4" t="s">
        <v>260</v>
      </c>
      <c r="T94" s="4"/>
    </row>
    <row r="95" spans="1:20" ht="15" customHeight="1" x14ac:dyDescent="0.2">
      <c r="A95" s="8" t="s">
        <v>102</v>
      </c>
      <c r="B95" s="8">
        <v>2</v>
      </c>
      <c r="C95" s="8" t="s">
        <v>92</v>
      </c>
      <c r="D95" s="18">
        <v>2020</v>
      </c>
      <c r="E95" s="7" t="str">
        <f>IFERROR(INDEX(Empresas!$H$2:$H$23,MATCH($A95,Empresas!$B$2:$B$23,0))&amp;"","")</f>
        <v>CLP</v>
      </c>
      <c r="F95" s="19">
        <v>797297716</v>
      </c>
      <c r="G95" s="19">
        <v>378056186</v>
      </c>
      <c r="H95" s="19">
        <v>2448064400</v>
      </c>
      <c r="I95" s="19">
        <v>1616503809</v>
      </c>
      <c r="J95" s="19">
        <v>831560591</v>
      </c>
      <c r="K95" s="19">
        <v>1698281237</v>
      </c>
      <c r="L95" s="19">
        <v>54772837</v>
      </c>
      <c r="M95" s="19">
        <v>178022719</v>
      </c>
      <c r="N95" s="19">
        <v>123117320</v>
      </c>
      <c r="O95" s="19">
        <v>811181114</v>
      </c>
      <c r="P95" s="19">
        <v>121999805</v>
      </c>
      <c r="Q95" s="19">
        <v>230537954</v>
      </c>
      <c r="R95" s="14">
        <v>1267.948120117188</v>
      </c>
      <c r="S95" s="4" t="s">
        <v>261</v>
      </c>
      <c r="T95" s="4"/>
    </row>
    <row r="96" spans="1:20" ht="15" customHeight="1" x14ac:dyDescent="0.2">
      <c r="A96" s="8" t="s">
        <v>102</v>
      </c>
      <c r="B96" s="8">
        <v>2</v>
      </c>
      <c r="C96" s="8" t="s">
        <v>92</v>
      </c>
      <c r="D96" s="18">
        <v>2021</v>
      </c>
      <c r="E96" s="7" t="str">
        <f>IFERROR(INDEX(Empresas!$H$2:$H$23,MATCH($A96,Empresas!$B$2:$B$23,0))&amp;"","")</f>
        <v>CLP</v>
      </c>
      <c r="F96" s="19">
        <v>990986123</v>
      </c>
      <c r="G96" s="19">
        <v>529567279</v>
      </c>
      <c r="H96" s="19">
        <v>2946106647</v>
      </c>
      <c r="I96" s="19">
        <v>1844693088</v>
      </c>
      <c r="J96" s="19">
        <v>1101413559</v>
      </c>
      <c r="K96" s="19">
        <v>2216732593</v>
      </c>
      <c r="L96" s="19">
        <v>52992456</v>
      </c>
      <c r="M96" s="19">
        <v>203208988</v>
      </c>
      <c r="N96" s="19">
        <v>157031668</v>
      </c>
      <c r="O96" s="19">
        <v>1076143804</v>
      </c>
      <c r="P96" s="19">
        <v>154698150</v>
      </c>
      <c r="Q96" s="19">
        <v>278563672</v>
      </c>
      <c r="R96" s="14">
        <v>1373.147338867188</v>
      </c>
      <c r="S96" s="4" t="s">
        <v>262</v>
      </c>
      <c r="T96" s="4"/>
    </row>
    <row r="97" spans="1:20" ht="15" customHeight="1" x14ac:dyDescent="0.2">
      <c r="A97" s="8" t="s">
        <v>102</v>
      </c>
      <c r="B97" s="8">
        <v>2</v>
      </c>
      <c r="C97" s="8" t="s">
        <v>92</v>
      </c>
      <c r="D97" s="18">
        <v>2022</v>
      </c>
      <c r="E97" s="7" t="str">
        <f>IFERROR(INDEX(Empresas!$H$2:$H$23,MATCH($A97,Empresas!$B$2:$B$23,0))&amp;"","")</f>
        <v>CLP</v>
      </c>
      <c r="F97" s="19">
        <v>1161729392</v>
      </c>
      <c r="G97" s="19">
        <v>949245134</v>
      </c>
      <c r="H97" s="19">
        <v>3010700607</v>
      </c>
      <c r="I97" s="19">
        <v>2127297955</v>
      </c>
      <c r="J97" s="19">
        <v>883402652</v>
      </c>
      <c r="K97" s="19">
        <v>2656878395</v>
      </c>
      <c r="L97" s="19">
        <v>59547953</v>
      </c>
      <c r="M97" s="19">
        <v>232803625</v>
      </c>
      <c r="N97" s="19">
        <v>128458987</v>
      </c>
      <c r="O97" s="19">
        <v>855260144</v>
      </c>
      <c r="P97" s="19">
        <v>125497642</v>
      </c>
      <c r="Q97" s="19">
        <v>321771470</v>
      </c>
      <c r="R97" s="14">
        <v>1663.956176757812</v>
      </c>
      <c r="S97" s="4" t="s">
        <v>263</v>
      </c>
      <c r="T97" s="4"/>
    </row>
    <row r="98" spans="1:20" ht="15" customHeight="1" x14ac:dyDescent="0.2">
      <c r="A98" s="8" t="s">
        <v>102</v>
      </c>
      <c r="B98" s="8">
        <v>2</v>
      </c>
      <c r="C98" s="8" t="s">
        <v>92</v>
      </c>
      <c r="D98" s="18">
        <v>2023</v>
      </c>
      <c r="E98" s="7" t="str">
        <f>IFERROR(INDEX(Empresas!$H$2:$H$23,MATCH($A98,Empresas!$B$2:$B$23,0))&amp;"","")</f>
        <v>CLP</v>
      </c>
      <c r="F98" s="19">
        <v>981771027</v>
      </c>
      <c r="G98" s="19">
        <v>692871296</v>
      </c>
      <c r="H98" s="19">
        <v>2921520889</v>
      </c>
      <c r="I98" s="19">
        <v>2000535475</v>
      </c>
      <c r="J98" s="19">
        <v>920985414</v>
      </c>
      <c r="K98" s="19">
        <v>2618437052</v>
      </c>
      <c r="L98" s="19">
        <v>65288352</v>
      </c>
      <c r="M98" s="19">
        <v>260505794</v>
      </c>
      <c r="N98" s="19">
        <v>174511487</v>
      </c>
      <c r="O98" s="19">
        <v>886290527</v>
      </c>
      <c r="P98" s="19">
        <v>171441410</v>
      </c>
      <c r="Q98" s="19">
        <v>316296892</v>
      </c>
      <c r="R98" s="14">
        <v>1884.246948242188</v>
      </c>
      <c r="S98" s="4" t="s">
        <v>264</v>
      </c>
      <c r="T98" s="4"/>
    </row>
    <row r="99" spans="1:20" ht="15" customHeight="1" x14ac:dyDescent="0.2">
      <c r="A99" s="8" t="s">
        <v>102</v>
      </c>
      <c r="B99" s="8">
        <v>2</v>
      </c>
      <c r="C99" s="8" t="s">
        <v>92</v>
      </c>
      <c r="D99" s="18">
        <v>2024</v>
      </c>
      <c r="E99" s="7" t="str">
        <f>IFERROR(INDEX(Empresas!$H$2:$H$23,MATCH($A99,Empresas!$B$2:$B$23,0))&amp;"","")</f>
        <v>CLP</v>
      </c>
      <c r="F99" s="19">
        <v>1013195740</v>
      </c>
      <c r="G99" s="19">
        <v>906143994</v>
      </c>
      <c r="H99" s="19">
        <v>3291104273</v>
      </c>
      <c r="I99" s="19">
        <v>2276707253</v>
      </c>
      <c r="J99" s="19">
        <v>1014397020</v>
      </c>
      <c r="K99" s="19">
        <v>3224233005</v>
      </c>
      <c r="L99" s="19">
        <v>70413883</v>
      </c>
      <c r="M99" s="19">
        <v>368036771</v>
      </c>
      <c r="N99" s="19">
        <v>234644125</v>
      </c>
      <c r="O99" s="19">
        <v>976409192</v>
      </c>
      <c r="P99" s="19">
        <v>232662884</v>
      </c>
      <c r="Q99" s="19">
        <v>411911208</v>
      </c>
      <c r="R99" s="14">
        <v>2731.12353515625</v>
      </c>
      <c r="S99" s="4" t="s">
        <v>265</v>
      </c>
      <c r="T99" s="4"/>
    </row>
    <row r="100" spans="1:20" ht="15" customHeight="1" x14ac:dyDescent="0.2">
      <c r="A100" s="8" t="s">
        <v>102</v>
      </c>
      <c r="B100" s="8">
        <v>2</v>
      </c>
      <c r="C100" s="8" t="s">
        <v>92</v>
      </c>
      <c r="D100" s="18">
        <v>2025</v>
      </c>
      <c r="E100" s="7" t="str">
        <f>IFERROR(INDEX(Empresas!$H$2:$H$23,MATCH($A100,Empresas!$B$2:$B$23,0))&amp;"","")</f>
        <v>CLP</v>
      </c>
      <c r="F100" s="19">
        <v>1033052781</v>
      </c>
      <c r="G100" s="19">
        <v>730412517</v>
      </c>
      <c r="H100" s="19">
        <v>3420405418</v>
      </c>
      <c r="I100" s="19">
        <v>2223851570</v>
      </c>
      <c r="J100" s="19">
        <v>1196553848</v>
      </c>
      <c r="K100" s="19">
        <v>3344835851</v>
      </c>
      <c r="L100" s="19">
        <v>68218413</v>
      </c>
      <c r="M100" s="19">
        <v>380634342</v>
      </c>
      <c r="N100" s="19">
        <v>270477415</v>
      </c>
      <c r="O100" s="19">
        <v>1157398797</v>
      </c>
      <c r="P100" s="19">
        <v>268696936</v>
      </c>
      <c r="Q100" s="19">
        <v>438634537</v>
      </c>
      <c r="R100" s="14">
        <v>4065.642333984375</v>
      </c>
      <c r="S100" s="4" t="s">
        <v>266</v>
      </c>
      <c r="T100" s="4"/>
    </row>
    <row r="101" spans="1:20" ht="15" customHeight="1" x14ac:dyDescent="0.2">
      <c r="A101" s="8" t="s">
        <v>104</v>
      </c>
      <c r="B101" s="8">
        <v>2</v>
      </c>
      <c r="C101" s="8" t="s">
        <v>92</v>
      </c>
      <c r="D101" s="18">
        <v>2017</v>
      </c>
      <c r="E101" s="7" t="str">
        <f>IFERROR(INDEX(Empresas!$H$2:$H$23,MATCH($A101,Empresas!$B$2:$B$23,0))&amp;"","")</f>
        <v>CLP</v>
      </c>
      <c r="F101" s="19">
        <v>531907388</v>
      </c>
      <c r="G101" s="19">
        <v>320692140</v>
      </c>
      <c r="H101" s="19">
        <v>1056826587</v>
      </c>
      <c r="I101" s="19">
        <v>505593351</v>
      </c>
      <c r="J101" s="19">
        <v>551233236</v>
      </c>
      <c r="K101" s="19">
        <v>613515357</v>
      </c>
      <c r="L101" s="19">
        <v>9985677</v>
      </c>
      <c r="M101" s="19">
        <v>63710208</v>
      </c>
      <c r="N101" s="19">
        <v>49990420</v>
      </c>
      <c r="O101" s="19">
        <v>548366807</v>
      </c>
      <c r="P101" s="19">
        <v>49574670</v>
      </c>
      <c r="Q101" s="19">
        <v>61912248</v>
      </c>
      <c r="R101" s="14">
        <v>877.63018798828125</v>
      </c>
      <c r="S101" s="4" t="s">
        <v>258</v>
      </c>
      <c r="T101" s="4"/>
    </row>
    <row r="102" spans="1:20" ht="15" customHeight="1" x14ac:dyDescent="0.2">
      <c r="A102" s="8" t="s">
        <v>104</v>
      </c>
      <c r="B102" s="8">
        <v>2</v>
      </c>
      <c r="C102" s="8" t="s">
        <v>92</v>
      </c>
      <c r="D102" s="18">
        <v>2018</v>
      </c>
      <c r="E102" s="7" t="str">
        <f>IFERROR(INDEX(Empresas!$H$2:$H$23,MATCH($A102,Empresas!$B$2:$B$23,0))&amp;"","")</f>
        <v>CLP</v>
      </c>
      <c r="F102" s="19">
        <v>567845869</v>
      </c>
      <c r="G102" s="19">
        <v>313267679</v>
      </c>
      <c r="H102" s="19">
        <v>1146168107</v>
      </c>
      <c r="I102" s="19">
        <v>574014863</v>
      </c>
      <c r="J102" s="19">
        <v>572153244</v>
      </c>
      <c r="K102" s="19">
        <v>614128905</v>
      </c>
      <c r="L102" s="19">
        <v>11647790</v>
      </c>
      <c r="M102" s="19">
        <v>61495451</v>
      </c>
      <c r="N102" s="19">
        <v>50101333</v>
      </c>
      <c r="O102" s="19">
        <v>568321968</v>
      </c>
      <c r="P102" s="19">
        <v>49111118</v>
      </c>
      <c r="Q102" s="19">
        <v>60007337</v>
      </c>
      <c r="R102" s="14">
        <v>1038.869140625</v>
      </c>
      <c r="S102" s="4" t="s">
        <v>259</v>
      </c>
      <c r="T102" s="4"/>
    </row>
    <row r="103" spans="1:20" ht="15" customHeight="1" x14ac:dyDescent="0.2">
      <c r="A103" s="8" t="s">
        <v>104</v>
      </c>
      <c r="B103" s="8">
        <v>2</v>
      </c>
      <c r="C103" s="8" t="s">
        <v>92</v>
      </c>
      <c r="D103" s="18">
        <v>2019</v>
      </c>
      <c r="E103" s="7" t="str">
        <f>IFERROR(INDEX(Empresas!$H$2:$H$23,MATCH($A103,Empresas!$B$2:$B$23,0))&amp;"","")</f>
        <v>CLP</v>
      </c>
      <c r="F103" s="19">
        <v>642488325</v>
      </c>
      <c r="G103" s="19">
        <v>338947998</v>
      </c>
      <c r="H103" s="19">
        <v>1253817127</v>
      </c>
      <c r="I103" s="19">
        <v>659782661</v>
      </c>
      <c r="J103" s="19">
        <v>594034466</v>
      </c>
      <c r="K103" s="19">
        <v>656980447</v>
      </c>
      <c r="L103" s="19">
        <v>12413267</v>
      </c>
      <c r="M103" s="19">
        <v>70481519</v>
      </c>
      <c r="N103" s="19">
        <v>53409975</v>
      </c>
      <c r="O103" s="19">
        <v>589591330</v>
      </c>
      <c r="P103" s="19">
        <v>52499765</v>
      </c>
      <c r="Q103" s="19">
        <v>77077016</v>
      </c>
      <c r="R103" s="14">
        <v>1102.373657226562</v>
      </c>
      <c r="S103" s="4" t="s">
        <v>260</v>
      </c>
      <c r="T103" s="4"/>
    </row>
    <row r="104" spans="1:20" ht="15" customHeight="1" x14ac:dyDescent="0.2">
      <c r="A104" s="8" t="s">
        <v>104</v>
      </c>
      <c r="B104" s="8">
        <v>2</v>
      </c>
      <c r="C104" s="8" t="s">
        <v>92</v>
      </c>
      <c r="D104" s="18">
        <v>2020</v>
      </c>
      <c r="E104" s="7" t="str">
        <f>IFERROR(INDEX(Empresas!$H$2:$H$23,MATCH($A104,Empresas!$B$2:$B$23,0))&amp;"","")</f>
        <v>CLP</v>
      </c>
      <c r="F104" s="19">
        <v>655243747</v>
      </c>
      <c r="G104" s="19">
        <v>292892961</v>
      </c>
      <c r="H104" s="19">
        <v>1279692619</v>
      </c>
      <c r="I104" s="19">
        <v>631117940</v>
      </c>
      <c r="J104" s="19">
        <v>648574679</v>
      </c>
      <c r="K104" s="19">
        <v>769067418</v>
      </c>
      <c r="L104" s="19">
        <v>15349687</v>
      </c>
      <c r="M104" s="19">
        <v>105483987</v>
      </c>
      <c r="N104" s="19">
        <v>79093919</v>
      </c>
      <c r="O104" s="19">
        <v>643754739</v>
      </c>
      <c r="P104" s="19">
        <v>77994383</v>
      </c>
      <c r="Q104" s="19">
        <v>120310570</v>
      </c>
      <c r="R104" s="14">
        <v>984.542236328125</v>
      </c>
      <c r="S104" s="4" t="s">
        <v>261</v>
      </c>
      <c r="T104" s="4"/>
    </row>
    <row r="105" spans="1:20" ht="15" customHeight="1" x14ac:dyDescent="0.2">
      <c r="A105" s="8" t="s">
        <v>104</v>
      </c>
      <c r="B105" s="8">
        <v>2</v>
      </c>
      <c r="C105" s="8" t="s">
        <v>92</v>
      </c>
      <c r="D105" s="18">
        <v>2021</v>
      </c>
      <c r="E105" s="7" t="str">
        <f>IFERROR(INDEX(Empresas!$H$2:$H$23,MATCH($A105,Empresas!$B$2:$B$23,0))&amp;"","")</f>
        <v>CLP</v>
      </c>
      <c r="F105" s="19">
        <v>750678839</v>
      </c>
      <c r="G105" s="19">
        <v>392158832</v>
      </c>
      <c r="H105" s="19">
        <v>1444395509</v>
      </c>
      <c r="I105" s="19">
        <v>779890316</v>
      </c>
      <c r="J105" s="19">
        <v>664505193</v>
      </c>
      <c r="K105" s="19">
        <v>836712564</v>
      </c>
      <c r="L105" s="19">
        <v>13060426</v>
      </c>
      <c r="M105" s="19">
        <v>129833578</v>
      </c>
      <c r="N105" s="19">
        <v>100694318</v>
      </c>
      <c r="O105" s="19">
        <v>658025874</v>
      </c>
      <c r="P105" s="19">
        <v>98809935</v>
      </c>
      <c r="Q105" s="19">
        <v>132912173</v>
      </c>
      <c r="R105" s="14">
        <v>1102.860107421875</v>
      </c>
      <c r="S105" s="4" t="s">
        <v>262</v>
      </c>
      <c r="T105" s="4"/>
    </row>
    <row r="106" spans="1:20" ht="15" customHeight="1" x14ac:dyDescent="0.2">
      <c r="A106" s="8" t="s">
        <v>104</v>
      </c>
      <c r="B106" s="8">
        <v>2</v>
      </c>
      <c r="C106" s="8" t="s">
        <v>92</v>
      </c>
      <c r="D106" s="18">
        <v>2022</v>
      </c>
      <c r="E106" s="7" t="str">
        <f>IFERROR(INDEX(Empresas!$H$2:$H$23,MATCH($A106,Empresas!$B$2:$B$23,0))&amp;"","")</f>
        <v>CLP</v>
      </c>
      <c r="F106" s="19">
        <v>784435869</v>
      </c>
      <c r="G106" s="19">
        <v>442639527</v>
      </c>
      <c r="H106" s="19">
        <v>1581779780</v>
      </c>
      <c r="I106" s="19">
        <v>817671052</v>
      </c>
      <c r="J106" s="19">
        <v>764108728</v>
      </c>
      <c r="K106" s="19">
        <v>870581770</v>
      </c>
      <c r="L106" s="19">
        <v>15564182</v>
      </c>
      <c r="M106" s="19">
        <v>101723395</v>
      </c>
      <c r="N106" s="19">
        <v>88983196</v>
      </c>
      <c r="O106" s="19">
        <v>756762764</v>
      </c>
      <c r="P106" s="19">
        <v>87212576</v>
      </c>
      <c r="Q106" s="19">
        <v>104873199</v>
      </c>
      <c r="R106" s="14">
        <v>922.80731201171875</v>
      </c>
      <c r="S106" s="4" t="s">
        <v>263</v>
      </c>
      <c r="T106" s="4"/>
    </row>
    <row r="107" spans="1:20" ht="15" customHeight="1" x14ac:dyDescent="0.2">
      <c r="A107" s="8" t="s">
        <v>104</v>
      </c>
      <c r="B107" s="8">
        <v>2</v>
      </c>
      <c r="C107" s="8" t="s">
        <v>92</v>
      </c>
      <c r="D107" s="18">
        <v>2023</v>
      </c>
      <c r="E107" s="7" t="str">
        <f>IFERROR(INDEX(Empresas!$H$2:$H$23,MATCH($A107,Empresas!$B$2:$B$23,0))&amp;"","")</f>
        <v>CLP</v>
      </c>
      <c r="F107" s="19">
        <v>821783906</v>
      </c>
      <c r="G107" s="19">
        <v>456385261</v>
      </c>
      <c r="H107" s="19">
        <v>1636537152</v>
      </c>
      <c r="I107" s="19">
        <v>854453275</v>
      </c>
      <c r="J107" s="19">
        <v>782083877</v>
      </c>
      <c r="K107" s="19">
        <v>837213197</v>
      </c>
      <c r="L107" s="19">
        <v>22067073</v>
      </c>
      <c r="M107" s="19">
        <v>52475816</v>
      </c>
      <c r="N107" s="19">
        <v>43979040</v>
      </c>
      <c r="O107" s="19">
        <v>774256549</v>
      </c>
      <c r="P107" s="19">
        <v>43126287</v>
      </c>
      <c r="Q107" s="19">
        <v>65268973</v>
      </c>
      <c r="R107" s="14">
        <v>939.87432861328125</v>
      </c>
      <c r="S107" s="4" t="s">
        <v>264</v>
      </c>
      <c r="T107" s="4"/>
    </row>
    <row r="108" spans="1:20" ht="15" customHeight="1" x14ac:dyDescent="0.2">
      <c r="A108" s="8" t="s">
        <v>104</v>
      </c>
      <c r="B108" s="8">
        <v>2</v>
      </c>
      <c r="C108" s="8" t="s">
        <v>92</v>
      </c>
      <c r="D108" s="18">
        <v>2024</v>
      </c>
      <c r="E108" s="7" t="str">
        <f>IFERROR(INDEX(Empresas!$H$2:$H$23,MATCH($A108,Empresas!$B$2:$B$23,0))&amp;"","")</f>
        <v>CLP</v>
      </c>
      <c r="F108" s="19">
        <v>849575742</v>
      </c>
      <c r="G108" s="19">
        <v>505542137</v>
      </c>
      <c r="H108" s="19">
        <v>1718769070</v>
      </c>
      <c r="I108" s="19">
        <v>893876762</v>
      </c>
      <c r="J108" s="19">
        <v>824892308</v>
      </c>
      <c r="K108" s="19">
        <v>958629954</v>
      </c>
      <c r="L108" s="19">
        <v>23583343</v>
      </c>
      <c r="M108" s="19">
        <v>105620090</v>
      </c>
      <c r="N108" s="19">
        <v>78704031</v>
      </c>
      <c r="O108" s="19">
        <v>817671946</v>
      </c>
      <c r="P108" s="19">
        <v>77420064</v>
      </c>
      <c r="Q108" s="19">
        <v>119717689</v>
      </c>
      <c r="R108" s="14">
        <v>1006.952697753906</v>
      </c>
      <c r="S108" s="4" t="s">
        <v>265</v>
      </c>
      <c r="T108" s="4"/>
    </row>
    <row r="109" spans="1:20" ht="15" customHeight="1" x14ac:dyDescent="0.2">
      <c r="A109" s="8" t="s">
        <v>104</v>
      </c>
      <c r="B109" s="8">
        <v>2</v>
      </c>
      <c r="C109" s="8" t="s">
        <v>92</v>
      </c>
      <c r="D109" s="18">
        <v>2025</v>
      </c>
      <c r="E109" s="7" t="str">
        <f>IFERROR(INDEX(Empresas!$H$2:$H$23,MATCH($A109,Empresas!$B$2:$B$23,0))&amp;"","")</f>
        <v>CLP</v>
      </c>
      <c r="F109" s="19">
        <v>844489858</v>
      </c>
      <c r="G109" s="19">
        <v>462353053</v>
      </c>
      <c r="H109" s="19">
        <v>1737156504</v>
      </c>
      <c r="I109" s="19">
        <v>871081738</v>
      </c>
      <c r="J109" s="19">
        <v>866074766</v>
      </c>
      <c r="K109" s="19">
        <v>975332952</v>
      </c>
      <c r="L109" s="19">
        <v>20997433</v>
      </c>
      <c r="M109" s="19">
        <v>90678719</v>
      </c>
      <c r="N109" s="19">
        <v>68351880</v>
      </c>
      <c r="O109" s="19">
        <v>858330216</v>
      </c>
      <c r="P109" s="19">
        <v>67220320</v>
      </c>
      <c r="Q109" s="19">
        <v>103521870</v>
      </c>
      <c r="R109" s="14">
        <v>982.80126953125</v>
      </c>
      <c r="S109" s="4" t="s">
        <v>266</v>
      </c>
      <c r="T109" s="4"/>
    </row>
    <row r="110" spans="1:20" ht="15" customHeight="1" x14ac:dyDescent="0.2">
      <c r="A110" s="8" t="s">
        <v>106</v>
      </c>
      <c r="B110" s="8">
        <v>3</v>
      </c>
      <c r="C110" s="8" t="s">
        <v>109</v>
      </c>
      <c r="D110" s="18">
        <v>2017</v>
      </c>
      <c r="E110" s="7" t="str">
        <f>IFERROR(INDEX(Empresas!$H$2:$H$23,MATCH($A110,Empresas!$B$2:$B$23,0))&amp;"","")</f>
        <v>USD</v>
      </c>
      <c r="F110" s="19">
        <v>3745499</v>
      </c>
      <c r="G110" s="19">
        <v>5842714</v>
      </c>
      <c r="H110" s="19">
        <v>18797972</v>
      </c>
      <c r="I110" s="19">
        <v>14530736</v>
      </c>
      <c r="J110" s="19">
        <v>4267236</v>
      </c>
      <c r="K110" s="19">
        <v>9613907</v>
      </c>
      <c r="L110" s="19">
        <v>393286</v>
      </c>
      <c r="M110" s="19">
        <v>374218</v>
      </c>
      <c r="N110" s="19">
        <v>200714</v>
      </c>
      <c r="O110" s="19">
        <v>4176089</v>
      </c>
      <c r="P110" s="19">
        <v>155304</v>
      </c>
      <c r="Q110" s="19">
        <v>706779</v>
      </c>
      <c r="R110" s="14">
        <v>485.07861328125</v>
      </c>
      <c r="S110" s="4" t="s">
        <v>258</v>
      </c>
      <c r="T110" s="4"/>
    </row>
    <row r="111" spans="1:20" ht="15" customHeight="1" x14ac:dyDescent="0.2">
      <c r="A111" s="8" t="s">
        <v>106</v>
      </c>
      <c r="B111" s="8">
        <v>3</v>
      </c>
      <c r="C111" s="8" t="s">
        <v>109</v>
      </c>
      <c r="D111" s="18">
        <v>2018</v>
      </c>
      <c r="E111" s="7" t="str">
        <f>IFERROR(INDEX(Empresas!$H$2:$H$23,MATCH($A111,Empresas!$B$2:$B$23,0))&amp;"","")</f>
        <v>USD</v>
      </c>
      <c r="F111" s="19">
        <v>3306362</v>
      </c>
      <c r="G111" s="19">
        <v>5568752</v>
      </c>
      <c r="H111" s="19">
        <v>17566777</v>
      </c>
      <c r="I111" s="19">
        <v>13820001</v>
      </c>
      <c r="J111" s="19">
        <v>3746776</v>
      </c>
      <c r="K111" s="19">
        <v>9895456</v>
      </c>
      <c r="L111" s="19">
        <v>356269</v>
      </c>
      <c r="M111" s="19">
        <v>297029</v>
      </c>
      <c r="N111" s="19">
        <v>213247</v>
      </c>
      <c r="O111" s="19">
        <v>3666836</v>
      </c>
      <c r="P111" s="19">
        <v>181935</v>
      </c>
      <c r="Q111" s="19">
        <v>758619</v>
      </c>
      <c r="R111" s="14">
        <v>385.83395385742188</v>
      </c>
      <c r="S111" s="4" t="s">
        <v>259</v>
      </c>
      <c r="T111" s="4"/>
    </row>
    <row r="112" spans="1:20" ht="15" customHeight="1" x14ac:dyDescent="0.2">
      <c r="A112" s="8" t="s">
        <v>106</v>
      </c>
      <c r="B112" s="8">
        <v>3</v>
      </c>
      <c r="C112" s="8" t="s">
        <v>109</v>
      </c>
      <c r="D112" s="18">
        <v>2019</v>
      </c>
      <c r="E112" s="7" t="str">
        <f>IFERROR(INDEX(Empresas!$H$2:$H$23,MATCH($A112,Empresas!$B$2:$B$23,0))&amp;"","")</f>
        <v>USD</v>
      </c>
      <c r="F112" s="19">
        <v>4018228</v>
      </c>
      <c r="G112" s="19">
        <v>6960942</v>
      </c>
      <c r="H112" s="19">
        <v>21087806</v>
      </c>
      <c r="I112" s="19">
        <v>17958629</v>
      </c>
      <c r="J112" s="19">
        <v>3129177</v>
      </c>
      <c r="K112" s="19">
        <v>10070063</v>
      </c>
      <c r="L112" s="19">
        <v>589934</v>
      </c>
      <c r="M112" s="19">
        <v>141916</v>
      </c>
      <c r="N112" s="19">
        <v>195613</v>
      </c>
      <c r="O112" s="19">
        <v>3130782</v>
      </c>
      <c r="P112" s="19">
        <v>190430</v>
      </c>
      <c r="Q112" s="19">
        <v>753127</v>
      </c>
      <c r="R112" s="14">
        <v>419.82586669921881</v>
      </c>
      <c r="S112" s="4" t="s">
        <v>260</v>
      </c>
      <c r="T112" s="4"/>
    </row>
    <row r="113" spans="1:20" ht="15" customHeight="1" x14ac:dyDescent="0.2">
      <c r="A113" s="8" t="s">
        <v>106</v>
      </c>
      <c r="B113" s="8">
        <v>3</v>
      </c>
      <c r="C113" s="8" t="s">
        <v>109</v>
      </c>
      <c r="D113" s="18">
        <v>2020</v>
      </c>
      <c r="E113" s="7" t="str">
        <f>IFERROR(INDEX(Empresas!$H$2:$H$23,MATCH($A113,Empresas!$B$2:$B$23,0))&amp;"","")</f>
        <v>USD</v>
      </c>
      <c r="F113" s="19">
        <v>3143538</v>
      </c>
      <c r="G113" s="19">
        <v>7491888</v>
      </c>
      <c r="H113" s="19">
        <v>15650090</v>
      </c>
      <c r="I113" s="19">
        <v>18092475</v>
      </c>
      <c r="J113" s="19">
        <v>-2442385</v>
      </c>
      <c r="K113" s="19">
        <v>3923667</v>
      </c>
      <c r="L113" s="19">
        <v>586979</v>
      </c>
      <c r="M113" s="19">
        <v>-5105723</v>
      </c>
      <c r="N113" s="19">
        <v>-4555535</v>
      </c>
      <c r="O113" s="19">
        <v>-2435713</v>
      </c>
      <c r="P113" s="19">
        <v>-4545887</v>
      </c>
      <c r="Q113" s="19">
        <v>-4530086</v>
      </c>
      <c r="R113" s="14">
        <v>70.455078125</v>
      </c>
      <c r="S113" s="4" t="s">
        <v>261</v>
      </c>
      <c r="T113" s="4"/>
    </row>
    <row r="114" spans="1:20" ht="15" customHeight="1" x14ac:dyDescent="0.2">
      <c r="A114" s="8" t="s">
        <v>106</v>
      </c>
      <c r="B114" s="8">
        <v>3</v>
      </c>
      <c r="C114" s="8" t="s">
        <v>109</v>
      </c>
      <c r="D114" s="18">
        <v>2021</v>
      </c>
      <c r="E114" s="7" t="str">
        <f>IFERROR(INDEX(Empresas!$H$2:$H$23,MATCH($A114,Empresas!$B$2:$B$23,0))&amp;"","")</f>
        <v>USD</v>
      </c>
      <c r="F114" s="19">
        <v>2614228</v>
      </c>
      <c r="G114" s="19">
        <v>12315427</v>
      </c>
      <c r="H114" s="19">
        <v>13291532</v>
      </c>
      <c r="I114" s="19">
        <v>20358436</v>
      </c>
      <c r="J114" s="19">
        <v>-7066904</v>
      </c>
      <c r="K114" s="19">
        <v>4884015</v>
      </c>
      <c r="L114" s="19">
        <v>805544</v>
      </c>
      <c r="M114" s="19">
        <v>-4084207</v>
      </c>
      <c r="N114" s="19">
        <v>-4653142</v>
      </c>
      <c r="O114" s="19">
        <v>-7056548</v>
      </c>
      <c r="P114" s="19">
        <v>-4647491</v>
      </c>
      <c r="Q114" s="19">
        <v>-3425785</v>
      </c>
      <c r="R114" s="14">
        <v>18.154617309570309</v>
      </c>
      <c r="S114" s="4" t="s">
        <v>262</v>
      </c>
      <c r="T114" s="4"/>
    </row>
    <row r="115" spans="1:20" ht="15" customHeight="1" x14ac:dyDescent="0.2">
      <c r="A115" s="8" t="s">
        <v>106</v>
      </c>
      <c r="B115" s="8">
        <v>3</v>
      </c>
      <c r="C115" s="8" t="s">
        <v>109</v>
      </c>
      <c r="D115" s="18">
        <v>2022</v>
      </c>
      <c r="E115" s="7" t="str">
        <f>IFERROR(INDEX(Empresas!$H$2:$H$23,MATCH($A115,Empresas!$B$2:$B$23,0))&amp;"","")</f>
        <v>USD</v>
      </c>
      <c r="F115" s="19">
        <v>3536424</v>
      </c>
      <c r="G115" s="19">
        <v>5088695</v>
      </c>
      <c r="H115" s="19">
        <v>13211024</v>
      </c>
      <c r="I115" s="19">
        <v>13180303</v>
      </c>
      <c r="J115" s="19">
        <v>30721</v>
      </c>
      <c r="K115" s="19">
        <v>9362521</v>
      </c>
      <c r="L115" s="19">
        <v>942403</v>
      </c>
      <c r="M115" s="19">
        <v>1346051</v>
      </c>
      <c r="N115" s="19">
        <v>1337137</v>
      </c>
      <c r="O115" s="19">
        <v>42278</v>
      </c>
      <c r="P115" s="19">
        <v>1339210</v>
      </c>
      <c r="Q115" s="19">
        <v>1211578</v>
      </c>
      <c r="R115" s="14">
        <v>5.6374654769897461</v>
      </c>
      <c r="S115" s="4" t="s">
        <v>263</v>
      </c>
      <c r="T115" s="4"/>
    </row>
    <row r="116" spans="1:20" ht="15" customHeight="1" x14ac:dyDescent="0.2">
      <c r="A116" s="8" t="s">
        <v>106</v>
      </c>
      <c r="B116" s="8">
        <v>3</v>
      </c>
      <c r="C116" s="8" t="s">
        <v>109</v>
      </c>
      <c r="D116" s="18">
        <v>2023</v>
      </c>
      <c r="E116" s="7" t="str">
        <f>IFERROR(INDEX(Empresas!$H$2:$H$23,MATCH($A116,Empresas!$B$2:$B$23,0))&amp;"","")</f>
        <v>USD</v>
      </c>
      <c r="F116" s="19">
        <v>4203362</v>
      </c>
      <c r="G116" s="19">
        <v>5688135</v>
      </c>
      <c r="H116" s="19">
        <v>14667315</v>
      </c>
      <c r="I116" s="19">
        <v>14229040</v>
      </c>
      <c r="J116" s="19">
        <v>438275</v>
      </c>
      <c r="K116" s="19">
        <v>11640541</v>
      </c>
      <c r="L116" s="19">
        <v>698231</v>
      </c>
      <c r="M116" s="19">
        <v>596492</v>
      </c>
      <c r="N116" s="19">
        <v>581550</v>
      </c>
      <c r="O116" s="19">
        <v>450302</v>
      </c>
      <c r="P116" s="19">
        <v>581831</v>
      </c>
      <c r="Q116" s="19">
        <v>1078165</v>
      </c>
      <c r="R116" s="14">
        <v>9.5254421234130859</v>
      </c>
      <c r="S116" s="4" t="s">
        <v>264</v>
      </c>
      <c r="T116" s="4"/>
    </row>
    <row r="117" spans="1:20" ht="15" customHeight="1" x14ac:dyDescent="0.2">
      <c r="A117" s="8" t="s">
        <v>106</v>
      </c>
      <c r="B117" s="8">
        <v>3</v>
      </c>
      <c r="C117" s="8" t="s">
        <v>109</v>
      </c>
      <c r="D117" s="18">
        <v>2024</v>
      </c>
      <c r="E117" s="7" t="str">
        <f>IFERROR(INDEX(Empresas!$H$2:$H$23,MATCH($A117,Empresas!$B$2:$B$23,0))&amp;"","")</f>
        <v>USD</v>
      </c>
      <c r="F117" s="19">
        <v>3900419</v>
      </c>
      <c r="G117" s="19">
        <v>6290842</v>
      </c>
      <c r="H117" s="19">
        <v>15253365</v>
      </c>
      <c r="I117" s="19">
        <v>14542036</v>
      </c>
      <c r="J117" s="19">
        <v>711329</v>
      </c>
      <c r="K117" s="19">
        <v>12833043</v>
      </c>
      <c r="L117" s="19">
        <v>881950</v>
      </c>
      <c r="M117" s="19">
        <v>993934</v>
      </c>
      <c r="N117" s="19">
        <v>977445</v>
      </c>
      <c r="O117" s="19">
        <v>723267</v>
      </c>
      <c r="P117" s="19">
        <v>976972</v>
      </c>
      <c r="Q117" s="19">
        <v>1541048</v>
      </c>
      <c r="R117" s="14">
        <v>13.69469165802002</v>
      </c>
      <c r="S117" s="4" t="s">
        <v>265</v>
      </c>
      <c r="T117" s="4"/>
    </row>
    <row r="118" spans="1:20" ht="15" customHeight="1" x14ac:dyDescent="0.2">
      <c r="A118" s="8" t="s">
        <v>106</v>
      </c>
      <c r="B118" s="8">
        <v>3</v>
      </c>
      <c r="C118" s="8" t="s">
        <v>109</v>
      </c>
      <c r="D118" s="18">
        <v>2025</v>
      </c>
      <c r="E118" s="7" t="str">
        <f>IFERROR(INDEX(Empresas!$H$2:$H$23,MATCH($A118,Empresas!$B$2:$B$23,0))&amp;"","")</f>
        <v>USD</v>
      </c>
      <c r="F118" s="19">
        <v>4383212</v>
      </c>
      <c r="G118" s="19">
        <v>7294394</v>
      </c>
      <c r="H118" s="19">
        <v>17640891</v>
      </c>
      <c r="I118" s="19">
        <v>16303689</v>
      </c>
      <c r="J118" s="19">
        <v>1337202</v>
      </c>
      <c r="K118" s="19">
        <v>14265056</v>
      </c>
      <c r="L118" s="19">
        <v>721416</v>
      </c>
      <c r="M118" s="19">
        <v>1618618</v>
      </c>
      <c r="N118" s="19">
        <v>1463561</v>
      </c>
      <c r="O118" s="19">
        <v>1345594</v>
      </c>
      <c r="P118" s="19">
        <v>1459984</v>
      </c>
      <c r="Q118" s="19">
        <v>2335538</v>
      </c>
      <c r="R118" s="14">
        <v>24.328775405883789</v>
      </c>
      <c r="S118" s="4" t="s">
        <v>266</v>
      </c>
      <c r="T118" s="4"/>
    </row>
    <row r="119" spans="1:20" ht="15" customHeight="1" x14ac:dyDescent="0.2">
      <c r="A119" s="8" t="s">
        <v>111</v>
      </c>
      <c r="B119" s="8">
        <v>3</v>
      </c>
      <c r="C119" s="8" t="s">
        <v>109</v>
      </c>
      <c r="D119" s="18">
        <v>2017</v>
      </c>
      <c r="E119" s="7" t="str">
        <f>IFERROR(INDEX(Empresas!$H$2:$H$23,MATCH($A119,Empresas!$B$2:$B$23,0))&amp;"","")</f>
        <v>CLP</v>
      </c>
      <c r="F119" s="19">
        <v>232706710</v>
      </c>
      <c r="G119" s="19">
        <v>96845567</v>
      </c>
      <c r="H119" s="19">
        <v>2081013981</v>
      </c>
      <c r="I119" s="19">
        <v>1140244562</v>
      </c>
      <c r="J119" s="19">
        <v>940769419</v>
      </c>
      <c r="K119" s="19">
        <v>182215067</v>
      </c>
      <c r="L119" s="19">
        <v>38086741</v>
      </c>
      <c r="M119" s="19">
        <v>142844424</v>
      </c>
      <c r="N119" s="19">
        <v>99467569</v>
      </c>
      <c r="O119" s="19">
        <v>798174870</v>
      </c>
      <c r="P119" s="19">
        <v>88989529</v>
      </c>
      <c r="Q119" s="19">
        <v>122762095</v>
      </c>
      <c r="R119" s="14">
        <v>1617.35400390625</v>
      </c>
      <c r="S119" s="4" t="s">
        <v>258</v>
      </c>
      <c r="T119" s="4"/>
    </row>
    <row r="120" spans="1:20" ht="15" customHeight="1" x14ac:dyDescent="0.2">
      <c r="A120" s="8" t="s">
        <v>111</v>
      </c>
      <c r="B120" s="8">
        <v>3</v>
      </c>
      <c r="C120" s="8" t="s">
        <v>109</v>
      </c>
      <c r="D120" s="18">
        <v>2018</v>
      </c>
      <c r="E120" s="7" t="str">
        <f>IFERROR(INDEX(Empresas!$H$2:$H$23,MATCH($A120,Empresas!$B$2:$B$23,0))&amp;"","")</f>
        <v>CLP</v>
      </c>
      <c r="F120" s="19">
        <v>364167584</v>
      </c>
      <c r="G120" s="19">
        <v>190331991</v>
      </c>
      <c r="H120" s="19">
        <v>2378100049</v>
      </c>
      <c r="I120" s="19">
        <v>1300072309</v>
      </c>
      <c r="J120" s="19">
        <v>1078027740</v>
      </c>
      <c r="K120" s="19">
        <v>189618287</v>
      </c>
      <c r="L120" s="19">
        <v>36627127</v>
      </c>
      <c r="M120" s="19">
        <v>170848592</v>
      </c>
      <c r="N120" s="19">
        <v>123389413</v>
      </c>
      <c r="O120" s="19">
        <v>919826325</v>
      </c>
      <c r="P120" s="19">
        <v>117863488</v>
      </c>
      <c r="Q120" s="19">
        <v>156998818</v>
      </c>
      <c r="R120" s="14">
        <v>1334.3291015625</v>
      </c>
      <c r="S120" s="4" t="s">
        <v>259</v>
      </c>
      <c r="T120" s="4"/>
    </row>
    <row r="121" spans="1:20" ht="15" customHeight="1" x14ac:dyDescent="0.2">
      <c r="A121" s="8" t="s">
        <v>111</v>
      </c>
      <c r="B121" s="8">
        <v>3</v>
      </c>
      <c r="C121" s="8" t="s">
        <v>109</v>
      </c>
      <c r="D121" s="18">
        <v>2019</v>
      </c>
      <c r="E121" s="7" t="str">
        <f>IFERROR(INDEX(Empresas!$H$2:$H$23,MATCH($A121,Empresas!$B$2:$B$23,0))&amp;"","")</f>
        <v>CLP</v>
      </c>
      <c r="F121" s="19">
        <v>409922039</v>
      </c>
      <c r="G121" s="19">
        <v>321246233</v>
      </c>
      <c r="H121" s="19">
        <v>2683268130</v>
      </c>
      <c r="I121" s="19">
        <v>1515389543</v>
      </c>
      <c r="J121" s="19">
        <v>1167878587</v>
      </c>
      <c r="K121" s="19">
        <v>205612761</v>
      </c>
      <c r="L121" s="19">
        <v>40046031</v>
      </c>
      <c r="M121" s="19">
        <v>141462276</v>
      </c>
      <c r="N121" s="19">
        <v>104642623</v>
      </c>
      <c r="O121" s="19">
        <v>1057070228</v>
      </c>
      <c r="P121" s="19">
        <v>93393722</v>
      </c>
      <c r="Q121" s="19">
        <v>183941040</v>
      </c>
      <c r="R121" s="14">
        <v>1631.50048828125</v>
      </c>
      <c r="S121" s="4" t="s">
        <v>260</v>
      </c>
      <c r="T121" s="4"/>
    </row>
    <row r="122" spans="1:20" ht="15" customHeight="1" x14ac:dyDescent="0.2">
      <c r="A122" s="8" t="s">
        <v>111</v>
      </c>
      <c r="B122" s="8">
        <v>3</v>
      </c>
      <c r="C122" s="8" t="s">
        <v>109</v>
      </c>
      <c r="D122" s="18">
        <v>2020</v>
      </c>
      <c r="E122" s="7" t="str">
        <f>IFERROR(INDEX(Empresas!$H$2:$H$23,MATCH($A122,Empresas!$B$2:$B$23,0))&amp;"","")</f>
        <v>CLP</v>
      </c>
      <c r="F122" s="19">
        <v>426919721</v>
      </c>
      <c r="G122" s="19">
        <v>93861631</v>
      </c>
      <c r="H122" s="19">
        <v>2687663249</v>
      </c>
      <c r="I122" s="19">
        <v>1600038758</v>
      </c>
      <c r="J122" s="19">
        <v>1087624491</v>
      </c>
      <c r="K122" s="19">
        <v>125851928</v>
      </c>
      <c r="L122" s="19">
        <v>49812899</v>
      </c>
      <c r="M122" s="19">
        <v>14993617</v>
      </c>
      <c r="N122" s="19">
        <v>4248683</v>
      </c>
      <c r="O122" s="19">
        <v>978269482</v>
      </c>
      <c r="P122" s="19">
        <v>1846222</v>
      </c>
      <c r="Q122" s="19">
        <v>74802326</v>
      </c>
      <c r="R122" s="14">
        <v>1043.135375976562</v>
      </c>
      <c r="S122" s="4" t="s">
        <v>261</v>
      </c>
      <c r="T122" s="4"/>
    </row>
    <row r="123" spans="1:20" ht="15" customHeight="1" x14ac:dyDescent="0.2">
      <c r="A123" s="8" t="s">
        <v>111</v>
      </c>
      <c r="B123" s="8">
        <v>3</v>
      </c>
      <c r="C123" s="8" t="s">
        <v>109</v>
      </c>
      <c r="D123" s="18">
        <v>2021</v>
      </c>
      <c r="E123" s="7" t="str">
        <f>IFERROR(INDEX(Empresas!$H$2:$H$23,MATCH($A123,Empresas!$B$2:$B$23,0))&amp;"","")</f>
        <v>CLP</v>
      </c>
      <c r="F123" s="19">
        <v>368697544</v>
      </c>
      <c r="G123" s="19">
        <v>169075333</v>
      </c>
      <c r="H123" s="19">
        <v>2775897576</v>
      </c>
      <c r="I123" s="19">
        <v>1485634611</v>
      </c>
      <c r="J123" s="19">
        <v>1290262965</v>
      </c>
      <c r="K123" s="19">
        <v>169859243</v>
      </c>
      <c r="L123" s="19">
        <v>43117522</v>
      </c>
      <c r="M123" s="19">
        <v>68471589</v>
      </c>
      <c r="N123" s="19">
        <v>47944764</v>
      </c>
      <c r="O123" s="19">
        <v>1077424538</v>
      </c>
      <c r="P123" s="19">
        <v>23438353</v>
      </c>
      <c r="Q123" s="19">
        <v>149138358</v>
      </c>
      <c r="R123" s="14">
        <v>843.02923583984375</v>
      </c>
      <c r="S123" s="4" t="s">
        <v>262</v>
      </c>
      <c r="T123" s="4"/>
    </row>
    <row r="124" spans="1:20" ht="15" customHeight="1" x14ac:dyDescent="0.2">
      <c r="A124" s="8" t="s">
        <v>111</v>
      </c>
      <c r="B124" s="8">
        <v>3</v>
      </c>
      <c r="C124" s="8" t="s">
        <v>109</v>
      </c>
      <c r="D124" s="18">
        <v>2022</v>
      </c>
      <c r="E124" s="7" t="str">
        <f>IFERROR(INDEX(Empresas!$H$2:$H$23,MATCH($A124,Empresas!$B$2:$B$23,0))&amp;"","")</f>
        <v>CLP</v>
      </c>
      <c r="F124" s="19">
        <v>316127718</v>
      </c>
      <c r="G124" s="19">
        <v>191652165</v>
      </c>
      <c r="H124" s="19">
        <v>2938210602</v>
      </c>
      <c r="I124" s="19">
        <v>1582145524</v>
      </c>
      <c r="J124" s="19">
        <v>1356065078</v>
      </c>
      <c r="K124" s="19">
        <v>243119543</v>
      </c>
      <c r="L124" s="19">
        <v>48218849</v>
      </c>
      <c r="M124" s="19">
        <v>182884070</v>
      </c>
      <c r="N124" s="19">
        <v>137551973</v>
      </c>
      <c r="O124" s="19">
        <v>1144928854</v>
      </c>
      <c r="P124" s="19">
        <v>101031635</v>
      </c>
      <c r="Q124" s="19">
        <v>271632108</v>
      </c>
      <c r="R124" s="14">
        <v>994.656982421875</v>
      </c>
      <c r="S124" s="4" t="s">
        <v>263</v>
      </c>
      <c r="T124" s="4"/>
    </row>
    <row r="125" spans="1:20" ht="15" customHeight="1" x14ac:dyDescent="0.2">
      <c r="A125" s="8" t="s">
        <v>111</v>
      </c>
      <c r="B125" s="8">
        <v>3</v>
      </c>
      <c r="C125" s="8" t="s">
        <v>109</v>
      </c>
      <c r="D125" s="18">
        <v>2023</v>
      </c>
      <c r="E125" s="7" t="str">
        <f>IFERROR(INDEX(Empresas!$H$2:$H$23,MATCH($A125,Empresas!$B$2:$B$23,0))&amp;"","")</f>
        <v>CLP</v>
      </c>
      <c r="F125" s="19">
        <v>420724391</v>
      </c>
      <c r="G125" s="19">
        <v>260905891</v>
      </c>
      <c r="H125" s="19">
        <v>3482971147</v>
      </c>
      <c r="I125" s="19">
        <v>1852010714</v>
      </c>
      <c r="J125" s="19">
        <v>1630960433</v>
      </c>
      <c r="K125" s="19">
        <v>264312607</v>
      </c>
      <c r="L125" s="19">
        <v>59234605</v>
      </c>
      <c r="M125" s="19">
        <v>180500145</v>
      </c>
      <c r="N125" s="19">
        <v>129114886</v>
      </c>
      <c r="O125" s="19">
        <v>1298911303</v>
      </c>
      <c r="P125" s="19">
        <v>112345334</v>
      </c>
      <c r="Q125" s="19">
        <v>228661956</v>
      </c>
      <c r="R125" s="14">
        <v>1344.037841796875</v>
      </c>
      <c r="S125" s="4" t="s">
        <v>264</v>
      </c>
      <c r="T125" s="4"/>
    </row>
    <row r="126" spans="1:20" ht="15" customHeight="1" x14ac:dyDescent="0.2">
      <c r="A126" s="8" t="s">
        <v>111</v>
      </c>
      <c r="B126" s="8">
        <v>3</v>
      </c>
      <c r="C126" s="8" t="s">
        <v>109</v>
      </c>
      <c r="D126" s="18">
        <v>2024</v>
      </c>
      <c r="E126" s="7" t="str">
        <f>IFERROR(INDEX(Empresas!$H$2:$H$23,MATCH($A126,Empresas!$B$2:$B$23,0))&amp;"","")</f>
        <v>CLP</v>
      </c>
      <c r="F126" s="19">
        <v>528036127</v>
      </c>
      <c r="G126" s="19">
        <v>296359983</v>
      </c>
      <c r="H126" s="19">
        <v>3930479526</v>
      </c>
      <c r="I126" s="19">
        <v>2142432261</v>
      </c>
      <c r="J126" s="19">
        <v>1788047265</v>
      </c>
      <c r="K126" s="19">
        <v>316775712</v>
      </c>
      <c r="L126" s="19">
        <v>66790173</v>
      </c>
      <c r="M126" s="19">
        <v>208580311</v>
      </c>
      <c r="N126" s="19">
        <v>149541579</v>
      </c>
      <c r="O126" s="19">
        <v>1464457742</v>
      </c>
      <c r="P126" s="19">
        <v>120571308</v>
      </c>
      <c r="Q126" s="19">
        <v>271106287</v>
      </c>
      <c r="R126" s="14">
        <v>1535.233520507812</v>
      </c>
      <c r="S126" s="4" t="s">
        <v>265</v>
      </c>
      <c r="T126" s="4"/>
    </row>
    <row r="127" spans="1:20" ht="15" customHeight="1" x14ac:dyDescent="0.2">
      <c r="A127" s="8" t="s">
        <v>111</v>
      </c>
      <c r="B127" s="8">
        <v>3</v>
      </c>
      <c r="C127" s="8" t="s">
        <v>109</v>
      </c>
      <c r="D127" s="18">
        <v>2025</v>
      </c>
      <c r="E127" s="7" t="str">
        <f>IFERROR(INDEX(Empresas!$H$2:$H$23,MATCH($A127,Empresas!$B$2:$B$23,0))&amp;"","")</f>
        <v>CLP</v>
      </c>
      <c r="F127" s="19">
        <v>274033137</v>
      </c>
      <c r="G127" s="19">
        <v>278117654</v>
      </c>
      <c r="H127" s="19">
        <v>4284682595</v>
      </c>
      <c r="I127" s="19">
        <v>2327799886</v>
      </c>
      <c r="J127" s="19">
        <v>1956882709</v>
      </c>
      <c r="K127" s="19">
        <v>383792582</v>
      </c>
      <c r="L127" s="19">
        <v>67646806</v>
      </c>
      <c r="M127" s="19">
        <v>272450287</v>
      </c>
      <c r="N127" s="19">
        <v>213796304</v>
      </c>
      <c r="O127" s="19">
        <v>1594521872</v>
      </c>
      <c r="P127" s="19">
        <v>149972703</v>
      </c>
      <c r="Q127" s="19">
        <v>328348131</v>
      </c>
      <c r="R127" s="14">
        <v>2959.069091796875</v>
      </c>
      <c r="S127" s="4" t="s">
        <v>266</v>
      </c>
      <c r="T127" s="4"/>
    </row>
    <row r="128" spans="1:20" ht="15" customHeight="1" x14ac:dyDescent="0.2">
      <c r="A128" s="8" t="s">
        <v>115</v>
      </c>
      <c r="B128" s="8">
        <v>3</v>
      </c>
      <c r="C128" s="8" t="s">
        <v>109</v>
      </c>
      <c r="D128" s="18">
        <v>2017</v>
      </c>
      <c r="E128" s="7" t="str">
        <f>IFERROR(INDEX(Empresas!$H$2:$H$23,MATCH($A128,Empresas!$B$2:$B$23,0))&amp;"","")</f>
        <v>USD</v>
      </c>
      <c r="F128" s="19">
        <v>1343364</v>
      </c>
      <c r="G128" s="19">
        <v>1065360</v>
      </c>
      <c r="H128" s="19">
        <v>5550301</v>
      </c>
      <c r="I128" s="19">
        <v>2286509</v>
      </c>
      <c r="J128" s="19">
        <v>3263792</v>
      </c>
      <c r="K128" s="19">
        <v>1931645</v>
      </c>
      <c r="L128" s="19">
        <v>91579</v>
      </c>
      <c r="M128" s="19">
        <v>279999</v>
      </c>
      <c r="N128" s="19">
        <v>192093</v>
      </c>
      <c r="O128" s="19">
        <v>1966786</v>
      </c>
      <c r="P128" s="19">
        <v>130296</v>
      </c>
      <c r="Q128" s="19">
        <v>360159</v>
      </c>
      <c r="R128" s="14">
        <v>4816.89599609375</v>
      </c>
      <c r="S128" s="4" t="s">
        <v>258</v>
      </c>
      <c r="T128" s="4"/>
    </row>
    <row r="129" spans="1:20" ht="15" customHeight="1" x14ac:dyDescent="0.2">
      <c r="A129" s="8" t="s">
        <v>115</v>
      </c>
      <c r="B129" s="8">
        <v>3</v>
      </c>
      <c r="C129" s="8" t="s">
        <v>109</v>
      </c>
      <c r="D129" s="18">
        <v>2018</v>
      </c>
      <c r="E129" s="7" t="str">
        <f>IFERROR(INDEX(Empresas!$H$2:$H$23,MATCH($A129,Empresas!$B$2:$B$23,0))&amp;"","")</f>
        <v>USD</v>
      </c>
      <c r="F129" s="19">
        <v>1198596</v>
      </c>
      <c r="G129" s="19">
        <v>872839</v>
      </c>
      <c r="H129" s="19">
        <v>5341485</v>
      </c>
      <c r="I129" s="19">
        <v>1999229</v>
      </c>
      <c r="J129" s="19">
        <v>3342256</v>
      </c>
      <c r="K129" s="19">
        <v>1917134</v>
      </c>
      <c r="L129" s="19">
        <v>78142</v>
      </c>
      <c r="M129" s="19">
        <v>253006</v>
      </c>
      <c r="N129" s="19">
        <v>174466</v>
      </c>
      <c r="O129" s="19">
        <v>2027265</v>
      </c>
      <c r="P129" s="19">
        <v>124641</v>
      </c>
      <c r="Q129" s="19">
        <v>318192</v>
      </c>
      <c r="R129" s="14">
        <v>3891.11279296875</v>
      </c>
      <c r="S129" s="4" t="s">
        <v>259</v>
      </c>
      <c r="T129" s="4"/>
    </row>
    <row r="130" spans="1:20" ht="15" customHeight="1" x14ac:dyDescent="0.2">
      <c r="A130" s="8" t="s">
        <v>115</v>
      </c>
      <c r="B130" s="8">
        <v>3</v>
      </c>
      <c r="C130" s="8" t="s">
        <v>109</v>
      </c>
      <c r="D130" s="18">
        <v>2019</v>
      </c>
      <c r="E130" s="7" t="str">
        <f>IFERROR(INDEX(Empresas!$H$2:$H$23,MATCH($A130,Empresas!$B$2:$B$23,0))&amp;"","")</f>
        <v>USD</v>
      </c>
      <c r="F130" s="19">
        <v>1241151</v>
      </c>
      <c r="G130" s="19">
        <v>1144830</v>
      </c>
      <c r="H130" s="19">
        <v>5478735</v>
      </c>
      <c r="I130" s="19">
        <v>2235480</v>
      </c>
      <c r="J130" s="19">
        <v>3243255</v>
      </c>
      <c r="K130" s="19">
        <v>1590249</v>
      </c>
      <c r="L130" s="19">
        <v>98459</v>
      </c>
      <c r="M130" s="19">
        <v>-120761</v>
      </c>
      <c r="N130" s="19">
        <v>-89380</v>
      </c>
      <c r="O130" s="19">
        <v>1920154</v>
      </c>
      <c r="P130" s="19">
        <v>-104118</v>
      </c>
      <c r="Q130" s="19">
        <v>-29996</v>
      </c>
      <c r="R130" s="14">
        <v>3723.728271484375</v>
      </c>
      <c r="S130" s="4" t="s">
        <v>260</v>
      </c>
      <c r="T130" s="4"/>
    </row>
    <row r="131" spans="1:20" ht="15" customHeight="1" x14ac:dyDescent="0.2">
      <c r="A131" s="8" t="s">
        <v>115</v>
      </c>
      <c r="B131" s="8">
        <v>3</v>
      </c>
      <c r="C131" s="8" t="s">
        <v>109</v>
      </c>
      <c r="D131" s="18">
        <v>2020</v>
      </c>
      <c r="E131" s="7" t="str">
        <f>IFERROR(INDEX(Empresas!$H$2:$H$23,MATCH($A131,Empresas!$B$2:$B$23,0))&amp;"","")</f>
        <v>USD</v>
      </c>
      <c r="F131" s="19">
        <v>1485184</v>
      </c>
      <c r="G131" s="19">
        <v>1556718</v>
      </c>
      <c r="H131" s="19">
        <v>5866188</v>
      </c>
      <c r="I131" s="19">
        <v>2416683</v>
      </c>
      <c r="J131" s="19">
        <v>3449505</v>
      </c>
      <c r="K131" s="19">
        <v>2679003</v>
      </c>
      <c r="L131" s="19">
        <v>85275</v>
      </c>
      <c r="M131" s="19">
        <v>620813</v>
      </c>
      <c r="N131" s="19">
        <v>432039</v>
      </c>
      <c r="O131" s="19">
        <v>2060907</v>
      </c>
      <c r="P131" s="19">
        <v>300422</v>
      </c>
      <c r="Q131" s="19">
        <v>699012</v>
      </c>
      <c r="R131" s="14">
        <v>6444.31884765625</v>
      </c>
      <c r="S131" s="4" t="s">
        <v>261</v>
      </c>
      <c r="T131" s="4"/>
    </row>
    <row r="132" spans="1:20" ht="15" customHeight="1" x14ac:dyDescent="0.2">
      <c r="A132" s="8" t="s">
        <v>115</v>
      </c>
      <c r="B132" s="8">
        <v>3</v>
      </c>
      <c r="C132" s="8" t="s">
        <v>109</v>
      </c>
      <c r="D132" s="18">
        <v>2021</v>
      </c>
      <c r="E132" s="7" t="str">
        <f>IFERROR(INDEX(Empresas!$H$2:$H$23,MATCH($A132,Empresas!$B$2:$B$23,0))&amp;"","")</f>
        <v>USD</v>
      </c>
      <c r="F132" s="19">
        <v>1983261</v>
      </c>
      <c r="G132" s="19">
        <v>1620066</v>
      </c>
      <c r="H132" s="19">
        <v>6612342</v>
      </c>
      <c r="I132" s="19">
        <v>2945020</v>
      </c>
      <c r="J132" s="19">
        <v>3667322</v>
      </c>
      <c r="K132" s="19">
        <v>3676883</v>
      </c>
      <c r="L132" s="19">
        <v>63359</v>
      </c>
      <c r="M132" s="19">
        <v>1474030</v>
      </c>
      <c r="N132" s="19">
        <v>993164</v>
      </c>
      <c r="O132" s="19">
        <v>2242713</v>
      </c>
      <c r="P132" s="19">
        <v>741380</v>
      </c>
      <c r="Q132" s="19">
        <v>1521261</v>
      </c>
      <c r="R132" s="14">
        <v>6413.54296875</v>
      </c>
      <c r="S132" s="4" t="s">
        <v>262</v>
      </c>
      <c r="T132" s="4"/>
    </row>
    <row r="133" spans="1:20" ht="15" customHeight="1" x14ac:dyDescent="0.2">
      <c r="A133" s="8" t="s">
        <v>115</v>
      </c>
      <c r="B133" s="8">
        <v>3</v>
      </c>
      <c r="C133" s="8" t="s">
        <v>109</v>
      </c>
      <c r="D133" s="18">
        <v>2022</v>
      </c>
      <c r="E133" s="7" t="str">
        <f>IFERROR(INDEX(Empresas!$H$2:$H$23,MATCH($A133,Empresas!$B$2:$B$23,0))&amp;"","")</f>
        <v>USD</v>
      </c>
      <c r="F133" s="19">
        <v>1686180</v>
      </c>
      <c r="G133" s="19">
        <v>1487049</v>
      </c>
      <c r="H133" s="19">
        <v>6561905</v>
      </c>
      <c r="I133" s="19">
        <v>2862032</v>
      </c>
      <c r="J133" s="19">
        <v>3699873</v>
      </c>
      <c r="K133" s="19">
        <v>3006047</v>
      </c>
      <c r="L133" s="19">
        <v>80694</v>
      </c>
      <c r="M133" s="19">
        <v>509517</v>
      </c>
      <c r="N133" s="19">
        <v>334999</v>
      </c>
      <c r="O133" s="19">
        <v>2277312</v>
      </c>
      <c r="P133" s="19">
        <v>225971</v>
      </c>
      <c r="Q133" s="19">
        <v>589071</v>
      </c>
      <c r="R133" s="14">
        <v>6648.81591796875</v>
      </c>
      <c r="S133" s="4" t="s">
        <v>263</v>
      </c>
      <c r="T133" s="4"/>
    </row>
    <row r="134" spans="1:20" ht="15" customHeight="1" x14ac:dyDescent="0.2">
      <c r="A134" s="8" t="s">
        <v>115</v>
      </c>
      <c r="B134" s="8">
        <v>3</v>
      </c>
      <c r="C134" s="8" t="s">
        <v>109</v>
      </c>
      <c r="D134" s="18">
        <v>2023</v>
      </c>
      <c r="E134" s="7" t="str">
        <f>IFERROR(INDEX(Empresas!$H$2:$H$23,MATCH($A134,Empresas!$B$2:$B$23,0))&amp;"","")</f>
        <v>USD</v>
      </c>
      <c r="F134" s="19">
        <v>2015012</v>
      </c>
      <c r="G134" s="19">
        <v>1409958</v>
      </c>
      <c r="H134" s="19">
        <v>7006540</v>
      </c>
      <c r="I134" s="19">
        <v>3345428</v>
      </c>
      <c r="J134" s="19">
        <v>3661112</v>
      </c>
      <c r="K134" s="19">
        <v>2400759</v>
      </c>
      <c r="L134" s="19">
        <v>88491</v>
      </c>
      <c r="M134" s="19">
        <v>561954</v>
      </c>
      <c r="N134" s="19">
        <v>87971</v>
      </c>
      <c r="O134" s="19">
        <v>2266167</v>
      </c>
      <c r="P134" s="19">
        <v>-6987</v>
      </c>
      <c r="Q134" s="19">
        <v>640018</v>
      </c>
      <c r="R134" s="14">
        <v>7200</v>
      </c>
      <c r="S134" s="4" t="s">
        <v>264</v>
      </c>
      <c r="T134" s="4"/>
    </row>
    <row r="135" spans="1:20" ht="15" customHeight="1" x14ac:dyDescent="0.2">
      <c r="A135" s="8" t="s">
        <v>115</v>
      </c>
      <c r="B135" s="8">
        <v>3</v>
      </c>
      <c r="C135" s="8" t="s">
        <v>109</v>
      </c>
      <c r="D135" s="18">
        <v>2024</v>
      </c>
      <c r="E135" s="7" t="str">
        <f>IFERROR(INDEX(Empresas!$H$2:$H$23,MATCH($A135,Empresas!$B$2:$B$23,0))&amp;"","")</f>
        <v>USD</v>
      </c>
      <c r="F135" s="19">
        <v>1290157</v>
      </c>
      <c r="G135" s="19">
        <v>1152649</v>
      </c>
      <c r="H135" s="19">
        <v>6355771</v>
      </c>
      <c r="I135" s="19">
        <v>3169800</v>
      </c>
      <c r="J135" s="19">
        <v>3185971</v>
      </c>
      <c r="K135" s="19">
        <v>1801367</v>
      </c>
      <c r="L135" s="19">
        <v>121768</v>
      </c>
      <c r="M135" s="19">
        <v>75637</v>
      </c>
      <c r="N135" s="19">
        <v>-408027</v>
      </c>
      <c r="O135" s="19">
        <v>1817979</v>
      </c>
      <c r="P135" s="19">
        <v>-426881</v>
      </c>
      <c r="Q135" s="19">
        <v>147338</v>
      </c>
      <c r="R135" s="14">
        <v>5260</v>
      </c>
      <c r="S135" s="4" t="s">
        <v>265</v>
      </c>
      <c r="T135" s="4"/>
    </row>
    <row r="136" spans="1:20" ht="15" customHeight="1" x14ac:dyDescent="0.2">
      <c r="A136" s="8" t="s">
        <v>115</v>
      </c>
      <c r="B136" s="8">
        <v>3</v>
      </c>
      <c r="C136" s="8" t="s">
        <v>109</v>
      </c>
      <c r="D136" s="18">
        <v>2025</v>
      </c>
      <c r="E136" s="7" t="str">
        <f>IFERROR(INDEX(Empresas!$H$2:$H$23,MATCH($A136,Empresas!$B$2:$B$23,0))&amp;"","")</f>
        <v>USD</v>
      </c>
      <c r="F136" s="19">
        <v>1188950</v>
      </c>
      <c r="G136" s="19">
        <v>1019237</v>
      </c>
      <c r="H136" s="19">
        <v>6116224</v>
      </c>
      <c r="I136" s="19">
        <v>3098483</v>
      </c>
      <c r="J136" s="19">
        <v>3017741</v>
      </c>
      <c r="K136" s="19">
        <v>1930033</v>
      </c>
      <c r="L136" s="19">
        <v>129484</v>
      </c>
      <c r="M136" s="19">
        <v>-73171</v>
      </c>
      <c r="N136" s="19">
        <v>-98515</v>
      </c>
      <c r="O136" s="19">
        <v>1734086</v>
      </c>
      <c r="P136" s="19">
        <v>-84660</v>
      </c>
      <c r="Q136" s="19">
        <v>43794</v>
      </c>
      <c r="R136" s="14">
        <v>7420</v>
      </c>
      <c r="S136" s="4" t="s">
        <v>266</v>
      </c>
      <c r="T136" s="4"/>
    </row>
    <row r="137" spans="1:20" ht="15" customHeight="1" x14ac:dyDescent="0.2">
      <c r="A137" s="8" t="s">
        <v>118</v>
      </c>
      <c r="B137" s="8">
        <v>3</v>
      </c>
      <c r="C137" s="8" t="s">
        <v>109</v>
      </c>
      <c r="D137" s="18">
        <v>2017</v>
      </c>
      <c r="E137" s="7" t="str">
        <f>IFERROR(INDEX(Empresas!$H$2:$H$23,MATCH($A137,Empresas!$B$2:$B$23,0))&amp;"","")</f>
        <v>USD</v>
      </c>
      <c r="F137" s="19">
        <v>3365482</v>
      </c>
      <c r="G137" s="19">
        <v>1449387</v>
      </c>
      <c r="H137" s="19">
        <v>14950801</v>
      </c>
      <c r="I137" s="19">
        <v>6866319</v>
      </c>
      <c r="J137" s="19">
        <v>8084482</v>
      </c>
      <c r="K137" s="19">
        <v>5143074</v>
      </c>
      <c r="L137" s="19">
        <v>219485</v>
      </c>
      <c r="M137" s="19">
        <v>119111</v>
      </c>
      <c r="N137" s="19">
        <v>102583</v>
      </c>
      <c r="O137" s="19">
        <v>8082116</v>
      </c>
      <c r="P137" s="19">
        <v>103345</v>
      </c>
      <c r="Q137" s="19">
        <v>330663</v>
      </c>
      <c r="R137" s="14">
        <v>1870.98486328125</v>
      </c>
      <c r="S137" s="4" t="s">
        <v>258</v>
      </c>
      <c r="T137" s="4"/>
    </row>
    <row r="138" spans="1:20" ht="15" customHeight="1" x14ac:dyDescent="0.2">
      <c r="A138" s="8" t="s">
        <v>118</v>
      </c>
      <c r="B138" s="8">
        <v>3</v>
      </c>
      <c r="C138" s="8" t="s">
        <v>109</v>
      </c>
      <c r="D138" s="18">
        <v>2018</v>
      </c>
      <c r="E138" s="7" t="str">
        <f>IFERROR(INDEX(Empresas!$H$2:$H$23,MATCH($A138,Empresas!$B$2:$B$23,0))&amp;"","")</f>
        <v>USD</v>
      </c>
      <c r="F138" s="19">
        <v>3756383</v>
      </c>
      <c r="G138" s="19">
        <v>1650581</v>
      </c>
      <c r="H138" s="19">
        <v>14983311</v>
      </c>
      <c r="I138" s="19">
        <v>6739293</v>
      </c>
      <c r="J138" s="19">
        <v>8244018</v>
      </c>
      <c r="K138" s="19">
        <v>6274472</v>
      </c>
      <c r="L138" s="19">
        <v>215970</v>
      </c>
      <c r="M138" s="19">
        <v>880197</v>
      </c>
      <c r="N138" s="19">
        <v>502310</v>
      </c>
      <c r="O138" s="19">
        <v>8241835</v>
      </c>
      <c r="P138" s="19">
        <v>502502</v>
      </c>
      <c r="Q138" s="19">
        <v>1080582</v>
      </c>
      <c r="R138" s="14">
        <v>1997.122802734375</v>
      </c>
      <c r="S138" s="4" t="s">
        <v>259</v>
      </c>
      <c r="T138" s="4"/>
    </row>
    <row r="139" spans="1:20" ht="15" customHeight="1" x14ac:dyDescent="0.2">
      <c r="A139" s="8" t="s">
        <v>118</v>
      </c>
      <c r="B139" s="8">
        <v>3</v>
      </c>
      <c r="C139" s="8" t="s">
        <v>109</v>
      </c>
      <c r="D139" s="18">
        <v>2019</v>
      </c>
      <c r="E139" s="7" t="str">
        <f>IFERROR(INDEX(Empresas!$H$2:$H$23,MATCH($A139,Empresas!$B$2:$B$23,0))&amp;"","")</f>
        <v>USD</v>
      </c>
      <c r="F139" s="19">
        <v>3454223</v>
      </c>
      <c r="G139" s="19">
        <v>1525070</v>
      </c>
      <c r="H139" s="19">
        <v>14955796</v>
      </c>
      <c r="I139" s="19">
        <v>6820221</v>
      </c>
      <c r="J139" s="19">
        <v>8135575</v>
      </c>
      <c r="K139" s="19">
        <v>5670277</v>
      </c>
      <c r="L139" s="19">
        <v>195350</v>
      </c>
      <c r="M139" s="19">
        <v>221262</v>
      </c>
      <c r="N139" s="19">
        <v>84391</v>
      </c>
      <c r="O139" s="19">
        <v>8133310</v>
      </c>
      <c r="P139" s="19">
        <v>84492</v>
      </c>
      <c r="Q139" s="19">
        <v>364614</v>
      </c>
      <c r="R139" s="14">
        <v>1721.363037109375</v>
      </c>
      <c r="S139" s="4" t="s">
        <v>260</v>
      </c>
      <c r="T139" s="4"/>
    </row>
    <row r="140" spans="1:20" ht="15" customHeight="1" x14ac:dyDescent="0.2">
      <c r="A140" s="8" t="s">
        <v>118</v>
      </c>
      <c r="B140" s="8">
        <v>3</v>
      </c>
      <c r="C140" s="8" t="s">
        <v>109</v>
      </c>
      <c r="D140" s="18">
        <v>2020</v>
      </c>
      <c r="E140" s="7" t="str">
        <f>IFERROR(INDEX(Empresas!$H$2:$H$23,MATCH($A140,Empresas!$B$2:$B$23,0))&amp;"","")</f>
        <v>USD</v>
      </c>
      <c r="F140" s="19">
        <v>3577658</v>
      </c>
      <c r="G140" s="19">
        <v>1195048</v>
      </c>
      <c r="H140" s="19">
        <v>14726953</v>
      </c>
      <c r="I140" s="19">
        <v>6860816</v>
      </c>
      <c r="J140" s="19">
        <v>7866137</v>
      </c>
      <c r="K140" s="19">
        <v>5286927</v>
      </c>
      <c r="L140" s="19">
        <v>200911</v>
      </c>
      <c r="M140" s="19">
        <v>51656</v>
      </c>
      <c r="N140" s="19">
        <v>-27666</v>
      </c>
      <c r="O140" s="19">
        <v>7863289</v>
      </c>
      <c r="P140" s="19">
        <v>-28366</v>
      </c>
      <c r="Q140" s="19">
        <v>217778</v>
      </c>
      <c r="R140" s="14">
        <v>1754.144409179688</v>
      </c>
      <c r="S140" s="4" t="s">
        <v>261</v>
      </c>
      <c r="T140" s="4"/>
    </row>
    <row r="141" spans="1:20" ht="15" customHeight="1" x14ac:dyDescent="0.2">
      <c r="A141" s="8" t="s">
        <v>118</v>
      </c>
      <c r="B141" s="8">
        <v>3</v>
      </c>
      <c r="C141" s="8" t="s">
        <v>109</v>
      </c>
      <c r="D141" s="18">
        <v>2021</v>
      </c>
      <c r="E141" s="7" t="str">
        <f>IFERROR(INDEX(Empresas!$H$2:$H$23,MATCH($A141,Empresas!$B$2:$B$23,0))&amp;"","")</f>
        <v>USD</v>
      </c>
      <c r="F141" s="19">
        <v>4233805</v>
      </c>
      <c r="G141" s="19">
        <v>2052702</v>
      </c>
      <c r="H141" s="19">
        <v>15226299</v>
      </c>
      <c r="I141" s="19">
        <v>7677349</v>
      </c>
      <c r="J141" s="19">
        <v>7548950</v>
      </c>
      <c r="K141" s="19">
        <v>6323022</v>
      </c>
      <c r="L141" s="19">
        <v>216449</v>
      </c>
      <c r="M141" s="19">
        <v>874827</v>
      </c>
      <c r="N141" s="19">
        <v>538448</v>
      </c>
      <c r="O141" s="19">
        <v>7546078</v>
      </c>
      <c r="P141" s="19">
        <v>538811</v>
      </c>
      <c r="Q141" s="19">
        <v>978047</v>
      </c>
      <c r="R141" s="14">
        <v>1415.439575195312</v>
      </c>
      <c r="S141" s="4" t="s">
        <v>262</v>
      </c>
      <c r="T141" s="4"/>
    </row>
    <row r="142" spans="1:20" ht="15" customHeight="1" x14ac:dyDescent="0.2">
      <c r="A142" s="8" t="s">
        <v>118</v>
      </c>
      <c r="B142" s="8">
        <v>3</v>
      </c>
      <c r="C142" s="8" t="s">
        <v>109</v>
      </c>
      <c r="D142" s="18">
        <v>2022</v>
      </c>
      <c r="E142" s="7" t="str">
        <f>IFERROR(INDEX(Empresas!$H$2:$H$23,MATCH($A142,Empresas!$B$2:$B$23,0))&amp;"","")</f>
        <v>USD</v>
      </c>
      <c r="F142" s="19">
        <v>4683924</v>
      </c>
      <c r="G142" s="19">
        <v>2399407</v>
      </c>
      <c r="H142" s="19">
        <v>16571979</v>
      </c>
      <c r="I142" s="19">
        <v>8661158</v>
      </c>
      <c r="J142" s="19">
        <v>7910821</v>
      </c>
      <c r="K142" s="19">
        <v>7821345</v>
      </c>
      <c r="L142" s="19">
        <v>216483</v>
      </c>
      <c r="M142" s="19">
        <v>1360362</v>
      </c>
      <c r="N142" s="19">
        <v>1005382</v>
      </c>
      <c r="O142" s="19">
        <v>7908737</v>
      </c>
      <c r="P142" s="19">
        <v>1005375</v>
      </c>
      <c r="Q142" s="19">
        <v>1394145</v>
      </c>
      <c r="R142" s="14">
        <v>1403.631225585938</v>
      </c>
      <c r="S142" s="4" t="s">
        <v>263</v>
      </c>
      <c r="T142" s="4"/>
    </row>
    <row r="143" spans="1:20" ht="15" customHeight="1" x14ac:dyDescent="0.2">
      <c r="A143" s="8" t="s">
        <v>118</v>
      </c>
      <c r="B143" s="8">
        <v>3</v>
      </c>
      <c r="C143" s="8" t="s">
        <v>109</v>
      </c>
      <c r="D143" s="18">
        <v>2023</v>
      </c>
      <c r="E143" s="7" t="str">
        <f>IFERROR(INDEX(Empresas!$H$2:$H$23,MATCH($A143,Empresas!$B$2:$B$23,0))&amp;"","")</f>
        <v>USD</v>
      </c>
      <c r="F143" s="19">
        <v>4573147</v>
      </c>
      <c r="G143" s="19">
        <v>2476374</v>
      </c>
      <c r="H143" s="19">
        <v>17177308</v>
      </c>
      <c r="I143" s="19">
        <v>9292411</v>
      </c>
      <c r="J143" s="19">
        <v>7884897</v>
      </c>
      <c r="K143" s="19">
        <v>8099816</v>
      </c>
      <c r="L143" s="19">
        <v>264782</v>
      </c>
      <c r="M143" s="19">
        <v>590421</v>
      </c>
      <c r="N143" s="19">
        <v>470247</v>
      </c>
      <c r="O143" s="19">
        <v>7884443</v>
      </c>
      <c r="P143" s="19">
        <v>470242</v>
      </c>
      <c r="Q143" s="19">
        <v>555693</v>
      </c>
      <c r="R143" s="14">
        <v>1685.378540039062</v>
      </c>
      <c r="S143" s="4" t="s">
        <v>264</v>
      </c>
      <c r="T143" s="4"/>
    </row>
    <row r="144" spans="1:20" ht="15" customHeight="1" x14ac:dyDescent="0.2">
      <c r="A144" s="8" t="s">
        <v>118</v>
      </c>
      <c r="B144" s="8">
        <v>3</v>
      </c>
      <c r="C144" s="8" t="s">
        <v>109</v>
      </c>
      <c r="D144" s="18">
        <v>2024</v>
      </c>
      <c r="E144" s="7" t="str">
        <f>IFERROR(INDEX(Empresas!$H$2:$H$23,MATCH($A144,Empresas!$B$2:$B$23,0))&amp;"","")</f>
        <v>USD</v>
      </c>
      <c r="F144" s="19">
        <v>4258369</v>
      </c>
      <c r="G144" s="19">
        <v>2044709</v>
      </c>
      <c r="H144" s="19">
        <v>16935671</v>
      </c>
      <c r="I144" s="19">
        <v>9136507</v>
      </c>
      <c r="J144" s="19">
        <v>7799164</v>
      </c>
      <c r="K144" s="19">
        <v>7742688</v>
      </c>
      <c r="L144" s="19">
        <v>314714</v>
      </c>
      <c r="M144" s="19">
        <v>769649</v>
      </c>
      <c r="N144" s="19">
        <v>491099</v>
      </c>
      <c r="O144" s="19">
        <v>7798739</v>
      </c>
      <c r="P144" s="19">
        <v>491053</v>
      </c>
      <c r="Q144" s="19">
        <v>848376</v>
      </c>
      <c r="R144" s="14">
        <v>1547.573852539062</v>
      </c>
      <c r="S144" s="4" t="s">
        <v>265</v>
      </c>
      <c r="T144" s="4"/>
    </row>
    <row r="145" spans="1:20" ht="15" customHeight="1" x14ac:dyDescent="0.2">
      <c r="A145" s="8" t="s">
        <v>118</v>
      </c>
      <c r="B145" s="8">
        <v>3</v>
      </c>
      <c r="C145" s="8" t="s">
        <v>109</v>
      </c>
      <c r="D145" s="18">
        <v>2025</v>
      </c>
      <c r="E145" s="7" t="str">
        <f>IFERROR(INDEX(Empresas!$H$2:$H$23,MATCH($A145,Empresas!$B$2:$B$23,0))&amp;"","")</f>
        <v>USD</v>
      </c>
      <c r="F145" s="19">
        <v>4368620</v>
      </c>
      <c r="G145" s="19">
        <v>2089423</v>
      </c>
      <c r="H145" s="19">
        <v>20578401</v>
      </c>
      <c r="I145" s="19">
        <v>10476429</v>
      </c>
      <c r="J145" s="19">
        <v>10101972</v>
      </c>
      <c r="K145" s="19">
        <v>7475096</v>
      </c>
      <c r="L145" s="19">
        <v>338039</v>
      </c>
      <c r="M145" s="19">
        <v>222103</v>
      </c>
      <c r="N145" s="19">
        <v>201752</v>
      </c>
      <c r="O145" s="19">
        <v>10101384</v>
      </c>
      <c r="P145" s="19">
        <v>201724</v>
      </c>
      <c r="Q145" s="19">
        <v>415258</v>
      </c>
      <c r="R145" s="14">
        <v>1401.944580078125</v>
      </c>
      <c r="S145" s="4" t="s">
        <v>266</v>
      </c>
      <c r="T145" s="4"/>
    </row>
    <row r="146" spans="1:20" ht="15" customHeight="1" x14ac:dyDescent="0.2">
      <c r="A146" s="8" t="s">
        <v>120</v>
      </c>
      <c r="B146" s="8">
        <v>3</v>
      </c>
      <c r="C146" s="8" t="s">
        <v>109</v>
      </c>
      <c r="D146" s="18">
        <v>2017</v>
      </c>
      <c r="E146" s="7" t="str">
        <f>IFERROR(INDEX(Empresas!$H$2:$H$23,MATCH($A146,Empresas!$B$2:$B$23,0))&amp;"","")</f>
        <v>USD</v>
      </c>
      <c r="F146" s="19">
        <v>2466261</v>
      </c>
      <c r="G146" s="19">
        <v>748045</v>
      </c>
      <c r="H146" s="19">
        <v>4296236</v>
      </c>
      <c r="I146" s="19">
        <v>2048768</v>
      </c>
      <c r="J146" s="19">
        <v>2247468</v>
      </c>
      <c r="K146" s="19">
        <v>2157323</v>
      </c>
      <c r="L146" s="19">
        <v>50124</v>
      </c>
      <c r="M146" s="19">
        <v>594590</v>
      </c>
      <c r="N146" s="19">
        <v>428417</v>
      </c>
      <c r="O146" s="19">
        <v>2187821</v>
      </c>
      <c r="P146" s="19">
        <v>427697</v>
      </c>
      <c r="Q146" s="19">
        <v>626100</v>
      </c>
      <c r="R146" s="14">
        <v>32022.70703125</v>
      </c>
      <c r="S146" s="4" t="s">
        <v>258</v>
      </c>
      <c r="T146" s="4"/>
    </row>
    <row r="147" spans="1:20" ht="15" customHeight="1" x14ac:dyDescent="0.2">
      <c r="A147" s="8" t="s">
        <v>120</v>
      </c>
      <c r="B147" s="8">
        <v>3</v>
      </c>
      <c r="C147" s="8" t="s">
        <v>109</v>
      </c>
      <c r="D147" s="18">
        <v>2018</v>
      </c>
      <c r="E147" s="7" t="str">
        <f>IFERROR(INDEX(Empresas!$H$2:$H$23,MATCH($A147,Empresas!$B$2:$B$23,0))&amp;"","")</f>
        <v>USD</v>
      </c>
      <c r="F147" s="19">
        <v>2399596</v>
      </c>
      <c r="G147" s="19">
        <v>555663</v>
      </c>
      <c r="H147" s="19">
        <v>4268094</v>
      </c>
      <c r="I147" s="19">
        <v>2130292</v>
      </c>
      <c r="J147" s="19">
        <v>2137802</v>
      </c>
      <c r="K147" s="19">
        <v>2265803</v>
      </c>
      <c r="L147" s="19">
        <v>59914</v>
      </c>
      <c r="M147" s="19">
        <v>621038</v>
      </c>
      <c r="N147" s="19">
        <v>442063</v>
      </c>
      <c r="O147" s="19">
        <v>2085491</v>
      </c>
      <c r="P147" s="19">
        <v>439830</v>
      </c>
      <c r="Q147" s="19">
        <v>665698</v>
      </c>
      <c r="R147" s="14">
        <v>24643.794921875</v>
      </c>
      <c r="S147" s="4" t="s">
        <v>259</v>
      </c>
      <c r="T147" s="4"/>
    </row>
    <row r="148" spans="1:20" ht="15" customHeight="1" x14ac:dyDescent="0.2">
      <c r="A148" s="8" t="s">
        <v>120</v>
      </c>
      <c r="B148" s="8">
        <v>3</v>
      </c>
      <c r="C148" s="8" t="s">
        <v>109</v>
      </c>
      <c r="D148" s="18">
        <v>2019</v>
      </c>
      <c r="E148" s="7" t="str">
        <f>IFERROR(INDEX(Empresas!$H$2:$H$23,MATCH($A148,Empresas!$B$2:$B$23,0))&amp;"","")</f>
        <v>USD</v>
      </c>
      <c r="F148" s="19">
        <v>2682166</v>
      </c>
      <c r="G148" s="19">
        <v>776812</v>
      </c>
      <c r="H148" s="19">
        <v>4684151</v>
      </c>
      <c r="I148" s="19">
        <v>2549679</v>
      </c>
      <c r="J148" s="19">
        <v>2134472</v>
      </c>
      <c r="K148" s="19">
        <v>1943655</v>
      </c>
      <c r="L148" s="19">
        <v>76939</v>
      </c>
      <c r="M148" s="19">
        <v>390622</v>
      </c>
      <c r="N148" s="19">
        <v>280603</v>
      </c>
      <c r="O148" s="19">
        <v>2086267</v>
      </c>
      <c r="P148" s="19">
        <v>278115</v>
      </c>
      <c r="Q148" s="19">
        <v>434712</v>
      </c>
      <c r="R148" s="14">
        <v>18557.4375</v>
      </c>
      <c r="S148" s="4" t="s">
        <v>260</v>
      </c>
      <c r="T148" s="4"/>
    </row>
    <row r="149" spans="1:20" ht="15" customHeight="1" x14ac:dyDescent="0.2">
      <c r="A149" s="8" t="s">
        <v>120</v>
      </c>
      <c r="B149" s="8">
        <v>3</v>
      </c>
      <c r="C149" s="8" t="s">
        <v>109</v>
      </c>
      <c r="D149" s="18">
        <v>2020</v>
      </c>
      <c r="E149" s="7" t="str">
        <f>IFERROR(INDEX(Empresas!$H$2:$H$23,MATCH($A149,Empresas!$B$2:$B$23,0))&amp;"","")</f>
        <v>USD</v>
      </c>
      <c r="F149" s="19">
        <v>2569258</v>
      </c>
      <c r="G149" s="19">
        <v>475882</v>
      </c>
      <c r="H149" s="19">
        <v>4818463</v>
      </c>
      <c r="I149" s="19">
        <v>2655885</v>
      </c>
      <c r="J149" s="19">
        <v>2162578</v>
      </c>
      <c r="K149" s="19">
        <v>1817191</v>
      </c>
      <c r="L149" s="19">
        <v>82199</v>
      </c>
      <c r="M149" s="19">
        <v>238538</v>
      </c>
      <c r="N149" s="19">
        <v>168359</v>
      </c>
      <c r="O149" s="19">
        <v>2123085</v>
      </c>
      <c r="P149" s="19">
        <v>164518</v>
      </c>
      <c r="Q149" s="19">
        <v>297821</v>
      </c>
      <c r="R149" s="14">
        <v>32511.171875</v>
      </c>
      <c r="S149" s="4" t="s">
        <v>261</v>
      </c>
      <c r="T149" s="4"/>
    </row>
    <row r="150" spans="1:20" ht="15" customHeight="1" x14ac:dyDescent="0.2">
      <c r="A150" s="8" t="s">
        <v>120</v>
      </c>
      <c r="B150" s="8">
        <v>3</v>
      </c>
      <c r="C150" s="8" t="s">
        <v>109</v>
      </c>
      <c r="D150" s="18">
        <v>2021</v>
      </c>
      <c r="E150" s="7" t="str">
        <f>IFERROR(INDEX(Empresas!$H$2:$H$23,MATCH($A150,Empresas!$B$2:$B$23,0))&amp;"","")</f>
        <v>USD</v>
      </c>
      <c r="F150" s="19">
        <v>4586095</v>
      </c>
      <c r="G150" s="19">
        <v>991709</v>
      </c>
      <c r="H150" s="19">
        <v>7180201</v>
      </c>
      <c r="I150" s="19">
        <v>3964230</v>
      </c>
      <c r="J150" s="19">
        <v>3215971</v>
      </c>
      <c r="K150" s="19">
        <v>2862315</v>
      </c>
      <c r="L150" s="19">
        <v>84626</v>
      </c>
      <c r="M150" s="19">
        <v>841221</v>
      </c>
      <c r="N150" s="19">
        <v>592205</v>
      </c>
      <c r="O150" s="19">
        <v>3181520</v>
      </c>
      <c r="P150" s="19">
        <v>585454</v>
      </c>
      <c r="Q150" s="19">
        <v>927523</v>
      </c>
      <c r="R150" s="14">
        <v>41495.19921875</v>
      </c>
      <c r="S150" s="4" t="s">
        <v>262</v>
      </c>
      <c r="T150" s="4"/>
    </row>
    <row r="151" spans="1:20" ht="15" customHeight="1" x14ac:dyDescent="0.2">
      <c r="A151" s="8" t="s">
        <v>120</v>
      </c>
      <c r="B151" s="8">
        <v>3</v>
      </c>
      <c r="C151" s="8" t="s">
        <v>109</v>
      </c>
      <c r="D151" s="18">
        <v>2022</v>
      </c>
      <c r="E151" s="7" t="str">
        <f>IFERROR(INDEX(Empresas!$H$2:$H$23,MATCH($A151,Empresas!$B$2:$B$23,0))&amp;"","")</f>
        <v>USD</v>
      </c>
      <c r="F151" s="19">
        <v>6991509</v>
      </c>
      <c r="G151" s="19">
        <v>3051547</v>
      </c>
      <c r="H151" s="19">
        <v>10819101</v>
      </c>
      <c r="I151" s="19">
        <v>5887100</v>
      </c>
      <c r="J151" s="19">
        <v>4932001</v>
      </c>
      <c r="K151" s="19">
        <v>10710578</v>
      </c>
      <c r="L151" s="19">
        <v>86651</v>
      </c>
      <c r="M151" s="19">
        <v>5486496</v>
      </c>
      <c r="N151" s="19">
        <v>3914284</v>
      </c>
      <c r="O151" s="19">
        <v>4896632</v>
      </c>
      <c r="P151" s="19">
        <v>3906311</v>
      </c>
      <c r="Q151" s="19">
        <v>5527981</v>
      </c>
      <c r="R151" s="14">
        <v>68591.015625</v>
      </c>
      <c r="S151" s="4" t="s">
        <v>263</v>
      </c>
      <c r="T151" s="4"/>
    </row>
    <row r="152" spans="1:20" ht="15" customHeight="1" x14ac:dyDescent="0.2">
      <c r="A152" s="8" t="s">
        <v>120</v>
      </c>
      <c r="B152" s="8">
        <v>3</v>
      </c>
      <c r="C152" s="8" t="s">
        <v>109</v>
      </c>
      <c r="D152" s="18">
        <v>2023</v>
      </c>
      <c r="E152" s="7" t="str">
        <f>IFERROR(INDEX(Empresas!$H$2:$H$23,MATCH($A152,Empresas!$B$2:$B$23,0))&amp;"","")</f>
        <v>USD</v>
      </c>
      <c r="F152" s="19">
        <v>5866141</v>
      </c>
      <c r="G152" s="19">
        <v>2351133</v>
      </c>
      <c r="H152" s="19">
        <v>11705570</v>
      </c>
      <c r="I152" s="19">
        <v>6138665</v>
      </c>
      <c r="J152" s="19">
        <v>5566905</v>
      </c>
      <c r="K152" s="19">
        <v>7467490</v>
      </c>
      <c r="L152" s="19">
        <v>138402</v>
      </c>
      <c r="M152" s="19">
        <v>2807018</v>
      </c>
      <c r="N152" s="19">
        <v>2019743</v>
      </c>
      <c r="O152" s="19">
        <v>5530675</v>
      </c>
      <c r="P152" s="19">
        <v>2012667</v>
      </c>
      <c r="Q152" s="19">
        <v>2844192</v>
      </c>
      <c r="R152" s="14">
        <v>52647.921875</v>
      </c>
      <c r="S152" s="4" t="s">
        <v>264</v>
      </c>
      <c r="T152" s="4"/>
    </row>
    <row r="153" spans="1:20" ht="15" customHeight="1" x14ac:dyDescent="0.2">
      <c r="A153" s="8" t="s">
        <v>120</v>
      </c>
      <c r="B153" s="8">
        <v>3</v>
      </c>
      <c r="C153" s="8" t="s">
        <v>109</v>
      </c>
      <c r="D153" s="18">
        <v>2024</v>
      </c>
      <c r="E153" s="7" t="str">
        <f>IFERROR(INDEX(Empresas!$H$2:$H$23,MATCH($A153,Empresas!$B$2:$B$23,0))&amp;"","")</f>
        <v>USD</v>
      </c>
      <c r="F153" s="19">
        <v>5578440</v>
      </c>
      <c r="G153" s="19">
        <v>2218816</v>
      </c>
      <c r="H153" s="19">
        <v>11495569</v>
      </c>
      <c r="I153" s="19">
        <v>6297502</v>
      </c>
      <c r="J153" s="19">
        <v>5198067</v>
      </c>
      <c r="K153" s="19">
        <v>4528761</v>
      </c>
      <c r="L153" s="19">
        <v>197544</v>
      </c>
      <c r="M153" s="19">
        <v>974414</v>
      </c>
      <c r="N153" s="19">
        <v>-397635</v>
      </c>
      <c r="O153" s="19">
        <v>5160819</v>
      </c>
      <c r="P153" s="19">
        <v>-404359</v>
      </c>
      <c r="Q153" s="19">
        <v>1066537</v>
      </c>
      <c r="R153" s="14">
        <v>36598.734375</v>
      </c>
      <c r="S153" s="4" t="s">
        <v>265</v>
      </c>
      <c r="T153" s="4"/>
    </row>
    <row r="154" spans="1:20" ht="15" customHeight="1" x14ac:dyDescent="0.2">
      <c r="A154" s="8" t="s">
        <v>120</v>
      </c>
      <c r="B154" s="8">
        <v>3</v>
      </c>
      <c r="C154" s="8" t="s">
        <v>109</v>
      </c>
      <c r="D154" s="18">
        <v>2025</v>
      </c>
      <c r="E154" s="7" t="str">
        <f>IFERROR(INDEX(Empresas!$H$2:$H$23,MATCH($A154,Empresas!$B$2:$B$23,0))&amp;"","")</f>
        <v>USD</v>
      </c>
      <c r="F154" s="19">
        <v>5780494</v>
      </c>
      <c r="G154" s="19">
        <v>1768836</v>
      </c>
      <c r="H154" s="19">
        <v>14504960</v>
      </c>
      <c r="I154" s="19">
        <v>6451081</v>
      </c>
      <c r="J154" s="19">
        <v>8053879</v>
      </c>
      <c r="K154" s="19">
        <v>4576224</v>
      </c>
      <c r="L154" s="19">
        <v>192672</v>
      </c>
      <c r="M154" s="19">
        <v>960726</v>
      </c>
      <c r="N154" s="19">
        <v>640643</v>
      </c>
      <c r="O154" s="19">
        <v>5691262</v>
      </c>
      <c r="P154" s="19">
        <v>588138</v>
      </c>
      <c r="Q154" s="19">
        <v>1062084</v>
      </c>
      <c r="R154" s="14">
        <v>63797.80078125</v>
      </c>
      <c r="S154" s="4" t="s">
        <v>266</v>
      </c>
      <c r="T154" s="4"/>
    </row>
    <row r="155" spans="1:20" ht="15" customHeight="1" x14ac:dyDescent="0.2">
      <c r="A155" s="8" t="s">
        <v>123</v>
      </c>
      <c r="B155" s="8">
        <v>3</v>
      </c>
      <c r="C155" s="8" t="s">
        <v>109</v>
      </c>
      <c r="D155" s="18">
        <v>2017</v>
      </c>
      <c r="E155" s="7" t="str">
        <f>IFERROR(INDEX(Empresas!$H$2:$H$23,MATCH($A155,Empresas!$B$2:$B$23,0))&amp;"","")</f>
        <v>USD</v>
      </c>
      <c r="F155" s="19">
        <v>5364133</v>
      </c>
      <c r="G155" s="19">
        <v>3074212</v>
      </c>
      <c r="H155" s="19">
        <v>22174215</v>
      </c>
      <c r="I155" s="19">
        <v>11260762</v>
      </c>
      <c r="J155" s="19">
        <v>10913453</v>
      </c>
      <c r="K155" s="19">
        <v>20353315</v>
      </c>
      <c r="L155" s="19">
        <v>402649</v>
      </c>
      <c r="M155" s="19">
        <v>739063</v>
      </c>
      <c r="N155" s="19">
        <v>659379</v>
      </c>
      <c r="O155" s="19">
        <v>10398325</v>
      </c>
      <c r="P155" s="19">
        <v>639322</v>
      </c>
      <c r="Q155" s="19">
        <v>975247</v>
      </c>
      <c r="R155" s="14">
        <v>9448.9267578125</v>
      </c>
      <c r="S155" s="4" t="s">
        <v>258</v>
      </c>
      <c r="T155" s="4"/>
    </row>
    <row r="156" spans="1:20" ht="15" customHeight="1" x14ac:dyDescent="0.2">
      <c r="A156" s="8" t="s">
        <v>123</v>
      </c>
      <c r="B156" s="8">
        <v>3</v>
      </c>
      <c r="C156" s="8" t="s">
        <v>109</v>
      </c>
      <c r="D156" s="18">
        <v>2018</v>
      </c>
      <c r="E156" s="7" t="str">
        <f>IFERROR(INDEX(Empresas!$H$2:$H$23,MATCH($A156,Empresas!$B$2:$B$23,0))&amp;"","")</f>
        <v>USD</v>
      </c>
      <c r="F156" s="19">
        <v>6303704</v>
      </c>
      <c r="G156" s="19">
        <v>3410307</v>
      </c>
      <c r="H156" s="19">
        <v>23487275</v>
      </c>
      <c r="I156" s="19">
        <v>12293375</v>
      </c>
      <c r="J156" s="19">
        <v>11193900</v>
      </c>
      <c r="K156" s="19">
        <v>23970069</v>
      </c>
      <c r="L156" s="19">
        <v>370619</v>
      </c>
      <c r="M156" s="19">
        <v>1496455</v>
      </c>
      <c r="N156" s="19">
        <v>1118760</v>
      </c>
      <c r="O156" s="19">
        <v>10709129</v>
      </c>
      <c r="P156" s="19">
        <v>1070698</v>
      </c>
      <c r="Q156" s="19">
        <v>1806557</v>
      </c>
      <c r="R156" s="14">
        <v>8174.52392578125</v>
      </c>
      <c r="S156" s="4" t="s">
        <v>259</v>
      </c>
      <c r="T156" s="4"/>
    </row>
    <row r="157" spans="1:20" ht="15" customHeight="1" x14ac:dyDescent="0.2">
      <c r="A157" s="8" t="s">
        <v>123</v>
      </c>
      <c r="B157" s="8">
        <v>3</v>
      </c>
      <c r="C157" s="8" t="s">
        <v>109</v>
      </c>
      <c r="D157" s="18">
        <v>2019</v>
      </c>
      <c r="E157" s="7" t="str">
        <f>IFERROR(INDEX(Empresas!$H$2:$H$23,MATCH($A157,Empresas!$B$2:$B$23,0))&amp;"","")</f>
        <v>USD</v>
      </c>
      <c r="F157" s="19">
        <v>7034390</v>
      </c>
      <c r="G157" s="19">
        <v>3094142</v>
      </c>
      <c r="H157" s="19">
        <v>24795467</v>
      </c>
      <c r="I157" s="19">
        <v>13621429</v>
      </c>
      <c r="J157" s="19">
        <v>11174038</v>
      </c>
      <c r="K157" s="19">
        <v>23716405</v>
      </c>
      <c r="L157" s="19">
        <v>437900</v>
      </c>
      <c r="M157" s="19">
        <v>350363</v>
      </c>
      <c r="N157" s="19">
        <v>225856</v>
      </c>
      <c r="O157" s="19">
        <v>10667359</v>
      </c>
      <c r="P157" s="19">
        <v>172019</v>
      </c>
      <c r="Q157" s="19">
        <v>873434</v>
      </c>
      <c r="R157" s="14">
        <v>6625.92626953125</v>
      </c>
      <c r="S157" s="4" t="s">
        <v>260</v>
      </c>
      <c r="T157" s="4"/>
    </row>
    <row r="158" spans="1:20" ht="15" customHeight="1" x14ac:dyDescent="0.2">
      <c r="A158" s="8" t="s">
        <v>123</v>
      </c>
      <c r="B158" s="8">
        <v>3</v>
      </c>
      <c r="C158" s="8" t="s">
        <v>109</v>
      </c>
      <c r="D158" s="18">
        <v>2020</v>
      </c>
      <c r="E158" s="7" t="str">
        <f>IFERROR(INDEX(Empresas!$H$2:$H$23,MATCH($A158,Empresas!$B$2:$B$23,0))&amp;"","")</f>
        <v>USD</v>
      </c>
      <c r="F158" s="19">
        <v>6796306</v>
      </c>
      <c r="G158" s="19">
        <v>2841525</v>
      </c>
      <c r="H158" s="19">
        <v>25174441</v>
      </c>
      <c r="I158" s="19">
        <v>14113971</v>
      </c>
      <c r="J158" s="19">
        <v>11060470</v>
      </c>
      <c r="K158" s="19">
        <v>18059214</v>
      </c>
      <c r="L158" s="19">
        <v>412649</v>
      </c>
      <c r="M158" s="19">
        <v>296025</v>
      </c>
      <c r="N158" s="19">
        <v>205986</v>
      </c>
      <c r="O158" s="19">
        <v>10579772</v>
      </c>
      <c r="P158" s="19">
        <v>190653</v>
      </c>
      <c r="Q158" s="19">
        <v>727358</v>
      </c>
      <c r="R158" s="14">
        <v>7077.52978515625</v>
      </c>
      <c r="S158" s="4" t="s">
        <v>261</v>
      </c>
      <c r="T158" s="4"/>
    </row>
    <row r="159" spans="1:20" ht="15" customHeight="1" x14ac:dyDescent="0.2">
      <c r="A159" s="8" t="s">
        <v>123</v>
      </c>
      <c r="B159" s="8">
        <v>3</v>
      </c>
      <c r="C159" s="8" t="s">
        <v>109</v>
      </c>
      <c r="D159" s="18">
        <v>2021</v>
      </c>
      <c r="E159" s="7" t="str">
        <f>IFERROR(INDEX(Empresas!$H$2:$H$23,MATCH($A159,Empresas!$B$2:$B$23,0))&amp;"","")</f>
        <v>USD</v>
      </c>
      <c r="F159" s="19">
        <v>7163449</v>
      </c>
      <c r="G159" s="19">
        <v>3368637</v>
      </c>
      <c r="H159" s="19">
        <v>25612848</v>
      </c>
      <c r="I159" s="19">
        <v>14151189</v>
      </c>
      <c r="J159" s="19">
        <v>11461659</v>
      </c>
      <c r="K159" s="19">
        <v>24786614</v>
      </c>
      <c r="L159" s="19">
        <v>361135</v>
      </c>
      <c r="M159" s="19">
        <v>2401983</v>
      </c>
      <c r="N159" s="19">
        <v>1848842</v>
      </c>
      <c r="O159" s="19">
        <v>11000494</v>
      </c>
      <c r="P159" s="19">
        <v>1780950</v>
      </c>
      <c r="Q159" s="19">
        <v>2508904</v>
      </c>
      <c r="R159" s="14">
        <v>6465.57421875</v>
      </c>
      <c r="S159" s="4" t="s">
        <v>262</v>
      </c>
      <c r="T159" s="4"/>
    </row>
    <row r="160" spans="1:20" ht="15" customHeight="1" x14ac:dyDescent="0.2">
      <c r="A160" s="8" t="s">
        <v>123</v>
      </c>
      <c r="B160" s="8">
        <v>3</v>
      </c>
      <c r="C160" s="8" t="s">
        <v>109</v>
      </c>
      <c r="D160" s="18">
        <v>2022</v>
      </c>
      <c r="E160" s="7" t="str">
        <f>IFERROR(INDEX(Empresas!$H$2:$H$23,MATCH($A160,Empresas!$B$2:$B$23,0))&amp;"","")</f>
        <v>USD</v>
      </c>
      <c r="F160" s="19">
        <v>8544686</v>
      </c>
      <c r="G160" s="19">
        <v>5082960</v>
      </c>
      <c r="H160" s="19">
        <v>28137046</v>
      </c>
      <c r="I160" s="19">
        <v>15656491</v>
      </c>
      <c r="J160" s="19">
        <v>12480555</v>
      </c>
      <c r="K160" s="19">
        <v>30765182</v>
      </c>
      <c r="L160" s="19">
        <v>396009</v>
      </c>
      <c r="M160" s="19">
        <v>1930936</v>
      </c>
      <c r="N160" s="19">
        <v>1523230</v>
      </c>
      <c r="O160" s="19">
        <v>12042521</v>
      </c>
      <c r="P160" s="19">
        <v>1466143</v>
      </c>
      <c r="Q160" s="19">
        <v>2137210</v>
      </c>
      <c r="R160" s="14">
        <v>6213.68505859375</v>
      </c>
      <c r="S160" s="4" t="s">
        <v>263</v>
      </c>
      <c r="T160" s="4"/>
    </row>
    <row r="161" spans="1:20" ht="15" customHeight="1" x14ac:dyDescent="0.2">
      <c r="A161" s="8" t="s">
        <v>123</v>
      </c>
      <c r="B161" s="8">
        <v>3</v>
      </c>
      <c r="C161" s="8" t="s">
        <v>109</v>
      </c>
      <c r="D161" s="18">
        <v>2023</v>
      </c>
      <c r="E161" s="7" t="str">
        <f>IFERROR(INDEX(Empresas!$H$2:$H$23,MATCH($A161,Empresas!$B$2:$B$23,0))&amp;"","")</f>
        <v>USD</v>
      </c>
      <c r="F161" s="19">
        <v>8864509</v>
      </c>
      <c r="G161" s="19">
        <v>4717908</v>
      </c>
      <c r="H161" s="19">
        <v>28717638</v>
      </c>
      <c r="I161" s="19">
        <v>15750936</v>
      </c>
      <c r="J161" s="19">
        <v>12966702</v>
      </c>
      <c r="K161" s="19">
        <v>28528000</v>
      </c>
      <c r="L161" s="19">
        <v>675881</v>
      </c>
      <c r="M161" s="19">
        <v>446495</v>
      </c>
      <c r="N161" s="19">
        <v>392605</v>
      </c>
      <c r="O161" s="19">
        <v>12414662</v>
      </c>
      <c r="P161" s="19">
        <v>348891</v>
      </c>
      <c r="Q161" s="19">
        <v>915415</v>
      </c>
      <c r="R161" s="14">
        <v>6293.5322265625</v>
      </c>
      <c r="S161" s="4" t="s">
        <v>264</v>
      </c>
      <c r="T161" s="4"/>
    </row>
    <row r="162" spans="1:20" ht="15" customHeight="1" x14ac:dyDescent="0.2">
      <c r="A162" s="8" t="s">
        <v>123</v>
      </c>
      <c r="B162" s="8">
        <v>3</v>
      </c>
      <c r="C162" s="8" t="s">
        <v>109</v>
      </c>
      <c r="D162" s="18">
        <v>2024</v>
      </c>
      <c r="E162" s="7" t="str">
        <f>IFERROR(INDEX(Empresas!$H$2:$H$23,MATCH($A162,Empresas!$B$2:$B$23,0))&amp;"","")</f>
        <v>USD</v>
      </c>
      <c r="F162" s="19">
        <v>8466475</v>
      </c>
      <c r="G162" s="19">
        <v>3987943</v>
      </c>
      <c r="H162" s="19">
        <v>28481540</v>
      </c>
      <c r="I162" s="19">
        <v>14992264</v>
      </c>
      <c r="J162" s="19">
        <v>13489276</v>
      </c>
      <c r="K162" s="19">
        <v>28749546</v>
      </c>
      <c r="L162" s="19">
        <v>629417</v>
      </c>
      <c r="M162" s="19">
        <v>1541851</v>
      </c>
      <c r="N162" s="19">
        <v>1166153</v>
      </c>
      <c r="O162" s="19">
        <v>12959928</v>
      </c>
      <c r="P162" s="19">
        <v>1111159</v>
      </c>
      <c r="Q162" s="19">
        <v>1852542</v>
      </c>
      <c r="R162" s="14">
        <v>5968.6796875</v>
      </c>
      <c r="S162" s="4" t="s">
        <v>265</v>
      </c>
      <c r="T162" s="4"/>
    </row>
    <row r="163" spans="1:20" ht="15" customHeight="1" x14ac:dyDescent="0.2">
      <c r="A163" s="8" t="s">
        <v>123</v>
      </c>
      <c r="B163" s="8">
        <v>3</v>
      </c>
      <c r="C163" s="8" t="s">
        <v>109</v>
      </c>
      <c r="D163" s="18">
        <v>2025</v>
      </c>
      <c r="E163" s="7" t="str">
        <f>IFERROR(INDEX(Empresas!$H$2:$H$23,MATCH($A163,Empresas!$B$2:$B$23,0))&amp;"","")</f>
        <v>USD</v>
      </c>
      <c r="F163" s="19">
        <v>9096891</v>
      </c>
      <c r="G163" s="19">
        <v>5223996</v>
      </c>
      <c r="H163" s="19">
        <v>33209748</v>
      </c>
      <c r="I163" s="19">
        <v>18290348</v>
      </c>
      <c r="J163" s="19">
        <v>14919400</v>
      </c>
      <c r="K163" s="19">
        <v>29637952</v>
      </c>
      <c r="L163" s="19">
        <v>629390</v>
      </c>
      <c r="M163" s="19">
        <v>1232298</v>
      </c>
      <c r="N163" s="19">
        <v>950179</v>
      </c>
      <c r="O163" s="19">
        <v>14318298</v>
      </c>
      <c r="P163" s="19">
        <v>876851</v>
      </c>
      <c r="Q163" s="19">
        <v>1454083</v>
      </c>
      <c r="R163" s="14">
        <v>6932.12841796875</v>
      </c>
      <c r="S163" s="4" t="s">
        <v>266</v>
      </c>
      <c r="T16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7"/>
  <sheetViews>
    <sheetView zoomScaleNormal="100" workbookViewId="0">
      <pane xSplit="5" ySplit="1" topLeftCell="K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3" customWidth="1"/>
    <col min="2" max="2" width="7" customWidth="1"/>
    <col min="3" max="3" width="12" customWidth="1"/>
    <col min="4" max="4" width="7" customWidth="1"/>
    <col min="5" max="5" width="9" customWidth="1"/>
    <col min="6" max="17" width="15" customWidth="1"/>
    <col min="18" max="18" width="24" customWidth="1"/>
    <col min="19" max="19" width="30" customWidth="1"/>
  </cols>
  <sheetData>
    <row r="1" spans="1:19" ht="42" customHeight="1" x14ac:dyDescent="0.2">
      <c r="A1" s="12" t="s">
        <v>252</v>
      </c>
      <c r="B1" s="12" t="s">
        <v>253</v>
      </c>
      <c r="C1" s="12" t="s">
        <v>254</v>
      </c>
      <c r="D1" s="12" t="s">
        <v>255</v>
      </c>
      <c r="E1" s="12" t="s">
        <v>256</v>
      </c>
      <c r="F1" s="12" t="s">
        <v>42</v>
      </c>
      <c r="G1" s="12" t="s">
        <v>168</v>
      </c>
      <c r="H1" s="12" t="s">
        <v>173</v>
      </c>
      <c r="I1" s="12" t="s">
        <v>225</v>
      </c>
      <c r="J1" s="12" t="s">
        <v>229</v>
      </c>
      <c r="K1" s="12" t="s">
        <v>232</v>
      </c>
      <c r="L1" s="12" t="s">
        <v>236</v>
      </c>
      <c r="M1" s="12" t="s">
        <v>239</v>
      </c>
      <c r="N1" s="12" t="s">
        <v>243</v>
      </c>
      <c r="O1" s="12" t="s">
        <v>50</v>
      </c>
      <c r="P1" s="12" t="s">
        <v>190</v>
      </c>
      <c r="Q1" s="12" t="s">
        <v>53</v>
      </c>
      <c r="R1" s="12" t="s">
        <v>56</v>
      </c>
      <c r="S1" s="12" t="s">
        <v>257</v>
      </c>
    </row>
    <row r="2" spans="1:19" ht="15" customHeight="1" x14ac:dyDescent="0.2">
      <c r="A2" s="8" t="s">
        <v>126</v>
      </c>
      <c r="B2" s="8">
        <v>4</v>
      </c>
      <c r="C2" s="8" t="s">
        <v>129</v>
      </c>
      <c r="D2" s="18">
        <v>2017</v>
      </c>
      <c r="E2" s="7" t="str">
        <f>IFERROR(INDEX(Empresas!$H$2:$H$23,MATCH($A2,Empresas!$B$2:$B$23,0))&amp;"","")</f>
        <v>CLP</v>
      </c>
      <c r="F2" s="19">
        <v>32824188</v>
      </c>
      <c r="G2" s="19">
        <v>29718473</v>
      </c>
      <c r="H2" s="19">
        <v>3105715</v>
      </c>
      <c r="I2" s="19">
        <v>1057393</v>
      </c>
      <c r="J2" s="19">
        <v>18983484</v>
      </c>
      <c r="K2" s="19">
        <v>24881353</v>
      </c>
      <c r="L2" s="19">
        <v>1709270</v>
      </c>
      <c r="M2" s="19">
        <v>-789298</v>
      </c>
      <c r="N2" s="19">
        <v>-234982</v>
      </c>
      <c r="O2" s="19">
        <v>691047</v>
      </c>
      <c r="P2" s="19">
        <v>576013</v>
      </c>
      <c r="Q2" s="14">
        <v>60.088424682617188</v>
      </c>
      <c r="R2" s="4" t="s">
        <v>267</v>
      </c>
      <c r="S2" s="4"/>
    </row>
    <row r="3" spans="1:19" ht="15" customHeight="1" x14ac:dyDescent="0.2">
      <c r="A3" s="8" t="s">
        <v>126</v>
      </c>
      <c r="B3" s="8">
        <v>4</v>
      </c>
      <c r="C3" s="8" t="s">
        <v>129</v>
      </c>
      <c r="D3" s="18">
        <v>2018</v>
      </c>
      <c r="E3" s="7" t="str">
        <f>IFERROR(INDEX(Empresas!$H$2:$H$23,MATCH($A3,Empresas!$B$2:$B$23,0))&amp;"","")</f>
        <v>CLP</v>
      </c>
      <c r="F3" s="19">
        <v>35926459</v>
      </c>
      <c r="G3" s="19">
        <v>32622306</v>
      </c>
      <c r="H3" s="19">
        <v>3304153</v>
      </c>
      <c r="I3" s="19">
        <v>880081</v>
      </c>
      <c r="J3" s="19">
        <v>20240662</v>
      </c>
      <c r="K3" s="19">
        <v>27307223</v>
      </c>
      <c r="L3" s="19">
        <v>1873283</v>
      </c>
      <c r="M3" s="19">
        <v>-847724</v>
      </c>
      <c r="N3" s="19">
        <v>-281410</v>
      </c>
      <c r="O3" s="19">
        <v>751404</v>
      </c>
      <c r="P3" s="19">
        <v>594873</v>
      </c>
      <c r="Q3" s="14">
        <v>65.215980529785156</v>
      </c>
      <c r="R3" s="4" t="s">
        <v>268</v>
      </c>
      <c r="S3" s="4"/>
    </row>
    <row r="4" spans="1:19" ht="15" customHeight="1" x14ac:dyDescent="0.2">
      <c r="A4" s="8" t="s">
        <v>126</v>
      </c>
      <c r="B4" s="8">
        <v>4</v>
      </c>
      <c r="C4" s="8" t="s">
        <v>129</v>
      </c>
      <c r="D4" s="18">
        <v>2019</v>
      </c>
      <c r="E4" s="7" t="str">
        <f>IFERROR(INDEX(Empresas!$H$2:$H$23,MATCH($A4,Empresas!$B$2:$B$23,0))&amp;"","")</f>
        <v>CLP</v>
      </c>
      <c r="F4" s="19">
        <v>41273333</v>
      </c>
      <c r="G4" s="19">
        <v>37745110</v>
      </c>
      <c r="H4" s="19">
        <v>3528223</v>
      </c>
      <c r="I4" s="19">
        <v>2392166</v>
      </c>
      <c r="J4" s="19">
        <v>22182751</v>
      </c>
      <c r="K4" s="19">
        <v>29334052</v>
      </c>
      <c r="L4" s="19">
        <v>2014520</v>
      </c>
      <c r="M4" s="19">
        <v>-911004</v>
      </c>
      <c r="N4" s="19">
        <v>-347274</v>
      </c>
      <c r="O4" s="19">
        <v>762692</v>
      </c>
      <c r="P4" s="19">
        <v>593009</v>
      </c>
      <c r="Q4" s="14">
        <v>54.254173278808587</v>
      </c>
      <c r="R4" s="4" t="s">
        <v>269</v>
      </c>
      <c r="S4" s="4"/>
    </row>
    <row r="5" spans="1:19" ht="15" customHeight="1" x14ac:dyDescent="0.2">
      <c r="A5" s="8" t="s">
        <v>126</v>
      </c>
      <c r="B5" s="8">
        <v>4</v>
      </c>
      <c r="C5" s="8" t="s">
        <v>129</v>
      </c>
      <c r="D5" s="18">
        <v>2020</v>
      </c>
      <c r="E5" s="7" t="str">
        <f>IFERROR(INDEX(Empresas!$H$2:$H$23,MATCH($A5,Empresas!$B$2:$B$23,0))&amp;"","")</f>
        <v>CLP</v>
      </c>
      <c r="F5" s="19">
        <v>46095131</v>
      </c>
      <c r="G5" s="19">
        <v>42368863</v>
      </c>
      <c r="H5" s="19">
        <v>3726268</v>
      </c>
      <c r="I5" s="19">
        <v>2560216</v>
      </c>
      <c r="J5" s="19">
        <v>24066770</v>
      </c>
      <c r="K5" s="19">
        <v>30190058</v>
      </c>
      <c r="L5" s="19">
        <v>1938743</v>
      </c>
      <c r="M5" s="19">
        <v>-882331</v>
      </c>
      <c r="N5" s="19">
        <v>-462680</v>
      </c>
      <c r="O5" s="19">
        <v>589071</v>
      </c>
      <c r="P5" s="19">
        <v>463109</v>
      </c>
      <c r="Q5" s="14">
        <v>51.982398986816413</v>
      </c>
      <c r="R5" s="4" t="s">
        <v>270</v>
      </c>
      <c r="S5" s="4"/>
    </row>
    <row r="6" spans="1:19" ht="15" customHeight="1" x14ac:dyDescent="0.2">
      <c r="A6" s="8" t="s">
        <v>126</v>
      </c>
      <c r="B6" s="8">
        <v>4</v>
      </c>
      <c r="C6" s="8" t="s">
        <v>129</v>
      </c>
      <c r="D6" s="18">
        <v>2021</v>
      </c>
      <c r="E6" s="7" t="str">
        <f>IFERROR(INDEX(Empresas!$H$2:$H$23,MATCH($A6,Empresas!$B$2:$B$23,0))&amp;"","")</f>
        <v>CLP</v>
      </c>
      <c r="F6" s="19">
        <v>51702439</v>
      </c>
      <c r="G6" s="19">
        <v>47479425</v>
      </c>
      <c r="H6" s="19">
        <v>4223014</v>
      </c>
      <c r="I6" s="19">
        <v>3713734</v>
      </c>
      <c r="J6" s="19">
        <v>27682797</v>
      </c>
      <c r="K6" s="19">
        <v>33537758</v>
      </c>
      <c r="L6" s="19">
        <v>2230257</v>
      </c>
      <c r="M6" s="19">
        <v>-887764</v>
      </c>
      <c r="N6" s="19">
        <v>-373260</v>
      </c>
      <c r="O6" s="19">
        <v>971473</v>
      </c>
      <c r="P6" s="19">
        <v>792923</v>
      </c>
      <c r="Q6" s="14">
        <v>48.897357940673828</v>
      </c>
      <c r="R6" s="4" t="s">
        <v>271</v>
      </c>
      <c r="S6" s="4"/>
    </row>
    <row r="7" spans="1:19" ht="15" customHeight="1" x14ac:dyDescent="0.2">
      <c r="A7" s="8" t="s">
        <v>126</v>
      </c>
      <c r="B7" s="8">
        <v>4</v>
      </c>
      <c r="C7" s="8" t="s">
        <v>129</v>
      </c>
      <c r="D7" s="18">
        <v>2022</v>
      </c>
      <c r="E7" s="7" t="str">
        <f>IFERROR(INDEX(Empresas!$H$2:$H$23,MATCH($A7,Empresas!$B$2:$B$23,0))&amp;"","")</f>
        <v>CLP</v>
      </c>
      <c r="F7" s="19">
        <v>55255361.593249001</v>
      </c>
      <c r="G7" s="19">
        <v>50397033.664212003</v>
      </c>
      <c r="H7" s="19">
        <v>4858327.9290370001</v>
      </c>
      <c r="I7" s="19">
        <v>2764883.9013339998</v>
      </c>
      <c r="J7" s="19">
        <v>27540372.841612998</v>
      </c>
      <c r="K7" s="19">
        <v>35916412.858292997</v>
      </c>
      <c r="L7" s="19">
        <v>3115792.3261890002</v>
      </c>
      <c r="M7" s="19">
        <v>-995483.41188399994</v>
      </c>
      <c r="N7" s="19">
        <v>-435117.01981000003</v>
      </c>
      <c r="O7" s="19">
        <v>1685191.8944949999</v>
      </c>
      <c r="P7" s="19">
        <v>1409435.2978699999</v>
      </c>
      <c r="Q7" s="14">
        <v>68.847427368164062</v>
      </c>
      <c r="R7" s="4" t="s">
        <v>272</v>
      </c>
      <c r="S7" s="4"/>
    </row>
    <row r="8" spans="1:19" ht="15" customHeight="1" x14ac:dyDescent="0.2">
      <c r="A8" s="8" t="s">
        <v>126</v>
      </c>
      <c r="B8" s="8">
        <v>4</v>
      </c>
      <c r="C8" s="8" t="s">
        <v>129</v>
      </c>
      <c r="D8" s="18">
        <v>2023</v>
      </c>
      <c r="E8" s="7" t="str">
        <f>IFERROR(INDEX(Empresas!$H$2:$H$23,MATCH($A8,Empresas!$B$2:$B$23,0))&amp;"","")</f>
        <v>CLP</v>
      </c>
      <c r="F8" s="19">
        <v>55792551.543382987</v>
      </c>
      <c r="G8" s="19">
        <v>50555266.884357996</v>
      </c>
      <c r="H8" s="19">
        <v>5237284.6590249985</v>
      </c>
      <c r="I8" s="19">
        <v>2464647.6804149998</v>
      </c>
      <c r="J8" s="19">
        <v>28687221.506035</v>
      </c>
      <c r="K8" s="19">
        <v>36831735.541424997</v>
      </c>
      <c r="L8" s="19">
        <v>2997278.1584660001</v>
      </c>
      <c r="M8" s="19">
        <v>-1118503.9162000001</v>
      </c>
      <c r="N8" s="19">
        <v>-361252.09690100001</v>
      </c>
      <c r="O8" s="19">
        <v>1517522.145365</v>
      </c>
      <c r="P8" s="19">
        <v>1243634.778866</v>
      </c>
      <c r="Q8" s="14">
        <v>90.30328369140625</v>
      </c>
      <c r="R8" s="4" t="s">
        <v>273</v>
      </c>
      <c r="S8" s="4"/>
    </row>
    <row r="9" spans="1:19" ht="15" customHeight="1" x14ac:dyDescent="0.2">
      <c r="A9" s="8" t="s">
        <v>126</v>
      </c>
      <c r="B9" s="8">
        <v>4</v>
      </c>
      <c r="C9" s="8" t="s">
        <v>129</v>
      </c>
      <c r="D9" s="18">
        <v>2024</v>
      </c>
      <c r="E9" s="7" t="str">
        <f>IFERROR(INDEX(Empresas!$H$2:$H$23,MATCH($A9,Empresas!$B$2:$B$23,0))&amp;"","")</f>
        <v>CLP</v>
      </c>
      <c r="F9" s="19">
        <v>52095441.680776</v>
      </c>
      <c r="G9" s="19">
        <v>46472440.304321997</v>
      </c>
      <c r="H9" s="19">
        <v>5623001.3764539994</v>
      </c>
      <c r="I9" s="19">
        <v>2699076.143646</v>
      </c>
      <c r="J9" s="19">
        <v>28432005.244582999</v>
      </c>
      <c r="K9" s="19">
        <v>38089035.553498</v>
      </c>
      <c r="L9" s="19">
        <v>3050285.161018</v>
      </c>
      <c r="M9" s="19">
        <v>-1132734.0973499999</v>
      </c>
      <c r="N9" s="19">
        <v>-391753.96878900001</v>
      </c>
      <c r="O9" s="19">
        <v>1525797.094879</v>
      </c>
      <c r="P9" s="19">
        <v>1207391.706303</v>
      </c>
      <c r="Q9" s="14">
        <v>98.645156860351562</v>
      </c>
      <c r="R9" s="4" t="s">
        <v>274</v>
      </c>
      <c r="S9" s="4"/>
    </row>
    <row r="10" spans="1:19" ht="15" customHeight="1" x14ac:dyDescent="0.2">
      <c r="A10" s="8" t="s">
        <v>126</v>
      </c>
      <c r="B10" s="8">
        <v>4</v>
      </c>
      <c r="C10" s="8" t="s">
        <v>129</v>
      </c>
      <c r="D10" s="18">
        <v>2025</v>
      </c>
      <c r="E10" s="7" t="str">
        <f>IFERROR(INDEX(Empresas!$H$2:$H$23,MATCH($A10,Empresas!$B$2:$B$23,0))&amp;"","")</f>
        <v>CLP</v>
      </c>
      <c r="F10" s="19">
        <v>54100904.168587998</v>
      </c>
      <c r="G10" s="19">
        <v>48301367.939980999</v>
      </c>
      <c r="H10" s="19">
        <v>5799536.2286069999</v>
      </c>
      <c r="I10" s="19">
        <v>2590986.315988</v>
      </c>
      <c r="J10" s="19">
        <v>28470163.891504001</v>
      </c>
      <c r="K10" s="19">
        <v>38354998.617995001</v>
      </c>
      <c r="L10" s="19">
        <v>3026042.7454269999</v>
      </c>
      <c r="M10" s="19">
        <v>-1130937.474686</v>
      </c>
      <c r="N10" s="19">
        <v>-381922.56441300001</v>
      </c>
      <c r="O10" s="19">
        <v>1513182.7063279999</v>
      </c>
      <c r="P10" s="19">
        <v>1192261.635639</v>
      </c>
      <c r="Q10" s="14">
        <v>164.06694030761719</v>
      </c>
      <c r="R10" s="4" t="s">
        <v>275</v>
      </c>
      <c r="S10" s="4"/>
    </row>
    <row r="11" spans="1:19" ht="15" customHeight="1" x14ac:dyDescent="0.2">
      <c r="A11" s="8" t="s">
        <v>132</v>
      </c>
      <c r="B11" s="8">
        <v>4</v>
      </c>
      <c r="C11" s="8" t="s">
        <v>129</v>
      </c>
      <c r="D11" s="18">
        <v>2017</v>
      </c>
      <c r="E11" s="7" t="str">
        <f>IFERROR(INDEX(Empresas!$H$2:$H$23,MATCH($A11,Empresas!$B$2:$B$23,0))&amp;"","")</f>
        <v>CLP</v>
      </c>
      <c r="F11" s="19">
        <v>33883396</v>
      </c>
      <c r="G11" s="19">
        <v>31155110</v>
      </c>
      <c r="H11" s="19">
        <v>2728286</v>
      </c>
      <c r="I11" s="19">
        <v>1495732</v>
      </c>
      <c r="J11" s="19">
        <v>20226470</v>
      </c>
      <c r="K11" s="19">
        <v>24130419</v>
      </c>
      <c r="L11" s="19">
        <v>1380702</v>
      </c>
      <c r="M11" s="19">
        <v>-741612</v>
      </c>
      <c r="N11" s="19">
        <v>-212653</v>
      </c>
      <c r="O11" s="19">
        <v>538979</v>
      </c>
      <c r="P11" s="19">
        <v>371425</v>
      </c>
      <c r="Q11" s="14">
        <v>20320.62890625</v>
      </c>
      <c r="R11" s="4" t="s">
        <v>267</v>
      </c>
      <c r="S11" s="4"/>
    </row>
    <row r="12" spans="1:19" ht="15" customHeight="1" x14ac:dyDescent="0.2">
      <c r="A12" s="8" t="s">
        <v>132</v>
      </c>
      <c r="B12" s="8">
        <v>4</v>
      </c>
      <c r="C12" s="8" t="s">
        <v>129</v>
      </c>
      <c r="D12" s="18">
        <v>2018</v>
      </c>
      <c r="E12" s="7" t="str">
        <f>IFERROR(INDEX(Empresas!$H$2:$H$23,MATCH($A12,Empresas!$B$2:$B$23,0))&amp;"","")</f>
        <v>CLP</v>
      </c>
      <c r="F12" s="19">
        <v>41349717</v>
      </c>
      <c r="G12" s="19">
        <v>37891354</v>
      </c>
      <c r="H12" s="19">
        <v>3458363</v>
      </c>
      <c r="I12" s="19">
        <v>2058757</v>
      </c>
      <c r="J12" s="19">
        <v>24551315</v>
      </c>
      <c r="K12" s="19">
        <v>29543095</v>
      </c>
      <c r="L12" s="19">
        <v>1585203</v>
      </c>
      <c r="M12" s="19">
        <v>-864277</v>
      </c>
      <c r="N12" s="19">
        <v>-266313</v>
      </c>
      <c r="O12" s="19">
        <v>519649</v>
      </c>
      <c r="P12" s="19">
        <v>395847</v>
      </c>
      <c r="Q12" s="14">
        <v>22217.955078125</v>
      </c>
      <c r="R12" s="4" t="s">
        <v>268</v>
      </c>
      <c r="S12" s="4"/>
    </row>
    <row r="13" spans="1:19" ht="15" customHeight="1" x14ac:dyDescent="0.2">
      <c r="A13" s="8" t="s">
        <v>132</v>
      </c>
      <c r="B13" s="8">
        <v>4</v>
      </c>
      <c r="C13" s="8" t="s">
        <v>129</v>
      </c>
      <c r="D13" s="18">
        <v>2019</v>
      </c>
      <c r="E13" s="7" t="str">
        <f>IFERROR(INDEX(Empresas!$H$2:$H$23,MATCH($A13,Empresas!$B$2:$B$23,0))&amp;"","")</f>
        <v>CLP</v>
      </c>
      <c r="F13" s="19">
        <v>50336620</v>
      </c>
      <c r="G13" s="19">
        <v>46544100</v>
      </c>
      <c r="H13" s="19">
        <v>3792520</v>
      </c>
      <c r="I13" s="19">
        <v>3153760</v>
      </c>
      <c r="J13" s="19">
        <v>27553455</v>
      </c>
      <c r="K13" s="19">
        <v>33212457</v>
      </c>
      <c r="L13" s="19">
        <v>1891788</v>
      </c>
      <c r="M13" s="19">
        <v>-957731</v>
      </c>
      <c r="N13" s="19">
        <v>-415519</v>
      </c>
      <c r="O13" s="19">
        <v>531176</v>
      </c>
      <c r="P13" s="19">
        <v>402739</v>
      </c>
      <c r="Q13" s="14">
        <v>17913.962890625</v>
      </c>
      <c r="R13" s="4" t="s">
        <v>269</v>
      </c>
      <c r="S13" s="4"/>
    </row>
    <row r="14" spans="1:19" ht="15" customHeight="1" x14ac:dyDescent="0.2">
      <c r="A14" s="8" t="s">
        <v>132</v>
      </c>
      <c r="B14" s="8">
        <v>4</v>
      </c>
      <c r="C14" s="8" t="s">
        <v>129</v>
      </c>
      <c r="D14" s="18">
        <v>2020</v>
      </c>
      <c r="E14" s="7" t="str">
        <f>IFERROR(INDEX(Empresas!$H$2:$H$23,MATCH($A14,Empresas!$B$2:$B$23,0))&amp;"","")</f>
        <v>CLP</v>
      </c>
      <c r="F14" s="19">
        <v>57156299</v>
      </c>
      <c r="G14" s="19">
        <v>53261594</v>
      </c>
      <c r="H14" s="19">
        <v>3894705</v>
      </c>
      <c r="I14" s="19">
        <v>4597867</v>
      </c>
      <c r="J14" s="19">
        <v>30566185</v>
      </c>
      <c r="K14" s="19">
        <v>34718681</v>
      </c>
      <c r="L14" s="19">
        <v>2032328</v>
      </c>
      <c r="M14" s="19">
        <v>-1035861</v>
      </c>
      <c r="N14" s="19">
        <v>-653911</v>
      </c>
      <c r="O14" s="19">
        <v>342198</v>
      </c>
      <c r="P14" s="19">
        <v>317533</v>
      </c>
      <c r="Q14" s="14">
        <v>15935.388671875</v>
      </c>
      <c r="R14" s="4" t="s">
        <v>270</v>
      </c>
      <c r="S14" s="4"/>
    </row>
    <row r="15" spans="1:19" ht="15" customHeight="1" x14ac:dyDescent="0.2">
      <c r="A15" s="8" t="s">
        <v>132</v>
      </c>
      <c r="B15" s="8">
        <v>4</v>
      </c>
      <c r="C15" s="8" t="s">
        <v>129</v>
      </c>
      <c r="D15" s="18">
        <v>2021</v>
      </c>
      <c r="E15" s="7" t="str">
        <f>IFERROR(INDEX(Empresas!$H$2:$H$23,MATCH($A15,Empresas!$B$2:$B$23,0))&amp;"","")</f>
        <v>CLP</v>
      </c>
      <c r="F15" s="19">
        <v>69158634</v>
      </c>
      <c r="G15" s="19">
        <v>64657158</v>
      </c>
      <c r="H15" s="19">
        <v>4501476</v>
      </c>
      <c r="I15" s="19">
        <v>3960497</v>
      </c>
      <c r="J15" s="19">
        <v>38518590</v>
      </c>
      <c r="K15" s="19">
        <v>40230382</v>
      </c>
      <c r="L15" s="19">
        <v>2161303</v>
      </c>
      <c r="M15" s="19">
        <v>-1041020</v>
      </c>
      <c r="N15" s="19">
        <v>-400545</v>
      </c>
      <c r="O15" s="19">
        <v>722028</v>
      </c>
      <c r="P15" s="19">
        <v>520545</v>
      </c>
      <c r="Q15" s="14">
        <v>15177.8173828125</v>
      </c>
      <c r="R15" s="4" t="s">
        <v>271</v>
      </c>
      <c r="S15" s="4"/>
    </row>
    <row r="16" spans="1:19" ht="15" customHeight="1" x14ac:dyDescent="0.2">
      <c r="A16" s="8" t="s">
        <v>132</v>
      </c>
      <c r="B16" s="8">
        <v>4</v>
      </c>
      <c r="C16" s="8" t="s">
        <v>129</v>
      </c>
      <c r="D16" s="18">
        <v>2022</v>
      </c>
      <c r="E16" s="7" t="str">
        <f>IFERROR(INDEX(Empresas!$H$2:$H$23,MATCH($A16,Empresas!$B$2:$B$23,0))&amp;"","")</f>
        <v>CLP</v>
      </c>
      <c r="F16" s="19">
        <v>78049118.166154996</v>
      </c>
      <c r="G16" s="19">
        <v>73272317.538882002</v>
      </c>
      <c r="H16" s="19">
        <v>4776800.6272729998</v>
      </c>
      <c r="I16" s="19">
        <v>4256396.4160589986</v>
      </c>
      <c r="J16" s="19">
        <v>42368129.176423997</v>
      </c>
      <c r="K16" s="19">
        <v>45299132.200947002</v>
      </c>
      <c r="L16" s="19">
        <v>2699088.4140150002</v>
      </c>
      <c r="M16" s="19">
        <v>-1292315.4004019999</v>
      </c>
      <c r="N16" s="19">
        <v>-494869.92851100001</v>
      </c>
      <c r="O16" s="19">
        <v>911903.08510199992</v>
      </c>
      <c r="P16" s="19">
        <v>821023.928571</v>
      </c>
      <c r="Q16" s="14">
        <v>16695.892578125</v>
      </c>
      <c r="R16" s="4" t="s">
        <v>272</v>
      </c>
      <c r="S16" s="4"/>
    </row>
    <row r="17" spans="1:19" ht="15" customHeight="1" x14ac:dyDescent="0.2">
      <c r="A17" s="8" t="s">
        <v>132</v>
      </c>
      <c r="B17" s="8">
        <v>4</v>
      </c>
      <c r="C17" s="8" t="s">
        <v>129</v>
      </c>
      <c r="D17" s="18">
        <v>2023</v>
      </c>
      <c r="E17" s="7" t="str">
        <f>IFERROR(INDEX(Empresas!$H$2:$H$23,MATCH($A17,Empresas!$B$2:$B$23,0))&amp;"","")</f>
        <v>CLP</v>
      </c>
      <c r="F17" s="19">
        <v>79301149.863406003</v>
      </c>
      <c r="G17" s="19">
        <v>73233774.757377997</v>
      </c>
      <c r="H17" s="19">
        <v>6067375.1060279999</v>
      </c>
      <c r="I17" s="19">
        <v>3619714.941106</v>
      </c>
      <c r="J17" s="19">
        <v>42252568.766438998</v>
      </c>
      <c r="K17" s="19">
        <v>48560149.001994997</v>
      </c>
      <c r="L17" s="19">
        <v>2520330.9611320002</v>
      </c>
      <c r="M17" s="19">
        <v>-1303099.8667250001</v>
      </c>
      <c r="N17" s="19">
        <v>-399255.84655700001</v>
      </c>
      <c r="O17" s="19">
        <v>817975.24784999993</v>
      </c>
      <c r="P17" s="19">
        <v>682571.16393399995</v>
      </c>
      <c r="Q17" s="14">
        <v>21731.919921875</v>
      </c>
      <c r="R17" s="4" t="s">
        <v>273</v>
      </c>
      <c r="S17" s="4"/>
    </row>
    <row r="18" spans="1:19" ht="15" customHeight="1" x14ac:dyDescent="0.2">
      <c r="A18" s="8" t="s">
        <v>132</v>
      </c>
      <c r="B18" s="8">
        <v>4</v>
      </c>
      <c r="C18" s="8" t="s">
        <v>129</v>
      </c>
      <c r="D18" s="18">
        <v>2024</v>
      </c>
      <c r="E18" s="7" t="str">
        <f>IFERROR(INDEX(Empresas!$H$2:$H$23,MATCH($A18,Empresas!$B$2:$B$23,0))&amp;"","")</f>
        <v>CLP</v>
      </c>
      <c r="F18" s="19">
        <v>83417634.908512995</v>
      </c>
      <c r="G18" s="19">
        <v>76419853.718308002</v>
      </c>
      <c r="H18" s="19">
        <v>6997781.1902049994</v>
      </c>
      <c r="I18" s="19">
        <v>3527185.3546560002</v>
      </c>
      <c r="J18" s="19">
        <v>48587690.164616004</v>
      </c>
      <c r="K18" s="19">
        <v>53496980.802787997</v>
      </c>
      <c r="L18" s="19">
        <v>2736882.2718779999</v>
      </c>
      <c r="M18" s="19">
        <v>-1337447.240986</v>
      </c>
      <c r="N18" s="19">
        <v>-321385.19598800002</v>
      </c>
      <c r="O18" s="19">
        <v>1078049.8349039999</v>
      </c>
      <c r="P18" s="19">
        <v>801718.21684399992</v>
      </c>
      <c r="Q18" s="14">
        <v>26066.39453125</v>
      </c>
      <c r="R18" s="4" t="s">
        <v>274</v>
      </c>
      <c r="S18" s="4"/>
    </row>
    <row r="19" spans="1:19" ht="15" customHeight="1" x14ac:dyDescent="0.2">
      <c r="A19" s="8" t="s">
        <v>132</v>
      </c>
      <c r="B19" s="8">
        <v>4</v>
      </c>
      <c r="C19" s="8" t="s">
        <v>129</v>
      </c>
      <c r="D19" s="18">
        <v>2025</v>
      </c>
      <c r="E19" s="7" t="str">
        <f>IFERROR(INDEX(Empresas!$H$2:$H$23,MATCH($A19,Empresas!$B$2:$B$23,0))&amp;"","")</f>
        <v>CLP</v>
      </c>
      <c r="F19" s="19">
        <v>81565559.103112996</v>
      </c>
      <c r="G19" s="19">
        <v>74119278.321266994</v>
      </c>
      <c r="H19" s="19">
        <v>7446280.7818459999</v>
      </c>
      <c r="I19" s="19">
        <v>3376961.5444649998</v>
      </c>
      <c r="J19" s="19">
        <v>46819281.310149997</v>
      </c>
      <c r="K19" s="19">
        <v>54786116.652241997</v>
      </c>
      <c r="L19" s="19">
        <v>3059164.5270230002</v>
      </c>
      <c r="M19" s="19">
        <v>-1580438.6938380001</v>
      </c>
      <c r="N19" s="19">
        <v>-312297.98461300001</v>
      </c>
      <c r="O19" s="19">
        <v>1166427.8485719999</v>
      </c>
      <c r="P19" s="19">
        <v>996212.12695800001</v>
      </c>
      <c r="Q19" s="14">
        <v>56961.52734375</v>
      </c>
      <c r="R19" s="4" t="s">
        <v>275</v>
      </c>
      <c r="S19" s="4"/>
    </row>
    <row r="20" spans="1:19" ht="15" customHeight="1" x14ac:dyDescent="0.2">
      <c r="A20" s="8" t="s">
        <v>134</v>
      </c>
      <c r="B20" s="8">
        <v>4</v>
      </c>
      <c r="C20" s="8" t="s">
        <v>129</v>
      </c>
      <c r="D20" s="18">
        <v>2017</v>
      </c>
      <c r="E20" s="7" t="str">
        <f>IFERROR(INDEX(Empresas!$H$2:$H$23,MATCH($A20,Empresas!$B$2:$B$23,0))&amp;"","")</f>
        <v>CLP</v>
      </c>
      <c r="F20" s="19">
        <v>35804279</v>
      </c>
      <c r="G20" s="19">
        <v>32696216</v>
      </c>
      <c r="H20" s="19">
        <v>3108063</v>
      </c>
      <c r="I20" s="19">
        <v>1452922</v>
      </c>
      <c r="J20" s="19">
        <v>19682111</v>
      </c>
      <c r="K20" s="19">
        <v>26747542</v>
      </c>
      <c r="L20" s="19">
        <v>1822669</v>
      </c>
      <c r="M20" s="19">
        <v>-806551</v>
      </c>
      <c r="N20" s="19">
        <v>-299205</v>
      </c>
      <c r="O20" s="19">
        <v>720876</v>
      </c>
      <c r="P20" s="19">
        <v>577263</v>
      </c>
      <c r="Q20" s="14">
        <v>30.922456741333011</v>
      </c>
      <c r="R20" s="4" t="s">
        <v>267</v>
      </c>
      <c r="S20" s="4"/>
    </row>
    <row r="21" spans="1:19" ht="15" customHeight="1" x14ac:dyDescent="0.2">
      <c r="A21" s="8" t="s">
        <v>134</v>
      </c>
      <c r="B21" s="8">
        <v>4</v>
      </c>
      <c r="C21" s="8" t="s">
        <v>129</v>
      </c>
      <c r="D21" s="18">
        <v>2018</v>
      </c>
      <c r="E21" s="7" t="str">
        <f>IFERROR(INDEX(Empresas!$H$2:$H$23,MATCH($A21,Empresas!$B$2:$B$23,0))&amp;"","")</f>
        <v>CLP</v>
      </c>
      <c r="F21" s="19">
        <v>39197356</v>
      </c>
      <c r="G21" s="19">
        <v>35911647</v>
      </c>
      <c r="H21" s="19">
        <v>3285709</v>
      </c>
      <c r="I21" s="19">
        <v>2065441</v>
      </c>
      <c r="J21" s="19">
        <v>21809236</v>
      </c>
      <c r="K21" s="19">
        <v>29470370</v>
      </c>
      <c r="L21" s="19">
        <v>1849861</v>
      </c>
      <c r="M21" s="19">
        <v>-767712</v>
      </c>
      <c r="N21" s="19">
        <v>-325085</v>
      </c>
      <c r="O21" s="19">
        <v>762159</v>
      </c>
      <c r="P21" s="19">
        <v>596262</v>
      </c>
      <c r="Q21" s="14">
        <v>34.662746429443359</v>
      </c>
      <c r="R21" s="4" t="s">
        <v>268</v>
      </c>
      <c r="S21" s="4"/>
    </row>
    <row r="22" spans="1:19" ht="15" customHeight="1" x14ac:dyDescent="0.2">
      <c r="A22" s="8" t="s">
        <v>134</v>
      </c>
      <c r="B22" s="8">
        <v>4</v>
      </c>
      <c r="C22" s="8" t="s">
        <v>129</v>
      </c>
      <c r="D22" s="18">
        <v>2019</v>
      </c>
      <c r="E22" s="7" t="str">
        <f>IFERROR(INDEX(Empresas!$H$2:$H$23,MATCH($A22,Empresas!$B$2:$B$23,0))&amp;"","")</f>
        <v>CLP</v>
      </c>
      <c r="F22" s="19">
        <v>50578246</v>
      </c>
      <c r="G22" s="19">
        <v>47107929</v>
      </c>
      <c r="H22" s="19">
        <v>3470317</v>
      </c>
      <c r="I22" s="19">
        <v>3554520</v>
      </c>
      <c r="J22" s="19">
        <v>23490249</v>
      </c>
      <c r="K22" s="19">
        <v>31823735</v>
      </c>
      <c r="L22" s="19">
        <v>1935554</v>
      </c>
      <c r="M22" s="19">
        <v>-813608</v>
      </c>
      <c r="N22" s="19">
        <v>-420447</v>
      </c>
      <c r="O22" s="19">
        <v>702645</v>
      </c>
      <c r="P22" s="19">
        <v>554176</v>
      </c>
      <c r="Q22" s="14">
        <v>29.938381195068359</v>
      </c>
      <c r="R22" s="4" t="s">
        <v>269</v>
      </c>
      <c r="S22" s="4"/>
    </row>
    <row r="23" spans="1:19" ht="15" customHeight="1" x14ac:dyDescent="0.2">
      <c r="A23" s="8" t="s">
        <v>134</v>
      </c>
      <c r="B23" s="8">
        <v>4</v>
      </c>
      <c r="C23" s="8" t="s">
        <v>129</v>
      </c>
      <c r="D23" s="18">
        <v>2020</v>
      </c>
      <c r="E23" s="7" t="str">
        <f>IFERROR(INDEX(Empresas!$H$2:$H$23,MATCH($A23,Empresas!$B$2:$B$23,0))&amp;"","")</f>
        <v>CLP</v>
      </c>
      <c r="F23" s="19">
        <v>55776077</v>
      </c>
      <c r="G23" s="19">
        <v>52123478</v>
      </c>
      <c r="H23" s="19">
        <v>3652599</v>
      </c>
      <c r="I23" s="19">
        <v>2803288</v>
      </c>
      <c r="J23" s="19">
        <v>25142684</v>
      </c>
      <c r="K23" s="19">
        <v>33413429</v>
      </c>
      <c r="L23" s="19">
        <v>2024363</v>
      </c>
      <c r="M23" s="19">
        <v>-860992</v>
      </c>
      <c r="N23" s="19">
        <v>-511073</v>
      </c>
      <c r="O23" s="19">
        <v>653686</v>
      </c>
      <c r="P23" s="19">
        <v>522563</v>
      </c>
      <c r="Q23" s="14">
        <v>25.03562164306641</v>
      </c>
      <c r="R23" s="4" t="s">
        <v>270</v>
      </c>
      <c r="S23" s="4"/>
    </row>
    <row r="24" spans="1:19" ht="15" customHeight="1" x14ac:dyDescent="0.2">
      <c r="A24" s="8" t="s">
        <v>134</v>
      </c>
      <c r="B24" s="8">
        <v>4</v>
      </c>
      <c r="C24" s="8" t="s">
        <v>129</v>
      </c>
      <c r="D24" s="18">
        <v>2021</v>
      </c>
      <c r="E24" s="7" t="str">
        <f>IFERROR(INDEX(Empresas!$H$2:$H$23,MATCH($A24,Empresas!$B$2:$B$23,0))&amp;"","")</f>
        <v>CLP</v>
      </c>
      <c r="F24" s="19">
        <v>63671025</v>
      </c>
      <c r="G24" s="19">
        <v>60176445</v>
      </c>
      <c r="H24" s="19">
        <v>3494580</v>
      </c>
      <c r="I24" s="19">
        <v>2881558</v>
      </c>
      <c r="J24" s="19">
        <v>28031993</v>
      </c>
      <c r="K24" s="19">
        <v>35675579</v>
      </c>
      <c r="L24" s="19">
        <v>2302755</v>
      </c>
      <c r="M24" s="19">
        <v>-916918</v>
      </c>
      <c r="N24" s="19">
        <v>-405575</v>
      </c>
      <c r="O24" s="19">
        <v>979599</v>
      </c>
      <c r="P24" s="19">
        <v>784920</v>
      </c>
      <c r="Q24" s="14">
        <v>26.139644622802731</v>
      </c>
      <c r="R24" s="4" t="s">
        <v>271</v>
      </c>
      <c r="S24" s="4"/>
    </row>
    <row r="25" spans="1:19" ht="15" customHeight="1" x14ac:dyDescent="0.2">
      <c r="A25" s="8" t="s">
        <v>134</v>
      </c>
      <c r="B25" s="8">
        <v>4</v>
      </c>
      <c r="C25" s="8" t="s">
        <v>129</v>
      </c>
      <c r="D25" s="18">
        <v>2022</v>
      </c>
      <c r="E25" s="7" t="str">
        <f>IFERROR(INDEX(Empresas!$H$2:$H$23,MATCH($A25,Empresas!$B$2:$B$23,0))&amp;"","")</f>
        <v>CLP</v>
      </c>
      <c r="F25" s="19">
        <v>68164602.712428004</v>
      </c>
      <c r="G25" s="19">
        <v>63926231.176743999</v>
      </c>
      <c r="H25" s="19">
        <v>4238371.5356839998</v>
      </c>
      <c r="I25" s="19">
        <v>1982942.1367309999</v>
      </c>
      <c r="J25" s="19">
        <v>27065015.083902001</v>
      </c>
      <c r="K25" s="19">
        <v>37659885.581944987</v>
      </c>
      <c r="L25" s="19">
        <v>2245338.5874680001</v>
      </c>
      <c r="M25" s="19">
        <v>-961324.60884100001</v>
      </c>
      <c r="N25" s="19">
        <v>-370726.64324900002</v>
      </c>
      <c r="O25" s="19">
        <v>913287.33537799993</v>
      </c>
      <c r="P25" s="19">
        <v>823857.06764699996</v>
      </c>
      <c r="Q25" s="14">
        <v>27.423786163330082</v>
      </c>
      <c r="R25" s="4" t="s">
        <v>272</v>
      </c>
      <c r="S25" s="4"/>
    </row>
    <row r="26" spans="1:19" ht="15" customHeight="1" x14ac:dyDescent="0.2">
      <c r="A26" s="8" t="s">
        <v>134</v>
      </c>
      <c r="B26" s="8">
        <v>4</v>
      </c>
      <c r="C26" s="8" t="s">
        <v>129</v>
      </c>
      <c r="D26" s="18">
        <v>2023</v>
      </c>
      <c r="E26" s="7" t="str">
        <f>IFERROR(INDEX(Empresas!$H$2:$H$23,MATCH($A26,Empresas!$B$2:$B$23,0))&amp;"","")</f>
        <v>CLP</v>
      </c>
      <c r="F26" s="19">
        <v>70857886.050363004</v>
      </c>
      <c r="G26" s="19">
        <v>66365992.670146003</v>
      </c>
      <c r="H26" s="19">
        <v>4491893.3802169999</v>
      </c>
      <c r="I26" s="19">
        <v>2723282.2756690001</v>
      </c>
      <c r="J26" s="19">
        <v>29675768.177255999</v>
      </c>
      <c r="K26" s="19">
        <v>39589456.918325998</v>
      </c>
      <c r="L26" s="19">
        <v>1950444.2289160001</v>
      </c>
      <c r="M26" s="19">
        <v>-909696.72452699998</v>
      </c>
      <c r="N26" s="19">
        <v>-473592.57853399997</v>
      </c>
      <c r="O26" s="19">
        <v>567154.92585499992</v>
      </c>
      <c r="P26" s="19">
        <v>510813.64725799998</v>
      </c>
      <c r="Q26" s="14">
        <v>37.267143249511719</v>
      </c>
      <c r="R26" s="4" t="s">
        <v>273</v>
      </c>
      <c r="S26" s="4"/>
    </row>
    <row r="27" spans="1:19" ht="15" customHeight="1" x14ac:dyDescent="0.2">
      <c r="A27" s="8" t="s">
        <v>134</v>
      </c>
      <c r="B27" s="8">
        <v>4</v>
      </c>
      <c r="C27" s="8" t="s">
        <v>129</v>
      </c>
      <c r="D27" s="18">
        <v>2024</v>
      </c>
      <c r="E27" s="7" t="str">
        <f>IFERROR(INDEX(Empresas!$H$2:$H$23,MATCH($A27,Empresas!$B$2:$B$23,0))&amp;"","")</f>
        <v>CLP</v>
      </c>
      <c r="F27" s="19">
        <v>68458932.329302996</v>
      </c>
      <c r="G27" s="19">
        <v>64062098.870479994</v>
      </c>
      <c r="H27" s="19">
        <v>4396833.4588230001</v>
      </c>
      <c r="I27" s="19">
        <v>2695559.7375710001</v>
      </c>
      <c r="J27" s="19">
        <v>31359234.204452999</v>
      </c>
      <c r="K27" s="19">
        <v>40078239.978981003</v>
      </c>
      <c r="L27" s="19">
        <v>2622870.0014960002</v>
      </c>
      <c r="M27" s="19">
        <v>-1022719.192652</v>
      </c>
      <c r="N27" s="19">
        <v>-525831.27857800003</v>
      </c>
      <c r="O27" s="19">
        <v>1074319.530266</v>
      </c>
      <c r="P27" s="19">
        <v>864508.77487099997</v>
      </c>
      <c r="Q27" s="14">
        <v>42.725341796875</v>
      </c>
      <c r="R27" s="4" t="s">
        <v>274</v>
      </c>
      <c r="S27" s="4"/>
    </row>
    <row r="28" spans="1:19" ht="15" customHeight="1" x14ac:dyDescent="0.2">
      <c r="A28" s="8" t="s">
        <v>134</v>
      </c>
      <c r="B28" s="8">
        <v>4</v>
      </c>
      <c r="C28" s="8" t="s">
        <v>129</v>
      </c>
      <c r="D28" s="18">
        <v>2025</v>
      </c>
      <c r="E28" s="7" t="str">
        <f>IFERROR(INDEX(Empresas!$H$2:$H$23,MATCH($A28,Empresas!$B$2:$B$23,0))&amp;"","")</f>
        <v>CLP</v>
      </c>
      <c r="F28" s="19">
        <v>68094955.822457999</v>
      </c>
      <c r="G28" s="19">
        <v>63255316.842142999</v>
      </c>
      <c r="H28" s="19">
        <v>4839638.9803149998</v>
      </c>
      <c r="I28" s="19">
        <v>1975644.39867</v>
      </c>
      <c r="J28" s="19">
        <v>30569372.490284</v>
      </c>
      <c r="K28" s="19">
        <v>39523603.155395001</v>
      </c>
      <c r="L28" s="19">
        <v>2891433.7650759998</v>
      </c>
      <c r="M28" s="19">
        <v>-1041115.963349</v>
      </c>
      <c r="N28" s="19">
        <v>-572771.72173500003</v>
      </c>
      <c r="O28" s="19">
        <v>1277546.079992</v>
      </c>
      <c r="P28" s="19">
        <v>1069611.5915059999</v>
      </c>
      <c r="Q28" s="14">
        <v>67.878067016601562</v>
      </c>
      <c r="R28" s="4" t="s">
        <v>275</v>
      </c>
      <c r="S28" s="4"/>
    </row>
    <row r="29" spans="1:19" ht="15" customHeight="1" x14ac:dyDescent="0.2">
      <c r="A29" s="8" t="s">
        <v>136</v>
      </c>
      <c r="B29" s="8">
        <v>4</v>
      </c>
      <c r="C29" s="8" t="s">
        <v>129</v>
      </c>
      <c r="D29" s="18">
        <v>2017</v>
      </c>
      <c r="E29" s="7" t="str">
        <f>IFERROR(INDEX(Empresas!$H$2:$H$23,MATCH($A29,Empresas!$B$2:$B$23,0))&amp;"","")</f>
        <v>CLP</v>
      </c>
      <c r="F29" s="19">
        <v>28096492</v>
      </c>
      <c r="G29" s="19">
        <v>24696662</v>
      </c>
      <c r="H29" s="19">
        <v>3399830</v>
      </c>
      <c r="I29" s="19">
        <v>964030</v>
      </c>
      <c r="J29" s="19">
        <v>14206910</v>
      </c>
      <c r="K29" s="19">
        <v>19767434</v>
      </c>
      <c r="L29" s="19">
        <v>1054213</v>
      </c>
      <c r="M29" s="19">
        <v>-729170</v>
      </c>
      <c r="N29" s="19">
        <v>-339118</v>
      </c>
      <c r="O29" s="19">
        <v>-12596</v>
      </c>
      <c r="P29" s="19">
        <v>53314</v>
      </c>
      <c r="Q29" s="14">
        <v>17278.591796875</v>
      </c>
      <c r="R29" s="4" t="s">
        <v>267</v>
      </c>
      <c r="S29" s="4"/>
    </row>
    <row r="30" spans="1:19" ht="15" customHeight="1" x14ac:dyDescent="0.2">
      <c r="A30" s="8" t="s">
        <v>136</v>
      </c>
      <c r="B30" s="8">
        <v>4</v>
      </c>
      <c r="C30" s="8" t="s">
        <v>129</v>
      </c>
      <c r="D30" s="18">
        <v>2018</v>
      </c>
      <c r="E30" s="7" t="str">
        <f>IFERROR(INDEX(Empresas!$H$2:$H$23,MATCH($A30,Empresas!$B$2:$B$23,0))&amp;"","")</f>
        <v>CLP</v>
      </c>
      <c r="F30" s="19">
        <v>29501905</v>
      </c>
      <c r="G30" s="19">
        <v>25954293</v>
      </c>
      <c r="H30" s="19">
        <v>3547612</v>
      </c>
      <c r="I30" s="19">
        <v>987680</v>
      </c>
      <c r="J30" s="19">
        <v>14421586</v>
      </c>
      <c r="K30" s="19">
        <v>20880186</v>
      </c>
      <c r="L30" s="19">
        <v>1245153</v>
      </c>
      <c r="M30" s="19">
        <v>-749451</v>
      </c>
      <c r="N30" s="19">
        <v>-242490</v>
      </c>
      <c r="O30" s="19">
        <v>254740</v>
      </c>
      <c r="P30" s="19">
        <v>176846</v>
      </c>
      <c r="Q30" s="14">
        <v>20158.298828125</v>
      </c>
      <c r="R30" s="4" t="s">
        <v>268</v>
      </c>
      <c r="S30" s="4"/>
    </row>
    <row r="31" spans="1:19" ht="15" customHeight="1" x14ac:dyDescent="0.2">
      <c r="A31" s="8" t="s">
        <v>136</v>
      </c>
      <c r="B31" s="8">
        <v>4</v>
      </c>
      <c r="C31" s="8" t="s">
        <v>129</v>
      </c>
      <c r="D31" s="18">
        <v>2019</v>
      </c>
      <c r="E31" s="7" t="str">
        <f>IFERROR(INDEX(Empresas!$H$2:$H$23,MATCH($A31,Empresas!$B$2:$B$23,0))&amp;"","")</f>
        <v>CLP</v>
      </c>
      <c r="F31" s="19">
        <v>33785687</v>
      </c>
      <c r="G31" s="19">
        <v>30345302</v>
      </c>
      <c r="H31" s="19">
        <v>3440385</v>
      </c>
      <c r="I31" s="19">
        <v>1009681</v>
      </c>
      <c r="J31" s="19">
        <v>16493635</v>
      </c>
      <c r="K31" s="19">
        <v>22418942</v>
      </c>
      <c r="L31" s="19">
        <v>1236084</v>
      </c>
      <c r="M31" s="19">
        <v>-740975</v>
      </c>
      <c r="N31" s="19">
        <v>-322693</v>
      </c>
      <c r="O31" s="19">
        <v>179248</v>
      </c>
      <c r="P31" s="19">
        <v>132464</v>
      </c>
      <c r="Q31" s="14">
        <v>13793</v>
      </c>
      <c r="R31" s="4" t="s">
        <v>269</v>
      </c>
      <c r="S31" s="4"/>
    </row>
    <row r="32" spans="1:19" ht="15" customHeight="1" x14ac:dyDescent="0.2">
      <c r="A32" s="8" t="s">
        <v>136</v>
      </c>
      <c r="B32" s="8">
        <v>4</v>
      </c>
      <c r="C32" s="8" t="s">
        <v>129</v>
      </c>
      <c r="D32" s="18">
        <v>2020</v>
      </c>
      <c r="E32" s="7" t="str">
        <f>IFERROR(INDEX(Empresas!$H$2:$H$23,MATCH($A32,Empresas!$B$2:$B$23,0))&amp;"","")</f>
        <v>CLP</v>
      </c>
      <c r="F32" s="19">
        <v>35687490</v>
      </c>
      <c r="G32" s="19">
        <v>33299164</v>
      </c>
      <c r="H32" s="19">
        <v>2388326</v>
      </c>
      <c r="I32" s="19">
        <v>3089072</v>
      </c>
      <c r="J32" s="19">
        <v>17630470</v>
      </c>
      <c r="K32" s="19">
        <v>21731758</v>
      </c>
      <c r="L32" s="19">
        <v>1078433</v>
      </c>
      <c r="M32" s="19">
        <v>-1627914</v>
      </c>
      <c r="N32" s="19">
        <v>-528459</v>
      </c>
      <c r="O32" s="19">
        <v>-1079279</v>
      </c>
      <c r="P32" s="19">
        <v>-938617</v>
      </c>
      <c r="Q32" s="14">
        <v>8234.7822265625</v>
      </c>
      <c r="R32" s="4" t="s">
        <v>270</v>
      </c>
      <c r="S32" s="4"/>
    </row>
    <row r="33" spans="1:19" ht="15" customHeight="1" x14ac:dyDescent="0.2">
      <c r="A33" s="8" t="s">
        <v>136</v>
      </c>
      <c r="B33" s="8">
        <v>4</v>
      </c>
      <c r="C33" s="8" t="s">
        <v>129</v>
      </c>
      <c r="D33" s="18">
        <v>2021</v>
      </c>
      <c r="E33" s="7" t="str">
        <f>IFERROR(INDEX(Empresas!$H$2:$H$23,MATCH($A33,Empresas!$B$2:$B$23,0))&amp;"","")</f>
        <v>CLP</v>
      </c>
      <c r="F33" s="19">
        <v>37823050</v>
      </c>
      <c r="G33" s="19">
        <v>34470708</v>
      </c>
      <c r="H33" s="19">
        <v>3352342</v>
      </c>
      <c r="I33" s="19">
        <v>3473392</v>
      </c>
      <c r="J33" s="19">
        <v>17673538</v>
      </c>
      <c r="K33" s="19">
        <v>23992375</v>
      </c>
      <c r="L33" s="19">
        <v>1326196</v>
      </c>
      <c r="M33" s="19">
        <v>-714897</v>
      </c>
      <c r="N33" s="19">
        <v>-221686</v>
      </c>
      <c r="O33" s="19">
        <v>391196</v>
      </c>
      <c r="P33" s="19">
        <v>278810</v>
      </c>
      <c r="Q33" s="14">
        <v>5678.2099609375</v>
      </c>
      <c r="R33" s="4" t="s">
        <v>271</v>
      </c>
      <c r="S33" s="4"/>
    </row>
    <row r="34" spans="1:19" ht="15" customHeight="1" x14ac:dyDescent="0.2">
      <c r="A34" s="8" t="s">
        <v>136</v>
      </c>
      <c r="B34" s="8">
        <v>4</v>
      </c>
      <c r="C34" s="8" t="s">
        <v>129</v>
      </c>
      <c r="D34" s="18">
        <v>2022</v>
      </c>
      <c r="E34" s="7" t="str">
        <f>IFERROR(INDEX(Empresas!$H$2:$H$23,MATCH($A34,Empresas!$B$2:$B$23,0))&amp;"","")</f>
        <v>CLP</v>
      </c>
      <c r="F34" s="19">
        <v>40536478.400314003</v>
      </c>
      <c r="G34" s="19">
        <v>37213719.336515002</v>
      </c>
      <c r="H34" s="19">
        <v>3322759.0637989999</v>
      </c>
      <c r="I34" s="19">
        <v>3043243.1612320002</v>
      </c>
      <c r="J34" s="19">
        <v>18258838.082770001</v>
      </c>
      <c r="K34" s="19">
        <v>25934948.525336001</v>
      </c>
      <c r="L34" s="19">
        <v>1449280.449396</v>
      </c>
      <c r="M34" s="19">
        <v>-755052.41957899998</v>
      </c>
      <c r="N34" s="19">
        <v>-291949.23254300002</v>
      </c>
      <c r="O34" s="19">
        <v>402278.79727400001</v>
      </c>
      <c r="P34" s="19">
        <v>433785.282122</v>
      </c>
      <c r="Q34" s="14">
        <v>6784.779296875</v>
      </c>
      <c r="R34" s="4" t="s">
        <v>272</v>
      </c>
      <c r="S34" s="4"/>
    </row>
    <row r="35" spans="1:19" ht="15" customHeight="1" x14ac:dyDescent="0.2">
      <c r="A35" s="8" t="s">
        <v>136</v>
      </c>
      <c r="B35" s="8">
        <v>4</v>
      </c>
      <c r="C35" s="8" t="s">
        <v>129</v>
      </c>
      <c r="D35" s="18">
        <v>2023</v>
      </c>
      <c r="E35" s="7" t="str">
        <f>IFERROR(INDEX(Empresas!$H$2:$H$23,MATCH($A35,Empresas!$B$2:$B$23,0))&amp;"","")</f>
        <v>CLP</v>
      </c>
      <c r="F35" s="19">
        <v>41996219.528377987</v>
      </c>
      <c r="G35" s="19">
        <v>38259682.701375999</v>
      </c>
      <c r="H35" s="19">
        <v>3736536.8270020001</v>
      </c>
      <c r="I35" s="19">
        <v>2457793.162548</v>
      </c>
      <c r="J35" s="19">
        <v>19791305.797297001</v>
      </c>
      <c r="K35" s="19">
        <v>26770106.476583</v>
      </c>
      <c r="L35" s="19">
        <v>1501993.5102359999</v>
      </c>
      <c r="M35" s="19">
        <v>-767249.64735799993</v>
      </c>
      <c r="N35" s="19">
        <v>-350077.06658300001</v>
      </c>
      <c r="O35" s="19">
        <v>384666.79629500001</v>
      </c>
      <c r="P35" s="19">
        <v>354883.22610999999</v>
      </c>
      <c r="Q35" s="14">
        <v>7428.013671875</v>
      </c>
      <c r="R35" s="4" t="s">
        <v>273</v>
      </c>
      <c r="S35" s="4"/>
    </row>
    <row r="36" spans="1:19" ht="15" customHeight="1" x14ac:dyDescent="0.2">
      <c r="A36" s="8" t="s">
        <v>136</v>
      </c>
      <c r="B36" s="8">
        <v>4</v>
      </c>
      <c r="C36" s="8" t="s">
        <v>129</v>
      </c>
      <c r="D36" s="18">
        <v>2024</v>
      </c>
      <c r="E36" s="7" t="str">
        <f>IFERROR(INDEX(Empresas!$H$2:$H$23,MATCH($A36,Empresas!$B$2:$B$23,0))&amp;"","")</f>
        <v>CLP</v>
      </c>
      <c r="F36" s="19">
        <v>42549684.443195</v>
      </c>
      <c r="G36" s="19">
        <v>38574853.636060998</v>
      </c>
      <c r="H36" s="19">
        <v>3974830.8071340001</v>
      </c>
      <c r="I36" s="19">
        <v>3345968.6592069999</v>
      </c>
      <c r="J36" s="19">
        <v>20826565.193034999</v>
      </c>
      <c r="K36" s="19">
        <v>27073368.416225001</v>
      </c>
      <c r="L36" s="19">
        <v>1625749.9260750001</v>
      </c>
      <c r="M36" s="19">
        <v>-808823.55669799994</v>
      </c>
      <c r="N36" s="19">
        <v>-323854.66713800002</v>
      </c>
      <c r="O36" s="19">
        <v>493071.70223900001</v>
      </c>
      <c r="P36" s="19">
        <v>376701.64374600002</v>
      </c>
      <c r="Q36" s="14">
        <v>9235.115234375</v>
      </c>
      <c r="R36" s="4" t="s">
        <v>274</v>
      </c>
      <c r="S36" s="4"/>
    </row>
    <row r="37" spans="1:19" ht="15" customHeight="1" x14ac:dyDescent="0.2">
      <c r="A37" s="8" t="s">
        <v>136</v>
      </c>
      <c r="B37" s="8">
        <v>4</v>
      </c>
      <c r="C37" s="8" t="s">
        <v>129</v>
      </c>
      <c r="D37" s="18">
        <v>2025</v>
      </c>
      <c r="E37" s="7" t="str">
        <f>IFERROR(INDEX(Empresas!$H$2:$H$23,MATCH($A37,Empresas!$B$2:$B$23,0))&amp;"","")</f>
        <v>CLP</v>
      </c>
      <c r="F37" s="19">
        <v>43916278.089602999</v>
      </c>
      <c r="G37" s="19">
        <v>39607525.368136987</v>
      </c>
      <c r="H37" s="19">
        <v>4308752.7214660002</v>
      </c>
      <c r="I37" s="19">
        <v>2892660.292231</v>
      </c>
      <c r="J37" s="19">
        <v>21456814.478452001</v>
      </c>
      <c r="K37" s="19">
        <v>28119106.173955999</v>
      </c>
      <c r="L37" s="19">
        <v>1518132.9963809999</v>
      </c>
      <c r="M37" s="19">
        <v>-834788.79582</v>
      </c>
      <c r="N37" s="19">
        <v>-319328.38722199999</v>
      </c>
      <c r="O37" s="19">
        <v>364015.81333899999</v>
      </c>
      <c r="P37" s="19">
        <v>428108.52519999997</v>
      </c>
      <c r="Q37" s="14">
        <v>18837.978515625</v>
      </c>
      <c r="R37" s="4" t="s">
        <v>275</v>
      </c>
      <c r="S3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3"/>
  <sheetViews>
    <sheetView zoomScaleNormal="100" workbookViewId="0">
      <pane xSplit="4" ySplit="1" topLeftCell="E29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3" customWidth="1"/>
    <col min="2" max="2" width="7" customWidth="1"/>
    <col min="3" max="3" width="30" customWidth="1"/>
    <col min="4" max="4" width="7" customWidth="1"/>
    <col min="5" max="5" width="15" customWidth="1"/>
    <col min="6" max="6" width="11" customWidth="1"/>
    <col min="7" max="7" width="12" customWidth="1"/>
    <col min="8" max="8" width="11" customWidth="1"/>
    <col min="9" max="9" width="12" customWidth="1"/>
    <col min="10" max="10" width="13" customWidth="1"/>
    <col min="11" max="12" width="11" customWidth="1"/>
    <col min="13" max="14" width="12" customWidth="1"/>
    <col min="15" max="15" width="10" customWidth="1"/>
    <col min="16" max="16" width="12" customWidth="1"/>
  </cols>
  <sheetData>
    <row r="1" spans="1:16" ht="42" customHeight="1" x14ac:dyDescent="0.2">
      <c r="A1" s="12" t="s">
        <v>252</v>
      </c>
      <c r="B1" s="12" t="s">
        <v>253</v>
      </c>
      <c r="C1" s="12" t="s">
        <v>254</v>
      </c>
      <c r="D1" s="12" t="s">
        <v>255</v>
      </c>
      <c r="E1" s="12" t="s">
        <v>29</v>
      </c>
      <c r="F1" s="12" t="s">
        <v>276</v>
      </c>
      <c r="G1" s="12" t="s">
        <v>277</v>
      </c>
      <c r="H1" s="12" t="s">
        <v>278</v>
      </c>
      <c r="I1" s="12" t="s">
        <v>279</v>
      </c>
      <c r="J1" s="12" t="s">
        <v>280</v>
      </c>
      <c r="K1" s="12" t="s">
        <v>281</v>
      </c>
      <c r="L1" s="12" t="s">
        <v>282</v>
      </c>
      <c r="M1" s="12" t="s">
        <v>283</v>
      </c>
      <c r="N1" s="12" t="s">
        <v>284</v>
      </c>
      <c r="O1" s="12" t="s">
        <v>285</v>
      </c>
      <c r="P1" s="12" t="s">
        <v>286</v>
      </c>
    </row>
    <row r="2" spans="1:16" ht="15" customHeight="1" x14ac:dyDescent="0.2">
      <c r="A2" s="20" t="str">
        <f>Captura_NoFin!A2</f>
        <v>AGUAS-A</v>
      </c>
      <c r="B2" s="20">
        <f>Captura_NoFin!B2</f>
        <v>1</v>
      </c>
      <c r="C2" s="20" t="str">
        <f>Captura_NoFin!C2</f>
        <v>Servicios básicos e infraestructura</v>
      </c>
      <c r="D2" s="21">
        <f>Captura_NoFin!D2</f>
        <v>2017</v>
      </c>
      <c r="E2" s="22">
        <f>IF(COUNT(Captura_NoFin!M2,Captura_NoFin!L2)&lt;2,"",Captura_NoFin!M2+ABS(Captura_NoFin!L2))</f>
        <v>220935136</v>
      </c>
      <c r="F2" s="23">
        <f>IF(COUNT(Captura_NoFin!F2,Captura_NoFin!G2)&lt;2,"",IFERROR(Captura_NoFin!F2/Captura_NoFin!G2,""))</f>
        <v>0.63522226887108235</v>
      </c>
      <c r="G2" s="24">
        <f>IF(COUNT(Captura_NoFin!F2,Captura_NoFin!G2,Captura_NoFin!H2)&lt;3,"",IFERROR((Captura_NoFin!F2-Captura_NoFin!G2)/Captura_NoFin!H2,""))</f>
        <v>-4.8135176224130737E-2</v>
      </c>
      <c r="H2" s="24">
        <f>IF(OR(E2="",COUNT(Captura_NoFin!K2)&lt;1),"",IFERROR(E2/Captura_NoFin!K2,""))</f>
        <v>0.43359674572099877</v>
      </c>
      <c r="I2" s="24">
        <f>IF(COUNT(Captura_NoFin!N2,Captura_NoFin!H2)&lt;2,"",IFERROR(Captura_NoFin!N2/Captura_NoFin!H2,""))</f>
        <v>7.9850764736819374E-2</v>
      </c>
      <c r="J2" s="24">
        <f>IF(COUNT(Captura_NoFin!I2,Captura_NoFin!H2)&lt;2,"",IFERROR(Captura_NoFin!I2/Captura_NoFin!H2,""))</f>
        <v>0.61416487215260751</v>
      </c>
      <c r="K2" s="23">
        <f>IF(OR(E2="",COUNT(Captura_NoFin!L2)&lt;1),"",IFERROR(E2/ABS(Captura_NoFin!L2),""))</f>
        <v>7.1012247327082463</v>
      </c>
      <c r="L2" s="23">
        <f>IF(COUNT(Captura_NoFin!K2,Captura_NoFin!H2)&lt;2,"",IFERROR(Captura_NoFin!K2/Captura_NoFin!H2,""))</f>
        <v>0.28356959754381744</v>
      </c>
      <c r="M2" s="24">
        <f>IF(COUNT(Captura_NoFin!R2)&lt;1,"",IFERROR(IF(D2=2017,Captura_NoFin!R2/INDEX(Empresas!$I$2:$I$23,MATCH($A2,Empresas!$B$2:$B$23,0))-1,IF(COUNT(Captura_NoFin!R1)&lt;1,"",Captura_NoFin!R2/Captura_NoFin!R1-1)),""))</f>
        <v>0.2381877267327388</v>
      </c>
      <c r="N2" s="24">
        <f>IF(COUNT(Captura_NoFin!P2,Captura_NoFin!O2)&lt;2,"",IF(Captura_NoFin!O2&lt;=0,"",Captura_NoFin!P2/Captura_NoFin!O2))</f>
        <v>0.21726360643518261</v>
      </c>
      <c r="O2" s="25">
        <f t="shared" ref="O2:O33" si="0">COUNT(F2:M2)</f>
        <v>8</v>
      </c>
      <c r="P2" s="26" t="str">
        <f>IF(COUNT(Captura_NoFin!H2,Captura_NoFin!I2,Captura_NoFin!J2)&lt;3,"",IF(ABS(Captura_NoFin!H2-Captura_NoFin!I2-Captura_NoFin!J2)&lt;=0.005*ABS(Captura_NoFin!H2),"OK","REVISAR"))</f>
        <v>OK</v>
      </c>
    </row>
    <row r="3" spans="1:16" ht="15" customHeight="1" x14ac:dyDescent="0.2">
      <c r="A3" s="20" t="str">
        <f>Captura_NoFin!A3</f>
        <v>AGUAS-A</v>
      </c>
      <c r="B3" s="20">
        <f>Captura_NoFin!B3</f>
        <v>1</v>
      </c>
      <c r="C3" s="20" t="str">
        <f>Captura_NoFin!C3</f>
        <v>Servicios básicos e infraestructura</v>
      </c>
      <c r="D3" s="21">
        <f>Captura_NoFin!D3</f>
        <v>2018</v>
      </c>
      <c r="E3" s="22">
        <f>IF(COUNT(Captura_NoFin!M3,Captura_NoFin!L3)&lt;2,"",Captura_NoFin!M3+ABS(Captura_NoFin!L3))</f>
        <v>215821562</v>
      </c>
      <c r="F3" s="23">
        <f>IF(COUNT(Captura_NoFin!F3,Captura_NoFin!G3)&lt;2,"",IFERROR(Captura_NoFin!F3/Captura_NoFin!G3,""))</f>
        <v>0.69542340064765329</v>
      </c>
      <c r="G3" s="24">
        <f>IF(COUNT(Captura_NoFin!F3,Captura_NoFin!G3,Captura_NoFin!H3)&lt;3,"",IFERROR((Captura_NoFin!F3-Captura_NoFin!G3)/Captura_NoFin!H3,""))</f>
        <v>-3.8721161944482607E-2</v>
      </c>
      <c r="H3" s="24">
        <f>IF(OR(E3="",COUNT(Captura_NoFin!K3)&lt;1),"",IFERROR(E3/Captura_NoFin!K3,""))</f>
        <v>0.40689980714348145</v>
      </c>
      <c r="I3" s="24">
        <f>IF(COUNT(Captura_NoFin!N3,Captura_NoFin!H3)&lt;2,"",IFERROR(Captura_NoFin!N3/Captura_NoFin!H3,""))</f>
        <v>7.3092626939784397E-2</v>
      </c>
      <c r="J3" s="24">
        <f>IF(COUNT(Captura_NoFin!I3,Captura_NoFin!H3)&lt;2,"",IFERROR(Captura_NoFin!I3/Captura_NoFin!H3,""))</f>
        <v>0.63957365207360994</v>
      </c>
      <c r="K3" s="23">
        <f>IF(OR(E3="",COUNT(Captura_NoFin!L3)&lt;1),"",IFERROR(E3/ABS(Captura_NoFin!L3),""))</f>
        <v>7.1948231118768229</v>
      </c>
      <c r="L3" s="23">
        <f>IF(COUNT(Captura_NoFin!K3,Captura_NoFin!H3)&lt;2,"",IFERROR(Captura_NoFin!K3/Captura_NoFin!H3,""))</f>
        <v>0.27827396757846962</v>
      </c>
      <c r="M3" s="24">
        <f>IF(COUNT(Captura_NoFin!R3)&lt;1,"",IFERROR(IF(D3=2017,Captura_NoFin!R3/INDEX(Empresas!$I$2:$I$23,MATCH($A3,Empresas!$B$2:$B$23,0))-1,IF(COUNT(Captura_NoFin!R2)&lt;1,"",Captura_NoFin!R3/Captura_NoFin!R2-1)),""))</f>
        <v>-9.1367008325460297E-3</v>
      </c>
      <c r="N3" s="24">
        <f>IF(COUNT(Captura_NoFin!P3,Captura_NoFin!O3)&lt;2,"",IF(Captura_NoFin!O3&lt;=0,"",Captura_NoFin!P3/Captura_NoFin!O3))</f>
        <v>0.21304747338621549</v>
      </c>
      <c r="O3" s="25">
        <f t="shared" si="0"/>
        <v>8</v>
      </c>
      <c r="P3" s="26" t="str">
        <f>IF(COUNT(Captura_NoFin!H3,Captura_NoFin!I3,Captura_NoFin!J3)&lt;3,"",IF(ABS(Captura_NoFin!H3-Captura_NoFin!I3-Captura_NoFin!J3)&lt;=0.005*ABS(Captura_NoFin!H3),"OK","REVISAR"))</f>
        <v>OK</v>
      </c>
    </row>
    <row r="4" spans="1:16" ht="15" customHeight="1" x14ac:dyDescent="0.2">
      <c r="A4" s="20" t="str">
        <f>Captura_NoFin!A4</f>
        <v>AGUAS-A</v>
      </c>
      <c r="B4" s="20">
        <f>Captura_NoFin!B4</f>
        <v>1</v>
      </c>
      <c r="C4" s="20" t="str">
        <f>Captura_NoFin!C4</f>
        <v>Servicios básicos e infraestructura</v>
      </c>
      <c r="D4" s="21">
        <f>Captura_NoFin!D4</f>
        <v>2019</v>
      </c>
      <c r="E4" s="22">
        <f>IF(COUNT(Captura_NoFin!M4,Captura_NoFin!L4)&lt;2,"",Captura_NoFin!M4+ABS(Captura_NoFin!L4))</f>
        <v>218825047</v>
      </c>
      <c r="F4" s="23">
        <f>IF(COUNT(Captura_NoFin!F4,Captura_NoFin!G4)&lt;2,"",IFERROR(Captura_NoFin!F4/Captura_NoFin!G4,""))</f>
        <v>0.81638105970909114</v>
      </c>
      <c r="G4" s="24">
        <f>IF(COUNT(Captura_NoFin!F4,Captura_NoFin!G4,Captura_NoFin!H4)&lt;3,"",IFERROR((Captura_NoFin!F4-Captura_NoFin!G4)/Captura_NoFin!H4,""))</f>
        <v>-2.22144932814623E-2</v>
      </c>
      <c r="H4" s="24">
        <f>IF(OR(E4="",COUNT(Captura_NoFin!K4)&lt;1),"",IFERROR(E4/Captura_NoFin!K4,""))</f>
        <v>0.45181066805395481</v>
      </c>
      <c r="I4" s="24">
        <f>IF(COUNT(Captura_NoFin!N4,Captura_NoFin!H4)&lt;2,"",IFERROR(Captura_NoFin!N4/Captura_NoFin!H4,""))</f>
        <v>6.9824761978312597E-2</v>
      </c>
      <c r="J4" s="24">
        <f>IF(COUNT(Captura_NoFin!I4,Captura_NoFin!H4)&lt;2,"",IFERROR(Captura_NoFin!I4/Captura_NoFin!H4,""))</f>
        <v>0.65651131919433248</v>
      </c>
      <c r="K4" s="23">
        <f>IF(OR(E4="",COUNT(Captura_NoFin!L4)&lt;1),"",IFERROR(E4/ABS(Captura_NoFin!L4),""))</f>
        <v>8.179700113736402</v>
      </c>
      <c r="L4" s="23">
        <f>IF(COUNT(Captura_NoFin!K4,Captura_NoFin!H4)&lt;2,"",IFERROR(Captura_NoFin!K4/Captura_NoFin!H4,""))</f>
        <v>0.24198978883200517</v>
      </c>
      <c r="M4" s="24">
        <f>IF(COUNT(Captura_NoFin!R4)&lt;1,"",IFERROR(IF(D4=2017,Captura_NoFin!R4/INDEX(Empresas!$I$2:$I$23,MATCH($A4,Empresas!$B$2:$B$23,0))-1,IF(COUNT(Captura_NoFin!R3)&lt;1,"",Captura_NoFin!R4/Captura_NoFin!R3-1)),""))</f>
        <v>-0.11628161699993889</v>
      </c>
      <c r="N4" s="24">
        <f>IF(COUNT(Captura_NoFin!P4,Captura_NoFin!O4)&lt;2,"",IF(Captura_NoFin!O4&lt;=0,"",Captura_NoFin!P4/Captura_NoFin!O4))</f>
        <v>0.21993398206238468</v>
      </c>
      <c r="O4" s="25">
        <f t="shared" si="0"/>
        <v>8</v>
      </c>
      <c r="P4" s="26" t="str">
        <f>IF(COUNT(Captura_NoFin!H4,Captura_NoFin!I4,Captura_NoFin!J4)&lt;3,"",IF(ABS(Captura_NoFin!H4-Captura_NoFin!I4-Captura_NoFin!J4)&lt;=0.005*ABS(Captura_NoFin!H4),"OK","REVISAR"))</f>
        <v>OK</v>
      </c>
    </row>
    <row r="5" spans="1:16" ht="15" customHeight="1" x14ac:dyDescent="0.2">
      <c r="A5" s="20" t="str">
        <f>Captura_NoFin!A5</f>
        <v>AGUAS-A</v>
      </c>
      <c r="B5" s="20">
        <f>Captura_NoFin!B5</f>
        <v>1</v>
      </c>
      <c r="C5" s="20" t="str">
        <f>Captura_NoFin!C5</f>
        <v>Servicios básicos e infraestructura</v>
      </c>
      <c r="D5" s="21">
        <f>Captura_NoFin!D5</f>
        <v>2020</v>
      </c>
      <c r="E5" s="22">
        <f>IF(COUNT(Captura_NoFin!M5,Captura_NoFin!L5)&lt;2,"",Captura_NoFin!M5+ABS(Captura_NoFin!L5))</f>
        <v>143854024</v>
      </c>
      <c r="F5" s="23">
        <f>IF(COUNT(Captura_NoFin!F5,Captura_NoFin!G5)&lt;2,"",IFERROR(Captura_NoFin!F5/Captura_NoFin!G5,""))</f>
        <v>1.2385825198125484</v>
      </c>
      <c r="G5" s="24">
        <f>IF(COUNT(Captura_NoFin!F5,Captura_NoFin!G5,Captura_NoFin!H5)&lt;3,"",IFERROR((Captura_NoFin!F5-Captura_NoFin!G5)/Captura_NoFin!H5,""))</f>
        <v>2.7150214205831028E-2</v>
      </c>
      <c r="H5" s="24">
        <f>IF(OR(E5="",COUNT(Captura_NoFin!K5)&lt;1),"",IFERROR(E5/Captura_NoFin!K5,""))</f>
        <v>0.30046359096899428</v>
      </c>
      <c r="I5" s="24">
        <f>IF(COUNT(Captura_NoFin!N5,Captura_NoFin!H5)&lt;2,"",IFERROR(Captura_NoFin!N5/Captura_NoFin!H5,""))</f>
        <v>4.6802736085509097E-2</v>
      </c>
      <c r="J5" s="24">
        <f>IF(COUNT(Captura_NoFin!I5,Captura_NoFin!H5)&lt;2,"",IFERROR(Captura_NoFin!I5/Captura_NoFin!H5,""))</f>
        <v>0.60793951618305053</v>
      </c>
      <c r="K5" s="23">
        <f>IF(OR(E5="",COUNT(Captura_NoFin!L5)&lt;1),"",IFERROR(E5/ABS(Captura_NoFin!L5),""))</f>
        <v>5.1062053550083588</v>
      </c>
      <c r="L5" s="23">
        <f>IF(COUNT(Captura_NoFin!K5,Captura_NoFin!H5)&lt;2,"",IFERROR(Captura_NoFin!K5/Captura_NoFin!H5,""))</f>
        <v>0.22326311162823304</v>
      </c>
      <c r="M5" s="24">
        <f>IF(COUNT(Captura_NoFin!R5)&lt;1,"",IFERROR(IF(D5=2017,Captura_NoFin!R5/INDEX(Empresas!$I$2:$I$23,MATCH($A5,Empresas!$B$2:$B$23,0))-1,IF(COUNT(Captura_NoFin!R4)&lt;1,"",Captura_NoFin!R5/Captura_NoFin!R4-1)),""))</f>
        <v>-0.23273408757077907</v>
      </c>
      <c r="N5" s="24">
        <f>IF(COUNT(Captura_NoFin!P5,Captura_NoFin!O5)&lt;2,"",IF(Captura_NoFin!O5&lt;=0,"",Captura_NoFin!P5/Captura_NoFin!O5))</f>
        <v>0.11738900873636131</v>
      </c>
      <c r="O5" s="25">
        <f t="shared" si="0"/>
        <v>8</v>
      </c>
      <c r="P5" s="26" t="str">
        <f>IF(COUNT(Captura_NoFin!H5,Captura_NoFin!I5,Captura_NoFin!J5)&lt;3,"",IF(ABS(Captura_NoFin!H5-Captura_NoFin!I5-Captura_NoFin!J5)&lt;=0.005*ABS(Captura_NoFin!H5),"OK","REVISAR"))</f>
        <v>OK</v>
      </c>
    </row>
    <row r="6" spans="1:16" ht="15" customHeight="1" x14ac:dyDescent="0.2">
      <c r="A6" s="20" t="str">
        <f>Captura_NoFin!A6</f>
        <v>AGUAS-A</v>
      </c>
      <c r="B6" s="20">
        <f>Captura_NoFin!B6</f>
        <v>1</v>
      </c>
      <c r="C6" s="20" t="str">
        <f>Captura_NoFin!C6</f>
        <v>Servicios básicos e infraestructura</v>
      </c>
      <c r="D6" s="21">
        <f>Captura_NoFin!D6</f>
        <v>2021</v>
      </c>
      <c r="E6" s="22">
        <f>IF(COUNT(Captura_NoFin!M6,Captura_NoFin!L6)&lt;2,"",Captura_NoFin!M6+ABS(Captura_NoFin!L6))</f>
        <v>148172264</v>
      </c>
      <c r="F6" s="23">
        <f>IF(COUNT(Captura_NoFin!F6,Captura_NoFin!G6)&lt;2,"",IFERROR(Captura_NoFin!F6/Captura_NoFin!G6,""))</f>
        <v>1.1416190672467919</v>
      </c>
      <c r="G6" s="24">
        <f>IF(COUNT(Captura_NoFin!F6,Captura_NoFin!G6,Captura_NoFin!H6)&lt;3,"",IFERROR((Captura_NoFin!F6-Captura_NoFin!G6)/Captura_NoFin!H6,""))</f>
        <v>1.5795862484932578E-2</v>
      </c>
      <c r="H6" s="24">
        <f>IF(OR(E6="",COUNT(Captura_NoFin!K6)&lt;1),"",IFERROR(E6/Captura_NoFin!K6,""))</f>
        <v>0.29256480545607472</v>
      </c>
      <c r="I6" s="24">
        <f>IF(COUNT(Captura_NoFin!N6,Captura_NoFin!H6)&lt;2,"",IFERROR(Captura_NoFin!N6/Captura_NoFin!H6,""))</f>
        <v>4.5148734225665434E-2</v>
      </c>
      <c r="J6" s="24">
        <f>IF(COUNT(Captura_NoFin!I6,Captura_NoFin!H6)&lt;2,"",IFERROR(Captura_NoFin!I6/Captura_NoFin!H6,""))</f>
        <v>0.62204398646575121</v>
      </c>
      <c r="K6" s="23">
        <f>IF(OR(E6="",COUNT(Captura_NoFin!L6)&lt;1),"",IFERROR(E6/ABS(Captura_NoFin!L6),""))</f>
        <v>5.3179160031187056</v>
      </c>
      <c r="L6" s="23">
        <f>IF(COUNT(Captura_NoFin!K6,Captura_NoFin!H6)&lt;2,"",IFERROR(Captura_NoFin!K6/Captura_NoFin!H6,""))</f>
        <v>0.22719124501937696</v>
      </c>
      <c r="M6" s="24">
        <f>IF(COUNT(Captura_NoFin!R6)&lt;1,"",IFERROR(IF(D6=2017,Captura_NoFin!R6/INDEX(Empresas!$I$2:$I$23,MATCH($A6,Empresas!$B$2:$B$23,0))-1,IF(COUNT(Captura_NoFin!R5)&lt;1,"",Captura_NoFin!R6/Captura_NoFin!R5-1)),""))</f>
        <v>-0.25585780009262871</v>
      </c>
      <c r="N6" s="24">
        <f>IF(COUNT(Captura_NoFin!P6,Captura_NoFin!O6)&lt;2,"",IF(Captura_NoFin!O6&lt;=0,"",Captura_NoFin!P6/Captura_NoFin!O6))</f>
        <v>0.11945651535494611</v>
      </c>
      <c r="O6" s="25">
        <f t="shared" si="0"/>
        <v>8</v>
      </c>
      <c r="P6" s="26" t="str">
        <f>IF(COUNT(Captura_NoFin!H6,Captura_NoFin!I6,Captura_NoFin!J6)&lt;3,"",IF(ABS(Captura_NoFin!H6-Captura_NoFin!I6-Captura_NoFin!J6)&lt;=0.005*ABS(Captura_NoFin!H6),"OK","REVISAR"))</f>
        <v>OK</v>
      </c>
    </row>
    <row r="7" spans="1:16" ht="15" customHeight="1" x14ac:dyDescent="0.2">
      <c r="A7" s="20" t="str">
        <f>Captura_NoFin!A7</f>
        <v>AGUAS-A</v>
      </c>
      <c r="B7" s="20">
        <f>Captura_NoFin!B7</f>
        <v>1</v>
      </c>
      <c r="C7" s="20" t="str">
        <f>Captura_NoFin!C7</f>
        <v>Servicios básicos e infraestructura</v>
      </c>
      <c r="D7" s="21">
        <f>Captura_NoFin!D7</f>
        <v>2022</v>
      </c>
      <c r="E7" s="22">
        <f>IF(COUNT(Captura_NoFin!M7,Captura_NoFin!L7)&lt;2,"",Captura_NoFin!M7+ABS(Captura_NoFin!L7))</f>
        <v>119302865</v>
      </c>
      <c r="F7" s="23">
        <f>IF(COUNT(Captura_NoFin!F7,Captura_NoFin!G7)&lt;2,"",IFERROR(Captura_NoFin!F7/Captura_NoFin!G7,""))</f>
        <v>1.2221279560987914</v>
      </c>
      <c r="G7" s="24">
        <f>IF(COUNT(Captura_NoFin!F7,Captura_NoFin!G7,Captura_NoFin!H7)&lt;3,"",IFERROR((Captura_NoFin!F7-Captura_NoFin!G7)/Captura_NoFin!H7,""))</f>
        <v>2.4813914690197936E-2</v>
      </c>
      <c r="H7" s="24">
        <f>IF(OR(E7="",COUNT(Captura_NoFin!K7)&lt;1),"",IFERROR(E7/Captura_NoFin!K7,""))</f>
        <v>0.20731542794893618</v>
      </c>
      <c r="I7" s="24">
        <f>IF(COUNT(Captura_NoFin!N7,Captura_NoFin!H7)&lt;2,"",IFERROR(Captura_NoFin!N7/Captura_NoFin!H7,""))</f>
        <v>3.5829486946003845E-2</v>
      </c>
      <c r="J7" s="24">
        <f>IF(COUNT(Captura_NoFin!I7,Captura_NoFin!H7)&lt;2,"",IFERROR(Captura_NoFin!I7/Captura_NoFin!H7,""))</f>
        <v>0.64742839257296858</v>
      </c>
      <c r="K7" s="23">
        <f>IF(OR(E7="",COUNT(Captura_NoFin!L7)&lt;1),"",IFERROR(E7/ABS(Captura_NoFin!L7),""))</f>
        <v>3.2569382174476296</v>
      </c>
      <c r="L7" s="23">
        <f>IF(COUNT(Captura_NoFin!K7,Captura_NoFin!H7)&lt;2,"",IFERROR(Captura_NoFin!K7/Captura_NoFin!H7,""))</f>
        <v>0.24185830223281693</v>
      </c>
      <c r="M7" s="24">
        <f>IF(COUNT(Captura_NoFin!R7)&lt;1,"",IFERROR(IF(D7=2017,Captura_NoFin!R7/INDEX(Empresas!$I$2:$I$23,MATCH($A7,Empresas!$B$2:$B$23,0))-1,IF(COUNT(Captura_NoFin!R6)&lt;1,"",Captura_NoFin!R7/Captura_NoFin!R6-1)),""))</f>
        <v>0.35232766284486461</v>
      </c>
      <c r="N7" s="24">
        <f>IF(COUNT(Captura_NoFin!P7,Captura_NoFin!O7)&lt;2,"",IF(Captura_NoFin!O7&lt;=0,"",Captura_NoFin!P7/Captura_NoFin!O7))</f>
        <v>0.10162432220070611</v>
      </c>
      <c r="O7" s="25">
        <f t="shared" si="0"/>
        <v>8</v>
      </c>
      <c r="P7" s="26" t="str">
        <f>IF(COUNT(Captura_NoFin!H7,Captura_NoFin!I7,Captura_NoFin!J7)&lt;3,"",IF(ABS(Captura_NoFin!H7-Captura_NoFin!I7-Captura_NoFin!J7)&lt;=0.005*ABS(Captura_NoFin!H7),"OK","REVISAR"))</f>
        <v>OK</v>
      </c>
    </row>
    <row r="8" spans="1:16" ht="15" customHeight="1" x14ac:dyDescent="0.2">
      <c r="A8" s="20" t="str">
        <f>Captura_NoFin!A8</f>
        <v>AGUAS-A</v>
      </c>
      <c r="B8" s="20">
        <f>Captura_NoFin!B8</f>
        <v>1</v>
      </c>
      <c r="C8" s="20" t="str">
        <f>Captura_NoFin!C8</f>
        <v>Servicios básicos e infraestructura</v>
      </c>
      <c r="D8" s="21">
        <f>Captura_NoFin!D8</f>
        <v>2023</v>
      </c>
      <c r="E8" s="22">
        <f>IF(COUNT(Captura_NoFin!M8,Captura_NoFin!L8)&lt;2,"",Captura_NoFin!M8+ABS(Captura_NoFin!L8))</f>
        <v>216150985</v>
      </c>
      <c r="F8" s="23">
        <f>IF(COUNT(Captura_NoFin!F8,Captura_NoFin!G8)&lt;2,"",IFERROR(Captura_NoFin!F8/Captura_NoFin!G8,""))</f>
        <v>0.76037778900095832</v>
      </c>
      <c r="G8" s="24">
        <f>IF(COUNT(Captura_NoFin!F8,Captura_NoFin!G8,Captura_NoFin!H8)&lt;3,"",IFERROR((Captura_NoFin!F8-Captura_NoFin!G8)/Captura_NoFin!H8,""))</f>
        <v>-3.5761981230717547E-2</v>
      </c>
      <c r="H8" s="24">
        <f>IF(OR(E8="",COUNT(Captura_NoFin!K8)&lt;1),"",IFERROR(E8/Captura_NoFin!K8,""))</f>
        <v>0.33728487248865796</v>
      </c>
      <c r="I8" s="24">
        <f>IF(COUNT(Captura_NoFin!N8,Captura_NoFin!H8)&lt;2,"",IFERROR(Captura_NoFin!N8/Captura_NoFin!H8,""))</f>
        <v>5.5044645225159103E-2</v>
      </c>
      <c r="J8" s="24">
        <f>IF(COUNT(Captura_NoFin!I8,Captura_NoFin!H8)&lt;2,"",IFERROR(Captura_NoFin!I8/Captura_NoFin!H8,""))</f>
        <v>0.63433258570544993</v>
      </c>
      <c r="K8" s="23">
        <f>IF(OR(E8="",COUNT(Captura_NoFin!L8)&lt;1),"",IFERROR(E8/ABS(Captura_NoFin!L8),""))</f>
        <v>4.4248413164763107</v>
      </c>
      <c r="L8" s="23">
        <f>IF(COUNT(Captura_NoFin!K8,Captura_NoFin!H8)&lt;2,"",IFERROR(Captura_NoFin!K8/Captura_NoFin!H8,""))</f>
        <v>0.26445063840031352</v>
      </c>
      <c r="M8" s="24">
        <f>IF(COUNT(Captura_NoFin!R8)&lt;1,"",IFERROR(IF(D8=2017,Captura_NoFin!R8/INDEX(Empresas!$I$2:$I$23,MATCH($A8,Empresas!$B$2:$B$23,0))-1,IF(COUNT(Captura_NoFin!R7)&lt;1,"",Captura_NoFin!R8/Captura_NoFin!R7-1)),""))</f>
        <v>0.53820280241180107</v>
      </c>
      <c r="N8" s="24">
        <f>IF(COUNT(Captura_NoFin!P8,Captura_NoFin!O8)&lt;2,"",IF(Captura_NoFin!O8&lt;=0,"",Captura_NoFin!P8/Captura_NoFin!O8))</f>
        <v>0.15053520179366883</v>
      </c>
      <c r="O8" s="25">
        <f t="shared" si="0"/>
        <v>8</v>
      </c>
      <c r="P8" s="26" t="str">
        <f>IF(COUNT(Captura_NoFin!H8,Captura_NoFin!I8,Captura_NoFin!J8)&lt;3,"",IF(ABS(Captura_NoFin!H8-Captura_NoFin!I8-Captura_NoFin!J8)&lt;=0.005*ABS(Captura_NoFin!H8),"OK","REVISAR"))</f>
        <v>OK</v>
      </c>
    </row>
    <row r="9" spans="1:16" ht="15" customHeight="1" x14ac:dyDescent="0.2">
      <c r="A9" s="20" t="str">
        <f>Captura_NoFin!A9</f>
        <v>AGUAS-A</v>
      </c>
      <c r="B9" s="20">
        <f>Captura_NoFin!B9</f>
        <v>1</v>
      </c>
      <c r="C9" s="20" t="str">
        <f>Captura_NoFin!C9</f>
        <v>Servicios básicos e infraestructura</v>
      </c>
      <c r="D9" s="21">
        <f>Captura_NoFin!D9</f>
        <v>2024</v>
      </c>
      <c r="E9" s="22">
        <f>IF(COUNT(Captura_NoFin!M9,Captura_NoFin!L9)&lt;2,"",Captura_NoFin!M9+ABS(Captura_NoFin!L9))</f>
        <v>207982769</v>
      </c>
      <c r="F9" s="23">
        <f>IF(COUNT(Captura_NoFin!F9,Captura_NoFin!G9)&lt;2,"",IFERROR(Captura_NoFin!F9/Captura_NoFin!G9,""))</f>
        <v>0.82131204643472444</v>
      </c>
      <c r="G9" s="24">
        <f>IF(COUNT(Captura_NoFin!F9,Captura_NoFin!G9,Captura_NoFin!H9)&lt;3,"",IFERROR((Captura_NoFin!F9-Captura_NoFin!G9)/Captura_NoFin!H9,""))</f>
        <v>-2.0811103400543297E-2</v>
      </c>
      <c r="H9" s="24">
        <f>IF(OR(E9="",COUNT(Captura_NoFin!K9)&lt;1),"",IFERROR(E9/Captura_NoFin!K9,""))</f>
        <v>0.31364043700886529</v>
      </c>
      <c r="I9" s="24">
        <f>IF(COUNT(Captura_NoFin!N9,Captura_NoFin!H9)&lt;2,"",IFERROR(Captura_NoFin!N9/Captura_NoFin!H9,""))</f>
        <v>4.1197842856762236E-2</v>
      </c>
      <c r="J9" s="24">
        <f>IF(COUNT(Captura_NoFin!I9,Captura_NoFin!H9)&lt;2,"",IFERROR(Captura_NoFin!I9/Captura_NoFin!H9,""))</f>
        <v>0.57188626424853739</v>
      </c>
      <c r="K9" s="23">
        <f>IF(OR(E9="",COUNT(Captura_NoFin!L9)&lt;1),"",IFERROR(E9/ABS(Captura_NoFin!L9),""))</f>
        <v>4.2157760436394911</v>
      </c>
      <c r="L9" s="23">
        <f>IF(COUNT(Captura_NoFin!K9,Captura_NoFin!H9)&lt;2,"",IFERROR(Captura_NoFin!K9/Captura_NoFin!H9,""))</f>
        <v>0.21971167867451238</v>
      </c>
      <c r="M9" s="24">
        <f>IF(COUNT(Captura_NoFin!R9)&lt;1,"",IFERROR(IF(D9=2017,Captura_NoFin!R9/INDEX(Empresas!$I$2:$I$23,MATCH($A9,Empresas!$B$2:$B$23,0))-1,IF(COUNT(Captura_NoFin!R8)&lt;1,"",Captura_NoFin!R9/Captura_NoFin!R8-1)),""))</f>
        <v>0.1090383883258752</v>
      </c>
      <c r="N9" s="24">
        <f>IF(COUNT(Captura_NoFin!P9,Captura_NoFin!O9)&lt;2,"",IF(Captura_NoFin!O9&lt;=0,"",Captura_NoFin!P9/Captura_NoFin!O9))</f>
        <v>9.6233129405562154E-2</v>
      </c>
      <c r="O9" s="25">
        <f t="shared" si="0"/>
        <v>8</v>
      </c>
      <c r="P9" s="26" t="str">
        <f>IF(COUNT(Captura_NoFin!H9,Captura_NoFin!I9,Captura_NoFin!J9)&lt;3,"",IF(ABS(Captura_NoFin!H9-Captura_NoFin!I9-Captura_NoFin!J9)&lt;=0.005*ABS(Captura_NoFin!H9),"OK","REVISAR"))</f>
        <v>OK</v>
      </c>
    </row>
    <row r="10" spans="1:16" ht="15" customHeight="1" x14ac:dyDescent="0.2">
      <c r="A10" s="20" t="str">
        <f>Captura_NoFin!A10</f>
        <v>AGUAS-A</v>
      </c>
      <c r="B10" s="20">
        <f>Captura_NoFin!B10</f>
        <v>1</v>
      </c>
      <c r="C10" s="20" t="str">
        <f>Captura_NoFin!C10</f>
        <v>Servicios básicos e infraestructura</v>
      </c>
      <c r="D10" s="21">
        <f>Captura_NoFin!D10</f>
        <v>2025</v>
      </c>
      <c r="E10" s="22">
        <f>IF(COUNT(Captura_NoFin!M10,Captura_NoFin!L10)&lt;2,"",Captura_NoFin!M10+ABS(Captura_NoFin!L10))</f>
        <v>232810806</v>
      </c>
      <c r="F10" s="23">
        <f>IF(COUNT(Captura_NoFin!F10,Captura_NoFin!G10)&lt;2,"",IFERROR(Captura_NoFin!F10/Captura_NoFin!G10,""))</f>
        <v>1.2474106099118092</v>
      </c>
      <c r="G10" s="24">
        <f>IF(COUNT(Captura_NoFin!F10,Captura_NoFin!G10,Captura_NoFin!H10)&lt;3,"",IFERROR((Captura_NoFin!F10-Captura_NoFin!G10)/Captura_NoFin!H10,""))</f>
        <v>2.1906256788060813E-2</v>
      </c>
      <c r="H10" s="24">
        <f>IF(OR(E10="",COUNT(Captura_NoFin!K10)&lt;1),"",IFERROR(E10/Captura_NoFin!K10,""))</f>
        <v>0.32662041408764958</v>
      </c>
      <c r="I10" s="24">
        <f>IF(COUNT(Captura_NoFin!N10,Captura_NoFin!H10)&lt;2,"",IFERROR(Captura_NoFin!N10/Captura_NoFin!H10,""))</f>
        <v>4.4230806487816042E-2</v>
      </c>
      <c r="J10" s="24">
        <f>IF(COUNT(Captura_NoFin!I10,Captura_NoFin!H10)&lt;2,"",IFERROR(Captura_NoFin!I10/Captura_NoFin!H10,""))</f>
        <v>0.58145884193611519</v>
      </c>
      <c r="K10" s="23">
        <f>IF(OR(E10="",COUNT(Captura_NoFin!L10)&lt;1),"",IFERROR(E10/ABS(Captura_NoFin!L10),""))</f>
        <v>4.2004590087517588</v>
      </c>
      <c r="L10" s="23">
        <f>IF(COUNT(Captura_NoFin!K10,Captura_NoFin!H10)&lt;2,"",IFERROR(Captura_NoFin!K10/Captura_NoFin!H10,""))</f>
        <v>0.22549841318793548</v>
      </c>
      <c r="M10" s="24">
        <f>IF(COUNT(Captura_NoFin!R10)&lt;1,"",IFERROR(IF(D10=2017,Captura_NoFin!R10/INDEX(Empresas!$I$2:$I$23,MATCH($A10,Empresas!$B$2:$B$23,0))-1,IF(COUNT(Captura_NoFin!R9)&lt;1,"",Captura_NoFin!R10/Captura_NoFin!R9-1)),""))</f>
        <v>0.31193496678824362</v>
      </c>
      <c r="N10" s="24">
        <f>IF(COUNT(Captura_NoFin!P10,Captura_NoFin!O10)&lt;2,"",IF(Captura_NoFin!O10&lt;=0,"",Captura_NoFin!P10/Captura_NoFin!O10))</f>
        <v>0.10568053313204717</v>
      </c>
      <c r="O10" s="25">
        <f t="shared" si="0"/>
        <v>8</v>
      </c>
      <c r="P10" s="26" t="str">
        <f>IF(COUNT(Captura_NoFin!H10,Captura_NoFin!I10,Captura_NoFin!J10)&lt;3,"",IF(ABS(Captura_NoFin!H10-Captura_NoFin!I10-Captura_NoFin!J10)&lt;=0.005*ABS(Captura_NoFin!H10),"OK","REVISAR"))</f>
        <v>OK</v>
      </c>
    </row>
    <row r="11" spans="1:16" ht="15" customHeight="1" x14ac:dyDescent="0.2">
      <c r="A11" s="20" t="str">
        <f>Captura_NoFin!A11</f>
        <v>COLBUN</v>
      </c>
      <c r="B11" s="20">
        <f>Captura_NoFin!B11</f>
        <v>1</v>
      </c>
      <c r="C11" s="20" t="str">
        <f>Captura_NoFin!C11</f>
        <v>Servicios básicos e infraestructura</v>
      </c>
      <c r="D11" s="21">
        <f>Captura_NoFin!D11</f>
        <v>2017</v>
      </c>
      <c r="E11" s="22">
        <f>IF(COUNT(Captura_NoFin!M11,Captura_NoFin!L11)&lt;2,"",Captura_NoFin!M11+ABS(Captura_NoFin!L11))</f>
        <v>407636</v>
      </c>
      <c r="F11" s="23">
        <f>IF(COUNT(Captura_NoFin!F11,Captura_NoFin!G11)&lt;2,"",IFERROR(Captura_NoFin!F11/Captura_NoFin!G11,""))</f>
        <v>3.1830509132983904</v>
      </c>
      <c r="G11" s="24">
        <f>IF(COUNT(Captura_NoFin!F11,Captura_NoFin!G11,Captura_NoFin!H11)&lt;3,"",IFERROR((Captura_NoFin!F11-Captura_NoFin!G11)/Captura_NoFin!H11,""))</f>
        <v>0.11365261489204399</v>
      </c>
      <c r="H11" s="24">
        <f>IF(OR(E11="",COUNT(Captura_NoFin!K11)&lt;1),"",IFERROR(E11/Captura_NoFin!K11,""))</f>
        <v>0.26326068255735552</v>
      </c>
      <c r="I11" s="24">
        <f>IF(COUNT(Captura_NoFin!N11,Captura_NoFin!H11)&lt;2,"",IFERROR(Captura_NoFin!N11/Captura_NoFin!H11,""))</f>
        <v>4.1690176816550913E-2</v>
      </c>
      <c r="J11" s="24">
        <f>IF(COUNT(Captura_NoFin!I11,Captura_NoFin!H11)&lt;2,"",IFERROR(Captura_NoFin!I11/Captura_NoFin!H11,""))</f>
        <v>0.42929822599848438</v>
      </c>
      <c r="K11" s="23">
        <f>IF(OR(E11="",COUNT(Captura_NoFin!L11)&lt;1),"",IFERROR(E11/ABS(Captura_NoFin!L11),""))</f>
        <v>4.7983143819007932</v>
      </c>
      <c r="L11" s="23">
        <f>IF(COUNT(Captura_NoFin!K11,Captura_NoFin!H11)&lt;2,"",IFERROR(Captura_NoFin!K11/Captura_NoFin!H11,""))</f>
        <v>0.22367679387138423</v>
      </c>
      <c r="M11" s="24">
        <f>IF(COUNT(Captura_NoFin!R11)&lt;1,"",IFERROR(IF(D11=2017,Captura_NoFin!R11/INDEX(Empresas!$I$2:$I$23,MATCH($A11,Empresas!$B$2:$B$23,0))-1,IF(COUNT(Captura_NoFin!R10)&lt;1,"",Captura_NoFin!R11/Captura_NoFin!R10-1)),""))</f>
        <v>0.12056458126035419</v>
      </c>
      <c r="N11" s="24">
        <f>IF(COUNT(Captura_NoFin!P11,Captura_NoFin!O11)&lt;2,"",IF(Captura_NoFin!O11&lt;=0,"",Captura_NoFin!P11/Captura_NoFin!O11))</f>
        <v>7.2756791994269349E-2</v>
      </c>
      <c r="O11" s="25">
        <f t="shared" si="0"/>
        <v>8</v>
      </c>
      <c r="P11" s="26" t="str">
        <f>IF(COUNT(Captura_NoFin!H11,Captura_NoFin!I11,Captura_NoFin!J11)&lt;3,"",IF(ABS(Captura_NoFin!H11-Captura_NoFin!I11-Captura_NoFin!J11)&lt;=0.005*ABS(Captura_NoFin!H11),"OK","REVISAR"))</f>
        <v>OK</v>
      </c>
    </row>
    <row r="12" spans="1:16" ht="15" customHeight="1" x14ac:dyDescent="0.2">
      <c r="A12" s="20" t="str">
        <f>Captura_NoFin!A12</f>
        <v>COLBUN</v>
      </c>
      <c r="B12" s="20">
        <f>Captura_NoFin!B12</f>
        <v>1</v>
      </c>
      <c r="C12" s="20" t="str">
        <f>Captura_NoFin!C12</f>
        <v>Servicios básicos e infraestructura</v>
      </c>
      <c r="D12" s="21">
        <f>Captura_NoFin!D12</f>
        <v>2018</v>
      </c>
      <c r="E12" s="22">
        <f>IF(COUNT(Captura_NoFin!M12,Captura_NoFin!L12)&lt;2,"",Captura_NoFin!M12+ABS(Captura_NoFin!L12))</f>
        <v>412714</v>
      </c>
      <c r="F12" s="23">
        <f>IF(COUNT(Captura_NoFin!F12,Captura_NoFin!G12)&lt;2,"",IFERROR(Captura_NoFin!F12/Captura_NoFin!G12,""))</f>
        <v>3.3334674909154085</v>
      </c>
      <c r="G12" s="24">
        <f>IF(COUNT(Captura_NoFin!F12,Captura_NoFin!G12,Captura_NoFin!H12)&lt;3,"",IFERROR((Captura_NoFin!F12-Captura_NoFin!G12)/Captura_NoFin!H12,""))</f>
        <v>0.11889296346352186</v>
      </c>
      <c r="H12" s="24">
        <f>IF(OR(E12="",COUNT(Captura_NoFin!K12)&lt;1),"",IFERROR(E12/Captura_NoFin!K12,""))</f>
        <v>0.26264981573134388</v>
      </c>
      <c r="I12" s="24">
        <f>IF(COUNT(Captura_NoFin!N12,Captura_NoFin!H12)&lt;2,"",IFERROR(Captura_NoFin!N12/Captura_NoFin!H12,""))</f>
        <v>3.3994266155372051E-2</v>
      </c>
      <c r="J12" s="24">
        <f>IF(COUNT(Captura_NoFin!I12,Captura_NoFin!H12)&lt;2,"",IFERROR(Captura_NoFin!I12/Captura_NoFin!H12,""))</f>
        <v>0.43099152905818217</v>
      </c>
      <c r="K12" s="23">
        <f>IF(OR(E12="",COUNT(Captura_NoFin!L12)&lt;1),"",IFERROR(E12/ABS(Captura_NoFin!L12),""))</f>
        <v>4.9208188766081244</v>
      </c>
      <c r="L12" s="23">
        <f>IF(COUNT(Captura_NoFin!K12,Captura_NoFin!H12)&lt;2,"",IFERROR(Captura_NoFin!K12/Captura_NoFin!H12,""))</f>
        <v>0.23181854460429818</v>
      </c>
      <c r="M12" s="24">
        <f>IF(COUNT(Captura_NoFin!R12)&lt;1,"",IFERROR(IF(D12=2017,Captura_NoFin!R12/INDEX(Empresas!$I$2:$I$23,MATCH($A12,Empresas!$B$2:$B$23,0))-1,IF(COUNT(Captura_NoFin!R11)&lt;1,"",Captura_NoFin!R12/Captura_NoFin!R11-1)),""))</f>
        <v>-1.4664059964154763E-2</v>
      </c>
      <c r="N12" s="24">
        <f>IF(COUNT(Captura_NoFin!P12,Captura_NoFin!O12)&lt;2,"",IF(Captura_NoFin!O12&lt;=0,"",Captura_NoFin!P12/Captura_NoFin!O12))</f>
        <v>6.5732005948835423E-2</v>
      </c>
      <c r="O12" s="25">
        <f t="shared" si="0"/>
        <v>8</v>
      </c>
      <c r="P12" s="26" t="str">
        <f>IF(COUNT(Captura_NoFin!H12,Captura_NoFin!I12,Captura_NoFin!J12)&lt;3,"",IF(ABS(Captura_NoFin!H12-Captura_NoFin!I12-Captura_NoFin!J12)&lt;=0.005*ABS(Captura_NoFin!H12),"OK","REVISAR"))</f>
        <v>OK</v>
      </c>
    </row>
    <row r="13" spans="1:16" ht="15" customHeight="1" x14ac:dyDescent="0.2">
      <c r="A13" s="20" t="str">
        <f>Captura_NoFin!A13</f>
        <v>COLBUN</v>
      </c>
      <c r="B13" s="20">
        <f>Captura_NoFin!B13</f>
        <v>1</v>
      </c>
      <c r="C13" s="20" t="str">
        <f>Captura_NoFin!C13</f>
        <v>Servicios básicos e infraestructura</v>
      </c>
      <c r="D13" s="21">
        <f>Captura_NoFin!D13</f>
        <v>2019</v>
      </c>
      <c r="E13" s="22">
        <f>IF(COUNT(Captura_NoFin!M13,Captura_NoFin!L13)&lt;2,"",Captura_NoFin!M13+ABS(Captura_NoFin!L13))</f>
        <v>361251</v>
      </c>
      <c r="F13" s="23">
        <f>IF(COUNT(Captura_NoFin!F13,Captura_NoFin!G13)&lt;2,"",IFERROR(Captura_NoFin!F13/Captura_NoFin!G13,""))</f>
        <v>3.3681872195519924</v>
      </c>
      <c r="G13" s="24">
        <f>IF(COUNT(Captura_NoFin!F13,Captura_NoFin!G13,Captura_NoFin!H13)&lt;3,"",IFERROR((Captura_NoFin!F13-Captura_NoFin!G13)/Captura_NoFin!H13,""))</f>
        <v>0.1194796692193547</v>
      </c>
      <c r="H13" s="24">
        <f>IF(OR(E13="",COUNT(Captura_NoFin!K13)&lt;1),"",IFERROR(E13/Captura_NoFin!K13,""))</f>
        <v>0.24287626555832476</v>
      </c>
      <c r="I13" s="24">
        <f>IF(COUNT(Captura_NoFin!N13,Captura_NoFin!H13)&lt;2,"",IFERROR(Captura_NoFin!N13/Captura_NoFin!H13,""))</f>
        <v>3.0120127957526454E-2</v>
      </c>
      <c r="J13" s="24">
        <f>IF(COUNT(Captura_NoFin!I13,Captura_NoFin!H13)&lt;2,"",IFERROR(Captura_NoFin!I13/Captura_NoFin!H13,""))</f>
        <v>0.44288739588537512</v>
      </c>
      <c r="K13" s="23">
        <f>IF(OR(E13="",COUNT(Captura_NoFin!L13)&lt;1),"",IFERROR(E13/ABS(Captura_NoFin!L13),""))</f>
        <v>3.9667834279502356</v>
      </c>
      <c r="L13" s="23">
        <f>IF(COUNT(Captura_NoFin!K13,Captura_NoFin!H13)&lt;2,"",IFERROR(Captura_NoFin!K13/Captura_NoFin!H13,""))</f>
        <v>0.22182093403028924</v>
      </c>
      <c r="M13" s="24">
        <f>IF(COUNT(Captura_NoFin!R13)&lt;1,"",IFERROR(IF(D13=2017,Captura_NoFin!R13/INDEX(Empresas!$I$2:$I$23,MATCH($A13,Empresas!$B$2:$B$23,0))-1,IF(COUNT(Captura_NoFin!R12)&lt;1,"",Captura_NoFin!R13/Captura_NoFin!R12-1)),""))</f>
        <v>-0.13880286112380025</v>
      </c>
      <c r="N13" s="24">
        <f>IF(COUNT(Captura_NoFin!P13,Captura_NoFin!O13)&lt;2,"",IF(Captura_NoFin!O13&lt;=0,"",Captura_NoFin!P13/Captura_NoFin!O13))</f>
        <v>5.7418036344839073E-2</v>
      </c>
      <c r="O13" s="25">
        <f t="shared" si="0"/>
        <v>8</v>
      </c>
      <c r="P13" s="26" t="str">
        <f>IF(COUNT(Captura_NoFin!H13,Captura_NoFin!I13,Captura_NoFin!J13)&lt;3,"",IF(ABS(Captura_NoFin!H13-Captura_NoFin!I13-Captura_NoFin!J13)&lt;=0.005*ABS(Captura_NoFin!H13),"OK","REVISAR"))</f>
        <v>OK</v>
      </c>
    </row>
    <row r="14" spans="1:16" ht="15" customHeight="1" x14ac:dyDescent="0.2">
      <c r="A14" s="20" t="str">
        <f>Captura_NoFin!A14</f>
        <v>COLBUN</v>
      </c>
      <c r="B14" s="20">
        <f>Captura_NoFin!B14</f>
        <v>1</v>
      </c>
      <c r="C14" s="20" t="str">
        <f>Captura_NoFin!C14</f>
        <v>Servicios básicos e infraestructura</v>
      </c>
      <c r="D14" s="21">
        <f>Captura_NoFin!D14</f>
        <v>2020</v>
      </c>
      <c r="E14" s="22">
        <f>IF(COUNT(Captura_NoFin!M14,Captura_NoFin!L14)&lt;2,"",Captura_NoFin!M14+ABS(Captura_NoFin!L14))</f>
        <v>222678</v>
      </c>
      <c r="F14" s="23">
        <f>IF(COUNT(Captura_NoFin!F14,Captura_NoFin!G14)&lt;2,"",IFERROR(Captura_NoFin!F14/Captura_NoFin!G14,""))</f>
        <v>4.1078386595852958</v>
      </c>
      <c r="G14" s="24">
        <f>IF(COUNT(Captura_NoFin!F14,Captura_NoFin!G14,Captura_NoFin!H14)&lt;3,"",IFERROR((Captura_NoFin!F14-Captura_NoFin!G14)/Captura_NoFin!H14,""))</f>
        <v>0.14360432610421645</v>
      </c>
      <c r="H14" s="24">
        <f>IF(OR(E14="",COUNT(Captura_NoFin!K14)&lt;1),"",IFERROR(E14/Captura_NoFin!K14,""))</f>
        <v>0.16508509357476048</v>
      </c>
      <c r="I14" s="24">
        <f>IF(COUNT(Captura_NoFin!N14,Captura_NoFin!H14)&lt;2,"",IFERROR(Captura_NoFin!N14/Captura_NoFin!H14,""))</f>
        <v>1.3486553167255238E-2</v>
      </c>
      <c r="J14" s="24">
        <f>IF(COUNT(Captura_NoFin!I14,Captura_NoFin!H14)&lt;2,"",IFERROR(Captura_NoFin!I14/Captura_NoFin!H14,""))</f>
        <v>0.45953574287817345</v>
      </c>
      <c r="K14" s="23">
        <f>IF(OR(E14="",COUNT(Captura_NoFin!L14)&lt;1),"",IFERROR(E14/ABS(Captura_NoFin!L14),""))</f>
        <v>2.4616456074022484</v>
      </c>
      <c r="L14" s="23">
        <f>IF(COUNT(Captura_NoFin!K14,Captura_NoFin!H14)&lt;2,"",IFERROR(Captura_NoFin!K14/Captura_NoFin!H14,""))</f>
        <v>0.20333057626871326</v>
      </c>
      <c r="M14" s="24">
        <f>IF(COUNT(Captura_NoFin!R14)&lt;1,"",IFERROR(IF(D14=2017,Captura_NoFin!R14/INDEX(Empresas!$I$2:$I$23,MATCH($A14,Empresas!$B$2:$B$23,0))-1,IF(COUNT(Captura_NoFin!R13)&lt;1,"",Captura_NoFin!R14/Captura_NoFin!R13-1)),""))</f>
        <v>4.5946397267832895E-2</v>
      </c>
      <c r="N14" s="24">
        <f>IF(COUNT(Captura_NoFin!P14,Captura_NoFin!O14)&lt;2,"",IF(Captura_NoFin!O14&lt;=0,"",Captura_NoFin!P14/Captura_NoFin!O14))</f>
        <v>4.7086372953396363E-2</v>
      </c>
      <c r="O14" s="25">
        <f t="shared" si="0"/>
        <v>8</v>
      </c>
      <c r="P14" s="26" t="str">
        <f>IF(COUNT(Captura_NoFin!H14,Captura_NoFin!I14,Captura_NoFin!J14)&lt;3,"",IF(ABS(Captura_NoFin!H14-Captura_NoFin!I14-Captura_NoFin!J14)&lt;=0.005*ABS(Captura_NoFin!H14),"OK","REVISAR"))</f>
        <v>OK</v>
      </c>
    </row>
    <row r="15" spans="1:16" ht="15" customHeight="1" x14ac:dyDescent="0.2">
      <c r="A15" s="20" t="str">
        <f>Captura_NoFin!A15</f>
        <v>COLBUN</v>
      </c>
      <c r="B15" s="20">
        <f>Captura_NoFin!B15</f>
        <v>1</v>
      </c>
      <c r="C15" s="20" t="str">
        <f>Captura_NoFin!C15</f>
        <v>Servicios básicos e infraestructura</v>
      </c>
      <c r="D15" s="21">
        <f>Captura_NoFin!D15</f>
        <v>2021</v>
      </c>
      <c r="E15" s="22">
        <f>IF(COUNT(Captura_NoFin!M15,Captura_NoFin!L15)&lt;2,"",Captura_NoFin!M15+ABS(Captura_NoFin!L15))</f>
        <v>911519</v>
      </c>
      <c r="F15" s="23">
        <f>IF(COUNT(Captura_NoFin!F15,Captura_NoFin!G15)&lt;2,"",IFERROR(Captura_NoFin!F15/Captura_NoFin!G15,""))</f>
        <v>2.6015104476556838</v>
      </c>
      <c r="G15" s="24">
        <f>IF(COUNT(Captura_NoFin!F15,Captura_NoFin!G15,Captura_NoFin!H15)&lt;3,"",IFERROR((Captura_NoFin!F15-Captura_NoFin!G15)/Captura_NoFin!H15,""))</f>
        <v>0.16469983830386878</v>
      </c>
      <c r="H15" s="24">
        <f>IF(OR(E15="",COUNT(Captura_NoFin!K15)&lt;1),"",IFERROR(E15/Captura_NoFin!K15,""))</f>
        <v>0.63311185877489329</v>
      </c>
      <c r="I15" s="24">
        <f>IF(COUNT(Captura_NoFin!N15,Captura_NoFin!H15)&lt;2,"",IFERROR(Captura_NoFin!N15/Captura_NoFin!H15,""))</f>
        <v>8.1814365086721588E-2</v>
      </c>
      <c r="J15" s="24">
        <f>IF(COUNT(Captura_NoFin!I15,Captura_NoFin!H15)&lt;2,"",IFERROR(Captura_NoFin!I15/Captura_NoFin!H15,""))</f>
        <v>0.56964444420211224</v>
      </c>
      <c r="K15" s="23">
        <f>IF(OR(E15="",COUNT(Captura_NoFin!L15)&lt;1),"",IFERROR(E15/ABS(Captura_NoFin!L15),""))</f>
        <v>10.556464034650885</v>
      </c>
      <c r="L15" s="23">
        <f>IF(COUNT(Captura_NoFin!K15,Captura_NoFin!H15)&lt;2,"",IFERROR(Captura_NoFin!K15/Captura_NoFin!H15,""))</f>
        <v>0.21806016743940332</v>
      </c>
      <c r="M15" s="24">
        <f>IF(COUNT(Captura_NoFin!R15)&lt;1,"",IFERROR(IF(D15=2017,Captura_NoFin!R15/INDEX(Empresas!$I$2:$I$23,MATCH($A15,Empresas!$B$2:$B$23,0))-1,IF(COUNT(Captura_NoFin!R14)&lt;1,"",Captura_NoFin!R15/Captura_NoFin!R14-1)),""))</f>
        <v>-0.44750001637551207</v>
      </c>
      <c r="N15" s="24">
        <f>IF(COUNT(Captura_NoFin!P15,Captura_NoFin!O15)&lt;2,"",IF(Captura_NoFin!O15&lt;=0,"",Captura_NoFin!P15/Captura_NoFin!O15))</f>
        <v>0.20043100358851104</v>
      </c>
      <c r="O15" s="25">
        <f t="shared" si="0"/>
        <v>8</v>
      </c>
      <c r="P15" s="26" t="str">
        <f>IF(COUNT(Captura_NoFin!H15,Captura_NoFin!I15,Captura_NoFin!J15)&lt;3,"",IF(ABS(Captura_NoFin!H15-Captura_NoFin!I15-Captura_NoFin!J15)&lt;=0.005*ABS(Captura_NoFin!H15),"OK","REVISAR"))</f>
        <v>OK</v>
      </c>
    </row>
    <row r="16" spans="1:16" ht="15" customHeight="1" x14ac:dyDescent="0.2">
      <c r="A16" s="20" t="str">
        <f>Captura_NoFin!A16</f>
        <v>COLBUN</v>
      </c>
      <c r="B16" s="20">
        <f>Captura_NoFin!B16</f>
        <v>1</v>
      </c>
      <c r="C16" s="20" t="str">
        <f>Captura_NoFin!C16</f>
        <v>Servicios básicos e infraestructura</v>
      </c>
      <c r="D16" s="21">
        <f>Captura_NoFin!D16</f>
        <v>2022</v>
      </c>
      <c r="E16" s="22">
        <f>IF(COUNT(Captura_NoFin!M16,Captura_NoFin!L16)&lt;2,"",Captura_NoFin!M16+ABS(Captura_NoFin!L16))</f>
        <v>504723</v>
      </c>
      <c r="F16" s="23">
        <f>IF(COUNT(Captura_NoFin!F16,Captura_NoFin!G16)&lt;2,"",IFERROR(Captura_NoFin!F16/Captura_NoFin!G16,""))</f>
        <v>3.111146123568175</v>
      </c>
      <c r="G16" s="24">
        <f>IF(COUNT(Captura_NoFin!F16,Captura_NoFin!G16,Captura_NoFin!H16)&lt;3,"",IFERROR((Captura_NoFin!F16-Captura_NoFin!G16)/Captura_NoFin!H16,""))</f>
        <v>0.17342529655732827</v>
      </c>
      <c r="H16" s="24">
        <f>IF(OR(E16="",COUNT(Captura_NoFin!K16)&lt;1),"",IFERROR(E16/Captura_NoFin!K16,""))</f>
        <v>0.25568243125839973</v>
      </c>
      <c r="I16" s="24">
        <f>IF(COUNT(Captura_NoFin!N16,Captura_NoFin!H16)&lt;2,"",IFERROR(Captura_NoFin!N16/Captura_NoFin!H16,""))</f>
        <v>4.6997914312105982E-2</v>
      </c>
      <c r="J16" s="24">
        <f>IF(COUNT(Captura_NoFin!I16,Captura_NoFin!H16)&lt;2,"",IFERROR(Captura_NoFin!I16/Captura_NoFin!H16,""))</f>
        <v>0.55299899757401405</v>
      </c>
      <c r="K16" s="23">
        <f>IF(OR(E16="",COUNT(Captura_NoFin!L16)&lt;1),"",IFERROR(E16/ABS(Captura_NoFin!L16),""))</f>
        <v>5.6887503803974164</v>
      </c>
      <c r="L16" s="23">
        <f>IF(COUNT(Captura_NoFin!K16,Captura_NoFin!H16)&lt;2,"",IFERROR(Captura_NoFin!K16/Captura_NoFin!H16,""))</f>
        <v>0.29882391302175881</v>
      </c>
      <c r="M16" s="24">
        <f>IF(COUNT(Captura_NoFin!R16)&lt;1,"",IFERROR(IF(D16=2017,Captura_NoFin!R16/INDEX(Empresas!$I$2:$I$23,MATCH($A16,Empresas!$B$2:$B$23,0))-1,IF(COUNT(Captura_NoFin!R15)&lt;1,"",Captura_NoFin!R16/Captura_NoFin!R15-1)),""))</f>
        <v>0.25990056829198838</v>
      </c>
      <c r="N16" s="24">
        <f>IF(COUNT(Captura_NoFin!P16,Captura_NoFin!O16)&lt;2,"",IF(Captura_NoFin!O16&lt;=0,"",Captura_NoFin!P16/Captura_NoFin!O16))</f>
        <v>0.10504368997508501</v>
      </c>
      <c r="O16" s="25">
        <f t="shared" si="0"/>
        <v>8</v>
      </c>
      <c r="P16" s="26" t="str">
        <f>IF(COUNT(Captura_NoFin!H16,Captura_NoFin!I16,Captura_NoFin!J16)&lt;3,"",IF(ABS(Captura_NoFin!H16-Captura_NoFin!I16-Captura_NoFin!J16)&lt;=0.005*ABS(Captura_NoFin!H16),"OK","REVISAR"))</f>
        <v>OK</v>
      </c>
    </row>
    <row r="17" spans="1:16" ht="15" customHeight="1" x14ac:dyDescent="0.2">
      <c r="A17" s="20" t="str">
        <f>Captura_NoFin!A17</f>
        <v>COLBUN</v>
      </c>
      <c r="B17" s="20">
        <f>Captura_NoFin!B17</f>
        <v>1</v>
      </c>
      <c r="C17" s="20" t="str">
        <f>Captura_NoFin!C17</f>
        <v>Servicios básicos e infraestructura</v>
      </c>
      <c r="D17" s="21">
        <f>Captura_NoFin!D17</f>
        <v>2023</v>
      </c>
      <c r="E17" s="22">
        <f>IF(COUNT(Captura_NoFin!M17,Captura_NoFin!L17)&lt;2,"",Captura_NoFin!M17+ABS(Captura_NoFin!L17))</f>
        <v>633981</v>
      </c>
      <c r="F17" s="23">
        <f>IF(COUNT(Captura_NoFin!F17,Captura_NoFin!G17)&lt;2,"",IFERROR(Captura_NoFin!F17/Captura_NoFin!G17,""))</f>
        <v>3.0291970027780373</v>
      </c>
      <c r="G17" s="24">
        <f>IF(COUNT(Captura_NoFin!F17,Captura_NoFin!G17,Captura_NoFin!H17)&lt;3,"",IFERROR((Captura_NoFin!F17-Captura_NoFin!G17)/Captura_NoFin!H17,""))</f>
        <v>0.14344073458692097</v>
      </c>
      <c r="H17" s="24">
        <f>IF(OR(E17="",COUNT(Captura_NoFin!K17)&lt;1),"",IFERROR(E17/Captura_NoFin!K17,""))</f>
        <v>0.31641794173443155</v>
      </c>
      <c r="I17" s="24">
        <f>IF(COUNT(Captura_NoFin!N17,Captura_NoFin!H17)&lt;2,"",IFERROR(Captura_NoFin!N17/Captura_NoFin!H17,""))</f>
        <v>6.0628553386771977E-2</v>
      </c>
      <c r="J17" s="24">
        <f>IF(COUNT(Captura_NoFin!I17,Captura_NoFin!H17)&lt;2,"",IFERROR(Captura_NoFin!I17/Captura_NoFin!H17,""))</f>
        <v>0.53499372365432396</v>
      </c>
      <c r="K17" s="23">
        <f>IF(OR(E17="",COUNT(Captura_NoFin!L17)&lt;1),"",IFERROR(E17/ABS(Captura_NoFin!L17),""))</f>
        <v>7.4228828343617179</v>
      </c>
      <c r="L17" s="23">
        <f>IF(COUNT(Captura_NoFin!K17,Captura_NoFin!H17)&lt;2,"",IFERROR(Captura_NoFin!K17/Captura_NoFin!H17,""))</f>
        <v>0.30081103808100113</v>
      </c>
      <c r="M17" s="24">
        <f>IF(COUNT(Captura_NoFin!R17)&lt;1,"",IFERROR(IF(D17=2017,Captura_NoFin!R17/INDEX(Empresas!$I$2:$I$23,MATCH($A17,Empresas!$B$2:$B$23,0))-1,IF(COUNT(Captura_NoFin!R16)&lt;1,"",Captura_NoFin!R17/Captura_NoFin!R16-1)),""))</f>
        <v>0.60159768280061954</v>
      </c>
      <c r="N17" s="24">
        <f>IF(COUNT(Captura_NoFin!P17,Captura_NoFin!O17)&lt;2,"",IF(Captura_NoFin!O17&lt;=0,"",Captura_NoFin!P17/Captura_NoFin!O17))</f>
        <v>0.13234279187530437</v>
      </c>
      <c r="O17" s="25">
        <f t="shared" si="0"/>
        <v>8</v>
      </c>
      <c r="P17" s="26" t="str">
        <f>IF(COUNT(Captura_NoFin!H17,Captura_NoFin!I17,Captura_NoFin!J17)&lt;3,"",IF(ABS(Captura_NoFin!H17-Captura_NoFin!I17-Captura_NoFin!J17)&lt;=0.005*ABS(Captura_NoFin!H17),"OK","REVISAR"))</f>
        <v>OK</v>
      </c>
    </row>
    <row r="18" spans="1:16" ht="15" customHeight="1" x14ac:dyDescent="0.2">
      <c r="A18" s="20" t="str">
        <f>Captura_NoFin!A18</f>
        <v>COLBUN</v>
      </c>
      <c r="B18" s="20">
        <f>Captura_NoFin!B18</f>
        <v>1</v>
      </c>
      <c r="C18" s="20" t="str">
        <f>Captura_NoFin!C18</f>
        <v>Servicios básicos e infraestructura</v>
      </c>
      <c r="D18" s="21">
        <f>Captura_NoFin!D18</f>
        <v>2024</v>
      </c>
      <c r="E18" s="22">
        <f>IF(COUNT(Captura_NoFin!M18,Captura_NoFin!L18)&lt;2,"",Captura_NoFin!M18+ABS(Captura_NoFin!L18))</f>
        <v>415025</v>
      </c>
      <c r="F18" s="23">
        <f>IF(COUNT(Captura_NoFin!F18,Captura_NoFin!G18)&lt;2,"",IFERROR(Captura_NoFin!F18/Captura_NoFin!G18,""))</f>
        <v>3.2419645027960127</v>
      </c>
      <c r="G18" s="24">
        <f>IF(COUNT(Captura_NoFin!F18,Captura_NoFin!G18,Captura_NoFin!H18)&lt;3,"",IFERROR((Captura_NoFin!F18-Captura_NoFin!G18)/Captura_NoFin!H18,""))</f>
        <v>0.120133684529293</v>
      </c>
      <c r="H18" s="24">
        <f>IF(OR(E18="",COUNT(Captura_NoFin!K18)&lt;1),"",IFERROR(E18/Captura_NoFin!K18,""))</f>
        <v>0.2633434095777622</v>
      </c>
      <c r="I18" s="24">
        <f>IF(COUNT(Captura_NoFin!N18,Captura_NoFin!H18)&lt;2,"",IFERROR(Captura_NoFin!N18/Captura_NoFin!H18,""))</f>
        <v>3.7224870603126368E-2</v>
      </c>
      <c r="J18" s="24">
        <f>IF(COUNT(Captura_NoFin!I18,Captura_NoFin!H18)&lt;2,"",IFERROR(Captura_NoFin!I18/Captura_NoFin!H18,""))</f>
        <v>0.5323826569105371</v>
      </c>
      <c r="K18" s="23">
        <f>IF(OR(E18="",COUNT(Captura_NoFin!L18)&lt;1),"",IFERROR(E18/ABS(Captura_NoFin!L18),""))</f>
        <v>5.9044672072841085</v>
      </c>
      <c r="L18" s="23">
        <f>IF(COUNT(Captura_NoFin!K18,Captura_NoFin!H18)&lt;2,"",IFERROR(Captura_NoFin!K18/Captura_NoFin!H18,""))</f>
        <v>0.22813223234287813</v>
      </c>
      <c r="M18" s="24">
        <f>IF(COUNT(Captura_NoFin!R18)&lt;1,"",IFERROR(IF(D18=2017,Captura_NoFin!R18/INDEX(Empresas!$I$2:$I$23,MATCH($A18,Empresas!$B$2:$B$23,0))-1,IF(COUNT(Captura_NoFin!R17)&lt;1,"",Captura_NoFin!R18/Captura_NoFin!R17-1)),""))</f>
        <v>-0.12083600469060674</v>
      </c>
      <c r="N18" s="24">
        <f>IF(COUNT(Captura_NoFin!P18,Captura_NoFin!O18)&lt;2,"",IF(Captura_NoFin!O18&lt;=0,"",Captura_NoFin!P18/Captura_NoFin!O18))</f>
        <v>8.1326010490748349E-2</v>
      </c>
      <c r="O18" s="25">
        <f t="shared" si="0"/>
        <v>8</v>
      </c>
      <c r="P18" s="26" t="str">
        <f>IF(COUNT(Captura_NoFin!H18,Captura_NoFin!I18,Captura_NoFin!J18)&lt;3,"",IF(ABS(Captura_NoFin!H18-Captura_NoFin!I18-Captura_NoFin!J18)&lt;=0.005*ABS(Captura_NoFin!H18),"OK","REVISAR"))</f>
        <v>OK</v>
      </c>
    </row>
    <row r="19" spans="1:16" ht="15" customHeight="1" x14ac:dyDescent="0.2">
      <c r="A19" s="20" t="str">
        <f>Captura_NoFin!A19</f>
        <v>COLBUN</v>
      </c>
      <c r="B19" s="20">
        <f>Captura_NoFin!B19</f>
        <v>1</v>
      </c>
      <c r="C19" s="20" t="str">
        <f>Captura_NoFin!C19</f>
        <v>Servicios básicos e infraestructura</v>
      </c>
      <c r="D19" s="21">
        <f>Captura_NoFin!D19</f>
        <v>2025</v>
      </c>
      <c r="E19" s="22">
        <f>IF(COUNT(Captura_NoFin!M19,Captura_NoFin!L19)&lt;2,"",Captura_NoFin!M19+ABS(Captura_NoFin!L19))</f>
        <v>327242</v>
      </c>
      <c r="F19" s="23">
        <f>IF(COUNT(Captura_NoFin!F19,Captura_NoFin!G19)&lt;2,"",IFERROR(Captura_NoFin!F19/Captura_NoFin!G19,""))</f>
        <v>3.7573610885987825</v>
      </c>
      <c r="G19" s="24">
        <f>IF(COUNT(Captura_NoFin!F19,Captura_NoFin!G19,Captura_NoFin!H19)&lt;3,"",IFERROR((Captura_NoFin!F19-Captura_NoFin!G19)/Captura_NoFin!H19,""))</f>
        <v>0.14413373182158923</v>
      </c>
      <c r="H19" s="24">
        <f>IF(OR(E19="",COUNT(Captura_NoFin!K19)&lt;1),"",IFERROR(E19/Captura_NoFin!K19,""))</f>
        <v>0.20509448992113774</v>
      </c>
      <c r="I19" s="24">
        <f>IF(COUNT(Captura_NoFin!N19,Captura_NoFin!H19)&lt;2,"",IFERROR(Captura_NoFin!N19/Captura_NoFin!H19,""))</f>
        <v>2.5969842808078236E-2</v>
      </c>
      <c r="J19" s="24">
        <f>IF(COUNT(Captura_NoFin!I19,Captura_NoFin!H19)&lt;2,"",IFERROR(Captura_NoFin!I19/Captura_NoFin!H19,""))</f>
        <v>0.54905637760618975</v>
      </c>
      <c r="K19" s="23">
        <f>IF(OR(E19="",COUNT(Captura_NoFin!L19)&lt;1),"",IFERROR(E19/ABS(Captura_NoFin!L19),""))</f>
        <v>3.4774874339819135</v>
      </c>
      <c r="L19" s="23">
        <f>IF(COUNT(Captura_NoFin!K19,Captura_NoFin!H19)&lt;2,"",IFERROR(Captura_NoFin!K19/Captura_NoFin!H19,""))</f>
        <v>0.22162059452940278</v>
      </c>
      <c r="M19" s="24">
        <f>IF(COUNT(Captura_NoFin!R19)&lt;1,"",IFERROR(IF(D19=2017,Captura_NoFin!R19/INDEX(Empresas!$I$2:$I$23,MATCH($A19,Empresas!$B$2:$B$23,0))-1,IF(COUNT(Captura_NoFin!R18)&lt;1,"",Captura_NoFin!R19/Captura_NoFin!R18-1)),""))</f>
        <v>0.17189522134196422</v>
      </c>
      <c r="N19" s="24">
        <f>IF(COUNT(Captura_NoFin!P19,Captura_NoFin!O19)&lt;2,"",IF(Captura_NoFin!O19&lt;=0,"",Captura_NoFin!P19/Captura_NoFin!O19))</f>
        <v>5.7684847293396901E-2</v>
      </c>
      <c r="O19" s="25">
        <f t="shared" si="0"/>
        <v>8</v>
      </c>
      <c r="P19" s="26" t="str">
        <f>IF(COUNT(Captura_NoFin!H19,Captura_NoFin!I19,Captura_NoFin!J19)&lt;3,"",IF(ABS(Captura_NoFin!H19-Captura_NoFin!I19-Captura_NoFin!J19)&lt;=0.005*ABS(Captura_NoFin!H19),"OK","REVISAR"))</f>
        <v>OK</v>
      </c>
    </row>
    <row r="20" spans="1:16" ht="15" customHeight="1" x14ac:dyDescent="0.2">
      <c r="A20" s="20" t="str">
        <f>Captura_NoFin!A20</f>
        <v>ENELAM</v>
      </c>
      <c r="B20" s="20">
        <f>Captura_NoFin!B20</f>
        <v>1</v>
      </c>
      <c r="C20" s="20" t="str">
        <f>Captura_NoFin!C20</f>
        <v>Servicios básicos e infraestructura</v>
      </c>
      <c r="D20" s="21">
        <f>Captura_NoFin!D20</f>
        <v>2017</v>
      </c>
      <c r="E20" s="22">
        <f>IF(COUNT(Captura_NoFin!M20,Captura_NoFin!L20)&lt;2,"",Captura_NoFin!M20+ABS(Captura_NoFin!L20))</f>
        <v>2515183</v>
      </c>
      <c r="F20" s="23">
        <f>IF(COUNT(Captura_NoFin!F20,Captura_NoFin!G20)&lt;2,"",IFERROR(Captura_NoFin!F20/Captura_NoFin!G20,""))</f>
        <v>0.92118189762513136</v>
      </c>
      <c r="G20" s="24">
        <f>IF(COUNT(Captura_NoFin!F20,Captura_NoFin!G20,Captura_NoFin!H20)&lt;3,"",IFERROR((Captura_NoFin!F20-Captura_NoFin!G20)/Captura_NoFin!H20,""))</f>
        <v>-1.9282818857919069E-2</v>
      </c>
      <c r="H20" s="24">
        <f>IF(OR(E20="",COUNT(Captura_NoFin!K20)&lt;1),"",IFERROR(E20/Captura_NoFin!K20,""))</f>
        <v>0.26505559017947228</v>
      </c>
      <c r="I20" s="24">
        <f>IF(COUNT(Captura_NoFin!N20,Captura_NoFin!H20)&lt;2,"",IFERROR(Captura_NoFin!N20/Captura_NoFin!H20,""))</f>
        <v>5.5853760854967904E-2</v>
      </c>
      <c r="J20" s="24">
        <f>IF(COUNT(Captura_NoFin!I20,Captura_NoFin!H20)&lt;2,"",IFERROR(Captura_NoFin!I20/Captura_NoFin!H20,""))</f>
        <v>0.58954282839434058</v>
      </c>
      <c r="K20" s="23">
        <f>IF(OR(E20="",COUNT(Captura_NoFin!L20)&lt;1),"",IFERROR(E20/ABS(Captura_NoFin!L20),""))</f>
        <v>2.8925609664935856</v>
      </c>
      <c r="L20" s="23">
        <f>IF(COUNT(Captura_NoFin!K20,Captura_NoFin!H20)&lt;2,"",IFERROR(Captura_NoFin!K20/Captura_NoFin!H20,""))</f>
        <v>0.47048788905701827</v>
      </c>
      <c r="M20" s="24">
        <f>IF(COUNT(Captura_NoFin!R20)&lt;1,"",IFERROR(IF(D20=2017,Captura_NoFin!R20/INDEX(Empresas!$I$2:$I$23,MATCH($A20,Empresas!$B$2:$B$23,0))-1,IF(COUNT(Captura_NoFin!R19)&lt;1,"",Captura_NoFin!R20/Captura_NoFin!R19-1)),""))</f>
        <v>0.29300662270456934</v>
      </c>
      <c r="N20" s="24">
        <f>IF(COUNT(Captura_NoFin!P20,Captura_NoFin!O20)&lt;2,"",IF(Captura_NoFin!O20&lt;=0,"",Captura_NoFin!P20/Captura_NoFin!O20))</f>
        <v>0.10941226339875605</v>
      </c>
      <c r="O20" s="25">
        <f t="shared" si="0"/>
        <v>8</v>
      </c>
      <c r="P20" s="26" t="str">
        <f>IF(COUNT(Captura_NoFin!H20,Captura_NoFin!I20,Captura_NoFin!J20)&lt;3,"",IF(ABS(Captura_NoFin!H20-Captura_NoFin!I20-Captura_NoFin!J20)&lt;=0.005*ABS(Captura_NoFin!H20),"OK","REVISAR"))</f>
        <v>OK</v>
      </c>
    </row>
    <row r="21" spans="1:16" ht="15" customHeight="1" x14ac:dyDescent="0.2">
      <c r="A21" s="20" t="str">
        <f>Captura_NoFin!A21</f>
        <v>ENELAM</v>
      </c>
      <c r="B21" s="20">
        <f>Captura_NoFin!B21</f>
        <v>1</v>
      </c>
      <c r="C21" s="20" t="str">
        <f>Captura_NoFin!C21</f>
        <v>Servicios básicos e infraestructura</v>
      </c>
      <c r="D21" s="21">
        <f>Captura_NoFin!D21</f>
        <v>2018</v>
      </c>
      <c r="E21" s="22">
        <f>IF(COUNT(Captura_NoFin!M21,Captura_NoFin!L21)&lt;2,"",Captura_NoFin!M21+ABS(Captura_NoFin!L21))</f>
        <v>3176749</v>
      </c>
      <c r="F21" s="23">
        <f>IF(COUNT(Captura_NoFin!F21,Captura_NoFin!G21)&lt;2,"",IFERROR(Captura_NoFin!F21/Captura_NoFin!G21,""))</f>
        <v>0.66150113006690869</v>
      </c>
      <c r="G21" s="24">
        <f>IF(COUNT(Captura_NoFin!F21,Captura_NoFin!G21,Captura_NoFin!H21)&lt;3,"",IFERROR((Captura_NoFin!F21-Captura_NoFin!G21)/Captura_NoFin!H21,""))</f>
        <v>-0.11924104066978834</v>
      </c>
      <c r="H21" s="24">
        <f>IF(OR(E21="",COUNT(Captura_NoFin!K21)&lt;1),"",IFERROR(E21/Captura_NoFin!K21,""))</f>
        <v>0.26212673281770793</v>
      </c>
      <c r="I21" s="24">
        <f>IF(COUNT(Captura_NoFin!N21,Captura_NoFin!H21)&lt;2,"",IFERROR(Captura_NoFin!N21/Captura_NoFin!H21,""))</f>
        <v>6.0849625402736043E-2</v>
      </c>
      <c r="J21" s="24">
        <f>IF(COUNT(Captura_NoFin!I21,Captura_NoFin!H21)&lt;2,"",IFERROR(Captura_NoFin!I21/Captura_NoFin!H21,""))</f>
        <v>0.67762500969106987</v>
      </c>
      <c r="K21" s="23">
        <f>IF(OR(E21="",COUNT(Captura_NoFin!L21)&lt;1),"",IFERROR(E21/ABS(Captura_NoFin!L21),""))</f>
        <v>2.964051619813783</v>
      </c>
      <c r="L21" s="23">
        <f>IF(COUNT(Captura_NoFin!K21,Captura_NoFin!H21)&lt;2,"",IFERROR(Captura_NoFin!K21/Captura_NoFin!H21,""))</f>
        <v>0.44236299163290183</v>
      </c>
      <c r="M21" s="24">
        <f>IF(COUNT(Captura_NoFin!R21)&lt;1,"",IFERROR(IF(D21=2017,Captura_NoFin!R21/INDEX(Empresas!$I$2:$I$23,MATCH($A21,Empresas!$B$2:$B$23,0))-1,IF(COUNT(Captura_NoFin!R20)&lt;1,"",Captura_NoFin!R21/Captura_NoFin!R20-1)),""))</f>
        <v>-0.10592104861077045</v>
      </c>
      <c r="N21" s="24">
        <f>IF(COUNT(Captura_NoFin!P21,Captura_NoFin!O21)&lt;2,"",IF(Captura_NoFin!O21&lt;=0,"",Captura_NoFin!P21/Captura_NoFin!O21))</f>
        <v>0.17867037041002926</v>
      </c>
      <c r="O21" s="25">
        <f t="shared" si="0"/>
        <v>8</v>
      </c>
      <c r="P21" s="26" t="str">
        <f>IF(COUNT(Captura_NoFin!H21,Captura_NoFin!I21,Captura_NoFin!J21)&lt;3,"",IF(ABS(Captura_NoFin!H21-Captura_NoFin!I21-Captura_NoFin!J21)&lt;=0.005*ABS(Captura_NoFin!H21),"OK","REVISAR"))</f>
        <v>OK</v>
      </c>
    </row>
    <row r="22" spans="1:16" ht="15" customHeight="1" x14ac:dyDescent="0.2">
      <c r="A22" s="20" t="str">
        <f>Captura_NoFin!A22</f>
        <v>ENELAM</v>
      </c>
      <c r="B22" s="20">
        <f>Captura_NoFin!B22</f>
        <v>1</v>
      </c>
      <c r="C22" s="20" t="str">
        <f>Captura_NoFin!C22</f>
        <v>Servicios básicos e infraestructura</v>
      </c>
      <c r="D22" s="21">
        <f>Captura_NoFin!D22</f>
        <v>2019</v>
      </c>
      <c r="E22" s="22">
        <f>IF(COUNT(Captura_NoFin!M22,Captura_NoFin!L22)&lt;2,"",Captura_NoFin!M22+ABS(Captura_NoFin!L22))</f>
        <v>3494740</v>
      </c>
      <c r="F22" s="23">
        <f>IF(COUNT(Captura_NoFin!F22,Captura_NoFin!G22)&lt;2,"",IFERROR(Captura_NoFin!F22/Captura_NoFin!G22,""))</f>
        <v>0.97703688220130491</v>
      </c>
      <c r="G22" s="24">
        <f>IF(COUNT(Captura_NoFin!F22,Captura_NoFin!G22,Captura_NoFin!H22)&lt;3,"",IFERROR((Captura_NoFin!F22-Captura_NoFin!G22)/Captura_NoFin!H22,""))</f>
        <v>-5.1946535885619956E-3</v>
      </c>
      <c r="H22" s="24">
        <f>IF(OR(E22="",COUNT(Captura_NoFin!K22)&lt;1),"",IFERROR(E22/Captura_NoFin!K22,""))</f>
        <v>0.26772690834922708</v>
      </c>
      <c r="I22" s="24">
        <f>IF(COUNT(Captura_NoFin!N22,Captura_NoFin!H22)&lt;2,"",IFERROR(Captura_NoFin!N22/Captura_NoFin!H22,""))</f>
        <v>7.2868586057998175E-2</v>
      </c>
      <c r="J22" s="24">
        <f>IF(COUNT(Captura_NoFin!I22,Captura_NoFin!H22)&lt;2,"",IFERROR(Captura_NoFin!I22/Captura_NoFin!H22,""))</f>
        <v>0.58872823510067573</v>
      </c>
      <c r="K22" s="23">
        <f>IF(OR(E22="",COUNT(Captura_NoFin!L22)&lt;1),"",IFERROR(E22/ABS(Captura_NoFin!L22),""))</f>
        <v>3.2102153989735731</v>
      </c>
      <c r="L22" s="23">
        <f>IF(COUNT(Captura_NoFin!K22,Captura_NoFin!H22)&lt;2,"",IFERROR(Captura_NoFin!K22/Captura_NoFin!H22,""))</f>
        <v>0.43838016059975582</v>
      </c>
      <c r="M22" s="24">
        <f>IF(COUNT(Captura_NoFin!R22)&lt;1,"",IFERROR(IF(D22=2017,Captura_NoFin!R22/INDEX(Empresas!$I$2:$I$23,MATCH($A22,Empresas!$B$2:$B$23,0))-1,IF(COUNT(Captura_NoFin!R21)&lt;1,"",Captura_NoFin!R22/Captura_NoFin!R21-1)),""))</f>
        <v>0.38504315935094779</v>
      </c>
      <c r="N22" s="24">
        <f>IF(COUNT(Captura_NoFin!P22,Captura_NoFin!O22)&lt;2,"",IF(Captura_NoFin!O22&lt;=0,"",Captura_NoFin!P22/Captura_NoFin!O22))</f>
        <v>0.16195449719639821</v>
      </c>
      <c r="O22" s="25">
        <f t="shared" si="0"/>
        <v>8</v>
      </c>
      <c r="P22" s="26" t="str">
        <f>IF(COUNT(Captura_NoFin!H22,Captura_NoFin!I22,Captura_NoFin!J22)&lt;3,"",IF(ABS(Captura_NoFin!H22-Captura_NoFin!I22-Captura_NoFin!J22)&lt;=0.005*ABS(Captura_NoFin!H22),"OK","REVISAR"))</f>
        <v>OK</v>
      </c>
    </row>
    <row r="23" spans="1:16" ht="15" customHeight="1" x14ac:dyDescent="0.2">
      <c r="A23" s="20" t="str">
        <f>Captura_NoFin!A23</f>
        <v>ENELAM</v>
      </c>
      <c r="B23" s="20">
        <f>Captura_NoFin!B23</f>
        <v>1</v>
      </c>
      <c r="C23" s="20" t="str">
        <f>Captura_NoFin!C23</f>
        <v>Servicios básicos e infraestructura</v>
      </c>
      <c r="D23" s="21">
        <f>Captura_NoFin!D23</f>
        <v>2020</v>
      </c>
      <c r="E23" s="22">
        <f>IF(COUNT(Captura_NoFin!M23,Captura_NoFin!L23)&lt;2,"",Captura_NoFin!M23+ABS(Captura_NoFin!L23))</f>
        <v>2516265</v>
      </c>
      <c r="F23" s="23">
        <f>IF(COUNT(Captura_NoFin!F23,Captura_NoFin!G23)&lt;2,"",IFERROR(Captura_NoFin!F23/Captura_NoFin!G23,""))</f>
        <v>0.84912292080686835</v>
      </c>
      <c r="G23" s="24">
        <f>IF(COUNT(Captura_NoFin!F23,Captura_NoFin!G23,Captura_NoFin!H23)&lt;3,"",IFERROR((Captura_NoFin!F23-Captura_NoFin!G23)/Captura_NoFin!H23,""))</f>
        <v>-4.0765724305715567E-2</v>
      </c>
      <c r="H23" s="24">
        <f>IF(OR(E23="",COUNT(Captura_NoFin!K23)&lt;1),"",IFERROR(E23/Captura_NoFin!K23,""))</f>
        <v>0.22388738974084471</v>
      </c>
      <c r="I23" s="24">
        <f>IF(COUNT(Captura_NoFin!N23,Captura_NoFin!H23)&lt;2,"",IFERROR(Captura_NoFin!N23/Captura_NoFin!H23,""))</f>
        <v>4.3858000491431542E-2</v>
      </c>
      <c r="J23" s="24">
        <f>IF(COUNT(Captura_NoFin!I23,Captura_NoFin!H23)&lt;2,"",IFERROR(Captura_NoFin!I23/Captura_NoFin!H23,""))</f>
        <v>0.61632759400002035</v>
      </c>
      <c r="K23" s="23">
        <f>IF(OR(E23="",COUNT(Captura_NoFin!L23)&lt;1),"",IFERROR(E23/ABS(Captura_NoFin!L23),""))</f>
        <v>3.2744553017556051</v>
      </c>
      <c r="L23" s="23">
        <f>IF(COUNT(Captura_NoFin!K23,Captura_NoFin!H23)&lt;2,"",IFERROR(Captura_NoFin!K23/Captura_NoFin!H23,""))</f>
        <v>0.41728523205140589</v>
      </c>
      <c r="M23" s="24">
        <f>IF(COUNT(Captura_NoFin!R23)&lt;1,"",IFERROR(IF(D23=2017,Captura_NoFin!R23/INDEX(Empresas!$I$2:$I$23,MATCH($A23,Empresas!$B$2:$B$23,0))-1,IF(COUNT(Captura_NoFin!R22)&lt;1,"",Captura_NoFin!R23/Captura_NoFin!R22-1)),""))</f>
        <v>-0.30527448947472846</v>
      </c>
      <c r="N23" s="24">
        <f>IF(COUNT(Captura_NoFin!P23,Captura_NoFin!O23)&lt;2,"",IF(Captura_NoFin!O23&lt;=0,"",Captura_NoFin!P23/Captura_NoFin!O23))</f>
        <v>0.10180253567203673</v>
      </c>
      <c r="O23" s="25">
        <f t="shared" si="0"/>
        <v>8</v>
      </c>
      <c r="P23" s="26" t="str">
        <f>IF(COUNT(Captura_NoFin!H23,Captura_NoFin!I23,Captura_NoFin!J23)&lt;3,"",IF(ABS(Captura_NoFin!H23-Captura_NoFin!I23-Captura_NoFin!J23)&lt;=0.005*ABS(Captura_NoFin!H23),"OK","REVISAR"))</f>
        <v>OK</v>
      </c>
    </row>
    <row r="24" spans="1:16" ht="15" customHeight="1" x14ac:dyDescent="0.2">
      <c r="A24" s="20" t="str">
        <f>Captura_NoFin!A24</f>
        <v>ENELAM</v>
      </c>
      <c r="B24" s="20">
        <f>Captura_NoFin!B24</f>
        <v>1</v>
      </c>
      <c r="C24" s="20" t="str">
        <f>Captura_NoFin!C24</f>
        <v>Servicios básicos e infraestructura</v>
      </c>
      <c r="D24" s="21">
        <f>Captura_NoFin!D24</f>
        <v>2021</v>
      </c>
      <c r="E24" s="22">
        <f>IF(COUNT(Captura_NoFin!M24,Captura_NoFin!L24)&lt;2,"",Captura_NoFin!M24+ABS(Captura_NoFin!L24))</f>
        <v>2992868</v>
      </c>
      <c r="F24" s="23">
        <f>IF(COUNT(Captura_NoFin!F24,Captura_NoFin!G24)&lt;2,"",IFERROR(Captura_NoFin!F24/Captura_NoFin!G24,""))</f>
        <v>0.90596474853422482</v>
      </c>
      <c r="G24" s="24">
        <f>IF(COUNT(Captura_NoFin!F24,Captura_NoFin!G24,Captura_NoFin!H24)&lt;3,"",IFERROR((Captura_NoFin!F24-Captura_NoFin!G24)/Captura_NoFin!H24,""))</f>
        <v>-2.0969029436763782E-2</v>
      </c>
      <c r="H24" s="24">
        <f>IF(OR(E24="",COUNT(Captura_NoFin!K24)&lt;1),"",IFERROR(E24/Captura_NoFin!K24,""))</f>
        <v>0.20590733114716564</v>
      </c>
      <c r="I24" s="24">
        <f>IF(COUNT(Captura_NoFin!N24,Captura_NoFin!H24)&lt;2,"",IFERROR(Captura_NoFin!N24/Captura_NoFin!H24,""))</f>
        <v>3.2452673476522656E-2</v>
      </c>
      <c r="J24" s="24">
        <f>IF(COUNT(Captura_NoFin!I24,Captura_NoFin!H24)&lt;2,"",IFERROR(Captura_NoFin!I24/Captura_NoFin!H24,""))</f>
        <v>0.57006437094856832</v>
      </c>
      <c r="K24" s="23">
        <f>IF(OR(E24="",COUNT(Captura_NoFin!L24)&lt;1),"",IFERROR(E24/ABS(Captura_NoFin!L24),""))</f>
        <v>2.844755789803862</v>
      </c>
      <c r="L24" s="23">
        <f>IF(COUNT(Captura_NoFin!K24,Captura_NoFin!H24)&lt;2,"",IFERROR(Captura_NoFin!K24/Captura_NoFin!H24,""))</f>
        <v>0.41577418627533824</v>
      </c>
      <c r="M24" s="24">
        <f>IF(COUNT(Captura_NoFin!R24)&lt;1,"",IFERROR(IF(D24=2017,Captura_NoFin!R24/INDEX(Empresas!$I$2:$I$23,MATCH($A24,Empresas!$B$2:$B$23,0))-1,IF(COUNT(Captura_NoFin!R23)&lt;1,"",Captura_NoFin!R24/Captura_NoFin!R23-1)),""))</f>
        <v>-0.19831384604455371</v>
      </c>
      <c r="N24" s="24">
        <f>IF(COUNT(Captura_NoFin!P24,Captura_NoFin!O24)&lt;2,"",IF(Captura_NoFin!O24&lt;=0,"",Captura_NoFin!P24/Captura_NoFin!O24))</f>
        <v>5.7732315295265818E-2</v>
      </c>
      <c r="O24" s="25">
        <f t="shared" si="0"/>
        <v>8</v>
      </c>
      <c r="P24" s="26" t="str">
        <f>IF(COUNT(Captura_NoFin!H24,Captura_NoFin!I24,Captura_NoFin!J24)&lt;3,"",IF(ABS(Captura_NoFin!H24-Captura_NoFin!I24-Captura_NoFin!J24)&lt;=0.005*ABS(Captura_NoFin!H24),"OK","REVISAR"))</f>
        <v>OK</v>
      </c>
    </row>
    <row r="25" spans="1:16" ht="15" customHeight="1" x14ac:dyDescent="0.2">
      <c r="A25" s="20" t="str">
        <f>Captura_NoFin!A25</f>
        <v>ENELAM</v>
      </c>
      <c r="B25" s="20">
        <f>Captura_NoFin!B25</f>
        <v>1</v>
      </c>
      <c r="C25" s="20" t="str">
        <f>Captura_NoFin!C25</f>
        <v>Servicios básicos e infraestructura</v>
      </c>
      <c r="D25" s="21">
        <f>Captura_NoFin!D25</f>
        <v>2022</v>
      </c>
      <c r="E25" s="22">
        <f>IF(COUNT(Captura_NoFin!M25,Captura_NoFin!L25)&lt;2,"",Captura_NoFin!M25+ABS(Captura_NoFin!L25))</f>
        <v>2696651</v>
      </c>
      <c r="F25" s="23">
        <f>IF(COUNT(Captura_NoFin!F25,Captura_NoFin!G25)&lt;2,"",IFERROR(Captura_NoFin!F25/Captura_NoFin!G25,""))</f>
        <v>0.97941937980858262</v>
      </c>
      <c r="G25" s="24">
        <f>IF(COUNT(Captura_NoFin!F25,Captura_NoFin!G25,Captura_NoFin!H25)&lt;3,"",IFERROR((Captura_NoFin!F25-Captura_NoFin!G25)/Captura_NoFin!H25,""))</f>
        <v>-4.6915412697437226E-3</v>
      </c>
      <c r="H25" s="24">
        <f>IF(OR(E25="",COUNT(Captura_NoFin!K25)&lt;1),"",IFERROR(E25/Captura_NoFin!K25,""))</f>
        <v>0.19877017793154669</v>
      </c>
      <c r="I25" s="24">
        <f>IF(COUNT(Captura_NoFin!N25,Captura_NoFin!H25)&lt;2,"",IFERROR(Captura_NoFin!N25/Captura_NoFin!H25,""))</f>
        <v>8.7163420046220633E-3</v>
      </c>
      <c r="J25" s="24">
        <f>IF(COUNT(Captura_NoFin!I25,Captura_NoFin!H25)&lt;2,"",IFERROR(Captura_NoFin!I25/Captura_NoFin!H25,""))</f>
        <v>0.55578090500544852</v>
      </c>
      <c r="K25" s="23">
        <f>IF(OR(E25="",COUNT(Captura_NoFin!L25)&lt;1),"",IFERROR(E25/ABS(Captura_NoFin!L25),""))</f>
        <v>1.7358037676386795</v>
      </c>
      <c r="L25" s="23">
        <f>IF(COUNT(Captura_NoFin!K25,Captura_NoFin!H25)&lt;2,"",IFERROR(Captura_NoFin!K25/Captura_NoFin!H25,""))</f>
        <v>0.39014251223059809</v>
      </c>
      <c r="M25" s="24">
        <f>IF(COUNT(Captura_NoFin!R25)&lt;1,"",IFERROR(IF(D25=2017,Captura_NoFin!R25/INDEX(Empresas!$I$2:$I$23,MATCH($A25,Empresas!$B$2:$B$23,0))-1,IF(COUNT(Captura_NoFin!R24)&lt;1,"",Captura_NoFin!R25/Captura_NoFin!R24-1)),""))</f>
        <v>0.22045619577034303</v>
      </c>
      <c r="N25" s="24">
        <f>IF(COUNT(Captura_NoFin!P25,Captura_NoFin!O25)&lt;2,"",IF(Captura_NoFin!O25&lt;=0,"",Captura_NoFin!P25/Captura_NoFin!O25))</f>
        <v>-3.4069992243664694E-3</v>
      </c>
      <c r="O25" s="25">
        <f t="shared" si="0"/>
        <v>8</v>
      </c>
      <c r="P25" s="26" t="str">
        <f>IF(COUNT(Captura_NoFin!H25,Captura_NoFin!I25,Captura_NoFin!J25)&lt;3,"",IF(ABS(Captura_NoFin!H25-Captura_NoFin!I25-Captura_NoFin!J25)&lt;=0.005*ABS(Captura_NoFin!H25),"OK","REVISAR"))</f>
        <v>OK</v>
      </c>
    </row>
    <row r="26" spans="1:16" ht="15" customHeight="1" x14ac:dyDescent="0.2">
      <c r="A26" s="20" t="str">
        <f>Captura_NoFin!A26</f>
        <v>ENELAM</v>
      </c>
      <c r="B26" s="20">
        <f>Captura_NoFin!B26</f>
        <v>1</v>
      </c>
      <c r="C26" s="20" t="str">
        <f>Captura_NoFin!C26</f>
        <v>Servicios básicos e infraestructura</v>
      </c>
      <c r="D26" s="21">
        <f>Captura_NoFin!D26</f>
        <v>2023</v>
      </c>
      <c r="E26" s="22">
        <f>IF(COUNT(Captura_NoFin!M26,Captura_NoFin!L26)&lt;2,"",Captura_NoFin!M26+ABS(Captura_NoFin!L26))</f>
        <v>3085721</v>
      </c>
      <c r="F26" s="23">
        <f>IF(COUNT(Captura_NoFin!F26,Captura_NoFin!G26)&lt;2,"",IFERROR(Captura_NoFin!F26/Captura_NoFin!G26,""))</f>
        <v>1.0608629009542099</v>
      </c>
      <c r="G26" s="24">
        <f>IF(COUNT(Captura_NoFin!F26,Captura_NoFin!G26,Captura_NoFin!H26)&lt;3,"",IFERROR((Captura_NoFin!F26-Captura_NoFin!G26)/Captura_NoFin!H26,""))</f>
        <v>1.6064147077114767E-2</v>
      </c>
      <c r="H26" s="24">
        <f>IF(OR(E26="",COUNT(Captura_NoFin!K26)&lt;1),"",IFERROR(E26/Captura_NoFin!K26,""))</f>
        <v>0.26220328455027558</v>
      </c>
      <c r="I26" s="24">
        <f>IF(COUNT(Captura_NoFin!N26,Captura_NoFin!H26)&lt;2,"",IFERROR(Captura_NoFin!N26/Captura_NoFin!H26,""))</f>
        <v>3.1814629783788656E-2</v>
      </c>
      <c r="J26" s="24">
        <f>IF(COUNT(Captura_NoFin!I26,Captura_NoFin!H26)&lt;2,"",IFERROR(Captura_NoFin!I26/Captura_NoFin!H26,""))</f>
        <v>0.5381646238686647</v>
      </c>
      <c r="K26" s="23">
        <f>IF(OR(E26="",COUNT(Captura_NoFin!L26)&lt;1),"",IFERROR(E26/ABS(Captura_NoFin!L26),""))</f>
        <v>1.8869922134658792</v>
      </c>
      <c r="L26" s="23">
        <f>IF(COUNT(Captura_NoFin!K26,Captura_NoFin!H26)&lt;2,"",IFERROR(Captura_NoFin!K26/Captura_NoFin!H26,""))</f>
        <v>0.31931982586743396</v>
      </c>
      <c r="M26" s="24">
        <f>IF(COUNT(Captura_NoFin!R26)&lt;1,"",IFERROR(IF(D26=2017,Captura_NoFin!R26/INDEX(Empresas!$I$2:$I$23,MATCH($A26,Empresas!$B$2:$B$23,0))-1,IF(COUNT(Captura_NoFin!R25)&lt;1,"",Captura_NoFin!R26/Captura_NoFin!R25-1)),""))</f>
        <v>-0.14096922844725723</v>
      </c>
      <c r="N26" s="24">
        <f>IF(COUNT(Captura_NoFin!P26,Captura_NoFin!O26)&lt;2,"",IF(Captura_NoFin!O26&lt;=0,"",Captura_NoFin!P26/Captura_NoFin!O26))</f>
        <v>5.9585703523638685E-2</v>
      </c>
      <c r="O26" s="25">
        <f t="shared" si="0"/>
        <v>8</v>
      </c>
      <c r="P26" s="26" t="str">
        <f>IF(COUNT(Captura_NoFin!H26,Captura_NoFin!I26,Captura_NoFin!J26)&lt;3,"",IF(ABS(Captura_NoFin!H26-Captura_NoFin!I26-Captura_NoFin!J26)&lt;=0.005*ABS(Captura_NoFin!H26),"OK","REVISAR"))</f>
        <v>OK</v>
      </c>
    </row>
    <row r="27" spans="1:16" ht="15" customHeight="1" x14ac:dyDescent="0.2">
      <c r="A27" s="20" t="str">
        <f>Captura_NoFin!A27</f>
        <v>ENELAM</v>
      </c>
      <c r="B27" s="20">
        <f>Captura_NoFin!B27</f>
        <v>1</v>
      </c>
      <c r="C27" s="20" t="str">
        <f>Captura_NoFin!C27</f>
        <v>Servicios básicos e infraestructura</v>
      </c>
      <c r="D27" s="21">
        <f>Captura_NoFin!D27</f>
        <v>2024</v>
      </c>
      <c r="E27" s="22">
        <f>IF(COUNT(Captura_NoFin!M27,Captura_NoFin!L27)&lt;2,"",Captura_NoFin!M27+ABS(Captura_NoFin!L27))</f>
        <v>2900232</v>
      </c>
      <c r="F27" s="23">
        <f>IF(COUNT(Captura_NoFin!F27,Captura_NoFin!G27)&lt;2,"",IFERROR(Captura_NoFin!F27/Captura_NoFin!G27,""))</f>
        <v>1.042779483725595</v>
      </c>
      <c r="G27" s="24">
        <f>IF(COUNT(Captura_NoFin!F27,Captura_NoFin!G27,Captura_NoFin!H27)&lt;3,"",IFERROR((Captura_NoFin!F27-Captura_NoFin!G27)/Captura_NoFin!H27,""))</f>
        <v>9.6675054647013849E-3</v>
      </c>
      <c r="H27" s="24">
        <f>IF(OR(E27="",COUNT(Captura_NoFin!K27)&lt;1),"",IFERROR(E27/Captura_NoFin!K27,""))</f>
        <v>0.2298868286335542</v>
      </c>
      <c r="I27" s="24">
        <f>IF(COUNT(Captura_NoFin!N27,Captura_NoFin!H27)&lt;2,"",IFERROR(Captura_NoFin!N27/Captura_NoFin!H27,""))</f>
        <v>9.0885953863344818E-2</v>
      </c>
      <c r="J27" s="24">
        <f>IF(COUNT(Captura_NoFin!I27,Captura_NoFin!H27)&lt;2,"",IFERROR(Captura_NoFin!I27/Captura_NoFin!H27,""))</f>
        <v>0.47888272190708669</v>
      </c>
      <c r="K27" s="23">
        <f>IF(OR(E27="",COUNT(Captura_NoFin!L27)&lt;1),"",IFERROR(E27/ABS(Captura_NoFin!L27),""))</f>
        <v>1.8265231512183508</v>
      </c>
      <c r="L27" s="23">
        <f>IF(COUNT(Captura_NoFin!K27,Captura_NoFin!H27)&lt;2,"",IFERROR(Captura_NoFin!K27/Captura_NoFin!H27,""))</f>
        <v>0.40070438834395655</v>
      </c>
      <c r="M27" s="24">
        <f>IF(COUNT(Captura_NoFin!R27)&lt;1,"",IFERROR(IF(D27=2017,Captura_NoFin!R27/INDEX(Empresas!$I$2:$I$23,MATCH($A27,Empresas!$B$2:$B$23,0))-1,IF(COUNT(Captura_NoFin!R26)&lt;1,"",Captura_NoFin!R27/Captura_NoFin!R26-1)),""))</f>
        <v>-0.10510518595133167</v>
      </c>
      <c r="N27" s="24">
        <f>IF(COUNT(Captura_NoFin!P27,Captura_NoFin!O27)&lt;2,"",IF(Captura_NoFin!O27&lt;=0,"",Captura_NoFin!P27/Captura_NoFin!O27))</f>
        <v>0.18323408604539229</v>
      </c>
      <c r="O27" s="25">
        <f t="shared" si="0"/>
        <v>8</v>
      </c>
      <c r="P27" s="26" t="str">
        <f>IF(COUNT(Captura_NoFin!H27,Captura_NoFin!I27,Captura_NoFin!J27)&lt;3,"",IF(ABS(Captura_NoFin!H27-Captura_NoFin!I27-Captura_NoFin!J27)&lt;=0.005*ABS(Captura_NoFin!H27),"OK","REVISAR"))</f>
        <v>OK</v>
      </c>
    </row>
    <row r="28" spans="1:16" ht="15" customHeight="1" x14ac:dyDescent="0.2">
      <c r="A28" s="20" t="str">
        <f>Captura_NoFin!A28</f>
        <v>ENELAM</v>
      </c>
      <c r="B28" s="20">
        <f>Captura_NoFin!B28</f>
        <v>1</v>
      </c>
      <c r="C28" s="20" t="str">
        <f>Captura_NoFin!C28</f>
        <v>Servicios básicos e infraestructura</v>
      </c>
      <c r="D28" s="21">
        <f>Captura_NoFin!D28</f>
        <v>2025</v>
      </c>
      <c r="E28" s="22">
        <f>IF(COUNT(Captura_NoFin!M28,Captura_NoFin!L28)&lt;2,"",Captura_NoFin!M28+ABS(Captura_NoFin!L28))</f>
        <v>3209311</v>
      </c>
      <c r="F28" s="23">
        <f>IF(COUNT(Captura_NoFin!F28,Captura_NoFin!G28)&lt;2,"",IFERROR(Captura_NoFin!F28/Captura_NoFin!G28,""))</f>
        <v>0.86542517455655488</v>
      </c>
      <c r="G28" s="24">
        <f>IF(COUNT(Captura_NoFin!F28,Captura_NoFin!G28,Captura_NoFin!H28)&lt;3,"",IFERROR((Captura_NoFin!F28-Captura_NoFin!G28)/Captura_NoFin!H28,""))</f>
        <v>-2.9858839191133767E-2</v>
      </c>
      <c r="H28" s="24">
        <f>IF(OR(E28="",COUNT(Captura_NoFin!K28)&lt;1),"",IFERROR(E28/Captura_NoFin!K28,""))</f>
        <v>0.25035804596109568</v>
      </c>
      <c r="I28" s="24">
        <f>IF(COUNT(Captura_NoFin!N28,Captura_NoFin!H28)&lt;2,"",IFERROR(Captura_NoFin!N28/Captura_NoFin!H28,""))</f>
        <v>3.8590487057169234E-2</v>
      </c>
      <c r="J28" s="24">
        <f>IF(COUNT(Captura_NoFin!I28,Captura_NoFin!H28)&lt;2,"",IFERROR(Captura_NoFin!I28/Captura_NoFin!H28,""))</f>
        <v>0.46727450175691426</v>
      </c>
      <c r="K28" s="23">
        <f>IF(OR(E28="",COUNT(Captura_NoFin!L28)&lt;1),"",IFERROR(E28/ABS(Captura_NoFin!L28),""))</f>
        <v>2.4550901272713501</v>
      </c>
      <c r="L28" s="23">
        <f>IF(COUNT(Captura_NoFin!K28,Captura_NoFin!H28)&lt;2,"",IFERROR(Captura_NoFin!K28/Captura_NoFin!H28,""))</f>
        <v>0.36760790409680733</v>
      </c>
      <c r="M28" s="24">
        <f>IF(COUNT(Captura_NoFin!R28)&lt;1,"",IFERROR(IF(D28=2017,Captura_NoFin!R28/INDEX(Empresas!$I$2:$I$23,MATCH($A28,Empresas!$B$2:$B$23,0))-1,IF(COUNT(Captura_NoFin!R27)&lt;1,"",Captura_NoFin!R28/Captura_NoFin!R27-1)),""))</f>
        <v>-1.8146973819440082E-2</v>
      </c>
      <c r="N28" s="24">
        <f>IF(COUNT(Captura_NoFin!P28,Captura_NoFin!O28)&lt;2,"",IF(Captura_NoFin!O28&lt;=0,"",Captura_NoFin!P28/Captura_NoFin!O28))</f>
        <v>5.9916477527467205E-2</v>
      </c>
      <c r="O28" s="25">
        <f t="shared" si="0"/>
        <v>8</v>
      </c>
      <c r="P28" s="26" t="str">
        <f>IF(COUNT(Captura_NoFin!H28,Captura_NoFin!I28,Captura_NoFin!J28)&lt;3,"",IF(ABS(Captura_NoFin!H28-Captura_NoFin!I28-Captura_NoFin!J28)&lt;=0.005*ABS(Captura_NoFin!H28),"OK","REVISAR"))</f>
        <v>OK</v>
      </c>
    </row>
    <row r="29" spans="1:16" ht="15" customHeight="1" x14ac:dyDescent="0.2">
      <c r="A29" s="20" t="str">
        <f>Captura_NoFin!A29</f>
        <v>ENELCHILE</v>
      </c>
      <c r="B29" s="20">
        <f>Captura_NoFin!B29</f>
        <v>1</v>
      </c>
      <c r="C29" s="20" t="str">
        <f>Captura_NoFin!C29</f>
        <v>Servicios básicos e infraestructura</v>
      </c>
      <c r="D29" s="21">
        <f>Captura_NoFin!D29</f>
        <v>2017</v>
      </c>
      <c r="E29" s="22">
        <f>IF(COUNT(Captura_NoFin!M29,Captura_NoFin!L29)&lt;2,"",Captura_NoFin!M29+ABS(Captura_NoFin!L29))</f>
        <v>720271094</v>
      </c>
      <c r="F29" s="23">
        <f>IF(COUNT(Captura_NoFin!F29,Captura_NoFin!G29)&lt;2,"",IFERROR(Captura_NoFin!F29/Captura_NoFin!G29,""))</f>
        <v>1.2917667106407134</v>
      </c>
      <c r="G29" s="24">
        <f>IF(COUNT(Captura_NoFin!F29,Captura_NoFin!G29,Captura_NoFin!H29)&lt;3,"",IFERROR((Captura_NoFin!F29-Captura_NoFin!G29)/Captura_NoFin!H29,""))</f>
        <v>4.184888592841346E-2</v>
      </c>
      <c r="H29" s="24">
        <f>IF(OR(E29="",COUNT(Captura_NoFin!K29)&lt;1),"",IFERROR(E29/Captura_NoFin!K29,""))</f>
        <v>0.28995235107096357</v>
      </c>
      <c r="I29" s="24">
        <f>IF(COUNT(Captura_NoFin!N29,Captura_NoFin!H29)&lt;2,"",IFERROR(Captura_NoFin!N29/Captura_NoFin!H29,""))</f>
        <v>9.1911988461121114E-2</v>
      </c>
      <c r="J29" s="24">
        <f>IF(COUNT(Captura_NoFin!I29,Captura_NoFin!H29)&lt;2,"",IFERROR(Captura_NoFin!I29/Captura_NoFin!H29,""))</f>
        <v>0.33501095624354338</v>
      </c>
      <c r="K29" s="23">
        <f>IF(OR(E29="",COUNT(Captura_NoFin!L29)&lt;1),"",IFERROR(E29/ABS(Captura_NoFin!L29),""))</f>
        <v>13.460273258063658</v>
      </c>
      <c r="L29" s="23">
        <f>IF(COUNT(Captura_NoFin!K29,Captura_NoFin!H29)&lt;2,"",IFERROR(Captura_NoFin!K29/Captura_NoFin!H29,""))</f>
        <v>0.43620730422623372</v>
      </c>
      <c r="M29" s="24">
        <f>IF(COUNT(Captura_NoFin!R29)&lt;1,"",IFERROR(IF(D29=2017,Captura_NoFin!R29/INDEX(Empresas!$I$2:$I$23,MATCH($A29,Empresas!$B$2:$B$23,0))-1,IF(COUNT(Captura_NoFin!R28)&lt;1,"",Captura_NoFin!R29/Captura_NoFin!R28-1)),""))</f>
        <v>0.22792259460583253</v>
      </c>
      <c r="N29" s="24" t="str">
        <f>IF(COUNT(Captura_NoFin!P29,Captura_NoFin!O29)&lt;2,"",IF(Captura_NoFin!O29&lt;=0,"",Captura_NoFin!P29/Captura_NoFin!O29))</f>
        <v/>
      </c>
      <c r="O29" s="25">
        <f t="shared" si="0"/>
        <v>8</v>
      </c>
      <c r="P29" s="26" t="str">
        <f>IF(COUNT(Captura_NoFin!H29,Captura_NoFin!I29,Captura_NoFin!J29)&lt;3,"",IF(ABS(Captura_NoFin!H29-Captura_NoFin!I29-Captura_NoFin!J29)&lt;=0.005*ABS(Captura_NoFin!H29),"OK","REVISAR"))</f>
        <v>OK</v>
      </c>
    </row>
    <row r="30" spans="1:16" ht="15" customHeight="1" x14ac:dyDescent="0.2">
      <c r="A30" s="20" t="str">
        <f>Captura_NoFin!A30</f>
        <v>ENELCHILE</v>
      </c>
      <c r="B30" s="20">
        <f>Captura_NoFin!B30</f>
        <v>1</v>
      </c>
      <c r="C30" s="20" t="str">
        <f>Captura_NoFin!C30</f>
        <v>Servicios básicos e infraestructura</v>
      </c>
      <c r="D30" s="21">
        <f>Captura_NoFin!D30</f>
        <v>2018</v>
      </c>
      <c r="E30" s="22">
        <f>IF(COUNT(Captura_NoFin!M30,Captura_NoFin!L30)&lt;2,"",Captura_NoFin!M30+ABS(Captura_NoFin!L30))</f>
        <v>688514465</v>
      </c>
      <c r="F30" s="23">
        <f>IF(COUNT(Captura_NoFin!F30,Captura_NoFin!G30)&lt;2,"",IFERROR(Captura_NoFin!F30/Captura_NoFin!G30,""))</f>
        <v>0.81887238352131786</v>
      </c>
      <c r="G30" s="24">
        <f>IF(COUNT(Captura_NoFin!F30,Captura_NoFin!G30,Captura_NoFin!H30)&lt;3,"",IFERROR((Captura_NoFin!F30-Captura_NoFin!G30)/Captura_NoFin!H30,""))</f>
        <v>-2.9449223582512778E-2</v>
      </c>
      <c r="H30" s="24">
        <f>IF(OR(E30="",COUNT(Captura_NoFin!K30)&lt;1),"",IFERROR(E30/Captura_NoFin!K30,""))</f>
        <v>0.28564792557443791</v>
      </c>
      <c r="I30" s="24">
        <f>IF(COUNT(Captura_NoFin!N30,Captura_NoFin!H30)&lt;2,"",IFERROR(Captura_NoFin!N30/Captura_NoFin!H30,""))</f>
        <v>5.5134434464378136E-2</v>
      </c>
      <c r="J30" s="24">
        <f>IF(COUNT(Captura_NoFin!I30,Captura_NoFin!H30)&lt;2,"",IFERROR(Captura_NoFin!I30/Captura_NoFin!H30,""))</f>
        <v>0.50932773943849652</v>
      </c>
      <c r="K30" s="23">
        <f>IF(OR(E30="",COUNT(Captura_NoFin!L30)&lt;1),"",IFERROR(E30/ABS(Captura_NoFin!L30),""))</f>
        <v>5.6350536893116345</v>
      </c>
      <c r="L30" s="23">
        <f>IF(COUNT(Captura_NoFin!K30,Captura_NoFin!H30)&lt;2,"",IFERROR(Captura_NoFin!K30/Captura_NoFin!H30,""))</f>
        <v>0.32189556200559399</v>
      </c>
      <c r="M30" s="24">
        <f>IF(COUNT(Captura_NoFin!R30)&lt;1,"",IFERROR(IF(D30=2017,Captura_NoFin!R30/INDEX(Empresas!$I$2:$I$23,MATCH($A30,Empresas!$B$2:$B$23,0))-1,IF(COUNT(Captura_NoFin!R29)&lt;1,"",Captura_NoFin!R30/Captura_NoFin!R29-1)),""))</f>
        <v>-4.2257680613245419E-2</v>
      </c>
      <c r="N30" s="24" t="str">
        <f>IF(COUNT(Captura_NoFin!P30,Captura_NoFin!O30)&lt;2,"",IF(Captura_NoFin!O30&lt;=0,"",Captura_NoFin!P30/Captura_NoFin!O30))</f>
        <v/>
      </c>
      <c r="O30" s="25">
        <f t="shared" si="0"/>
        <v>8</v>
      </c>
      <c r="P30" s="26" t="str">
        <f>IF(COUNT(Captura_NoFin!H30,Captura_NoFin!I30,Captura_NoFin!J30)&lt;3,"",IF(ABS(Captura_NoFin!H30-Captura_NoFin!I30-Captura_NoFin!J30)&lt;=0.005*ABS(Captura_NoFin!H30),"OK","REVISAR"))</f>
        <v>OK</v>
      </c>
    </row>
    <row r="31" spans="1:16" ht="15" customHeight="1" x14ac:dyDescent="0.2">
      <c r="A31" s="20" t="str">
        <f>Captura_NoFin!A31</f>
        <v>ENELCHILE</v>
      </c>
      <c r="B31" s="20">
        <f>Captura_NoFin!B31</f>
        <v>1</v>
      </c>
      <c r="C31" s="20" t="str">
        <f>Captura_NoFin!C31</f>
        <v>Servicios básicos e infraestructura</v>
      </c>
      <c r="D31" s="21">
        <f>Captura_NoFin!D31</f>
        <v>2019</v>
      </c>
      <c r="E31" s="22">
        <f>IF(COUNT(Captura_NoFin!M31,Captura_NoFin!L31)&lt;2,"",Captura_NoFin!M31+ABS(Captura_NoFin!L31))</f>
        <v>542219022</v>
      </c>
      <c r="F31" s="23">
        <f>IF(COUNT(Captura_NoFin!F31,Captura_NoFin!G31)&lt;2,"",IFERROR(Captura_NoFin!F31/Captura_NoFin!G31,""))</f>
        <v>0.97782848815770307</v>
      </c>
      <c r="G31" s="24">
        <f>IF(COUNT(Captura_NoFin!F31,Captura_NoFin!G31,Captura_NoFin!H31)&lt;3,"",IFERROR((Captura_NoFin!F31-Captura_NoFin!G31)/Captura_NoFin!H31,""))</f>
        <v>-2.938053801833138E-3</v>
      </c>
      <c r="H31" s="24">
        <f>IF(OR(E31="",COUNT(Captura_NoFin!K31)&lt;1),"",IFERROR(E31/Captura_NoFin!K31,""))</f>
        <v>0.20659297169160662</v>
      </c>
      <c r="I31" s="24">
        <f>IF(COUNT(Captura_NoFin!N31,Captura_NoFin!H31)&lt;2,"",IFERROR(Captura_NoFin!N31/Captura_NoFin!H31,""))</f>
        <v>4.0225718263120561E-2</v>
      </c>
      <c r="J31" s="24">
        <f>IF(COUNT(Captura_NoFin!I31,Captura_NoFin!H31)&lt;2,"",IFERROR(Captura_NoFin!I31/Captura_NoFin!H31,""))</f>
        <v>0.52312429418416218</v>
      </c>
      <c r="K31" s="23">
        <f>IF(OR(E31="",COUNT(Captura_NoFin!L31)&lt;1),"",IFERROR(E31/ABS(Captura_NoFin!L31),""))</f>
        <v>3.2882105957686543</v>
      </c>
      <c r="L31" s="23">
        <f>IF(COUNT(Captura_NoFin!K31,Captura_NoFin!H31)&lt;2,"",IFERROR(Captura_NoFin!K31/Captura_NoFin!H31,""))</f>
        <v>0.33400105322428936</v>
      </c>
      <c r="M31" s="24">
        <f>IF(COUNT(Captura_NoFin!R31)&lt;1,"",IFERROR(IF(D31=2017,Captura_NoFin!R31/INDEX(Empresas!$I$2:$I$23,MATCH($A31,Empresas!$B$2:$B$23,0))-1,IF(COUNT(Captura_NoFin!R30)&lt;1,"",Captura_NoFin!R31/Captura_NoFin!R30-1)),""))</f>
        <v>0.10500418841702808</v>
      </c>
      <c r="N31" s="24">
        <f>IF(COUNT(Captura_NoFin!P31,Captura_NoFin!O31)&lt;2,"",IF(Captura_NoFin!O31&lt;=0,"",Captura_NoFin!P31/Captura_NoFin!O31))</f>
        <v>8.4986878687856537E-2</v>
      </c>
      <c r="O31" s="25">
        <f t="shared" si="0"/>
        <v>8</v>
      </c>
      <c r="P31" s="26" t="str">
        <f>IF(COUNT(Captura_NoFin!H31,Captura_NoFin!I31,Captura_NoFin!J31)&lt;3,"",IF(ABS(Captura_NoFin!H31-Captura_NoFin!I31-Captura_NoFin!J31)&lt;=0.005*ABS(Captura_NoFin!H31),"OK","REVISAR"))</f>
        <v>OK</v>
      </c>
    </row>
    <row r="32" spans="1:16" ht="15" customHeight="1" x14ac:dyDescent="0.2">
      <c r="A32" s="20" t="str">
        <f>Captura_NoFin!A32</f>
        <v>ENELCHILE</v>
      </c>
      <c r="B32" s="20">
        <f>Captura_NoFin!B32</f>
        <v>1</v>
      </c>
      <c r="C32" s="20" t="str">
        <f>Captura_NoFin!C32</f>
        <v>Servicios básicos e infraestructura</v>
      </c>
      <c r="D32" s="21">
        <f>Captura_NoFin!D32</f>
        <v>2020</v>
      </c>
      <c r="E32" s="22">
        <f>IF(COUNT(Captura_NoFin!M32,Captura_NoFin!L32)&lt;2,"",Captura_NoFin!M32+ABS(Captura_NoFin!L32))</f>
        <v>-6283171</v>
      </c>
      <c r="F32" s="23">
        <f>IF(COUNT(Captura_NoFin!F32,Captura_NoFin!G32)&lt;2,"",IFERROR(Captura_NoFin!F32/Captura_NoFin!G32,""))</f>
        <v>0.98175099859498527</v>
      </c>
      <c r="G32" s="24">
        <f>IF(COUNT(Captura_NoFin!F32,Captura_NoFin!G32,Captura_NoFin!H32)&lt;3,"",IFERROR((Captura_NoFin!F32-Captura_NoFin!G32)/Captura_NoFin!H32,""))</f>
        <v>-2.4136931605420772E-3</v>
      </c>
      <c r="H32" s="24">
        <f>IF(OR(E32="",COUNT(Captura_NoFin!K32)&lt;1),"",IFERROR(E32/Captura_NoFin!K32,""))</f>
        <v>-2.4655508033406249E-3</v>
      </c>
      <c r="I32" s="24">
        <f>IF(COUNT(Captura_NoFin!N32,Captura_NoFin!H32)&lt;2,"",IFERROR(Captura_NoFin!N32/Captura_NoFin!H32,""))</f>
        <v>-6.6274936209575223E-3</v>
      </c>
      <c r="J32" s="24">
        <f>IF(COUNT(Captura_NoFin!I32,Captura_NoFin!H32)&lt;2,"",IFERROR(Captura_NoFin!I32/Captura_NoFin!H32,""))</f>
        <v>0.54528592318866387</v>
      </c>
      <c r="K32" s="23">
        <f>IF(OR(E32="",COUNT(Captura_NoFin!L32)&lt;1),"",IFERROR(E32/ABS(Captura_NoFin!L32),""))</f>
        <v>-4.9315058537061002E-2</v>
      </c>
      <c r="L32" s="23">
        <f>IF(COUNT(Captura_NoFin!K32,Captura_NoFin!H32)&lt;2,"",IFERROR(Captura_NoFin!K32/Captura_NoFin!H32,""))</f>
        <v>0.32239780862244666</v>
      </c>
      <c r="M32" s="24">
        <f>IF(COUNT(Captura_NoFin!R32)&lt;1,"",IFERROR(IF(D32=2017,Captura_NoFin!R32/INDEX(Empresas!$I$2:$I$23,MATCH($A32,Empresas!$B$2:$B$23,0))-1,IF(COUNT(Captura_NoFin!R31)&lt;1,"",Captura_NoFin!R32/Captura_NoFin!R31-1)),""))</f>
        <v>-0.16196797753782377</v>
      </c>
      <c r="N32" s="24">
        <f>IF(COUNT(Captura_NoFin!P32,Captura_NoFin!O32)&lt;2,"",IF(Captura_NoFin!O32&lt;=0,"",Captura_NoFin!P32/Captura_NoFin!O32))</f>
        <v>-1.5173505596929092E-2</v>
      </c>
      <c r="O32" s="25">
        <f t="shared" si="0"/>
        <v>8</v>
      </c>
      <c r="P32" s="26" t="str">
        <f>IF(COUNT(Captura_NoFin!H32,Captura_NoFin!I32,Captura_NoFin!J32)&lt;3,"",IF(ABS(Captura_NoFin!H32-Captura_NoFin!I32-Captura_NoFin!J32)&lt;=0.005*ABS(Captura_NoFin!H32),"OK","REVISAR"))</f>
        <v>OK</v>
      </c>
    </row>
    <row r="33" spans="1:16" ht="15" customHeight="1" x14ac:dyDescent="0.2">
      <c r="A33" s="20" t="str">
        <f>Captura_NoFin!A33</f>
        <v>ENELCHILE</v>
      </c>
      <c r="B33" s="20">
        <f>Captura_NoFin!B33</f>
        <v>1</v>
      </c>
      <c r="C33" s="20" t="str">
        <f>Captura_NoFin!C33</f>
        <v>Servicios básicos e infraestructura</v>
      </c>
      <c r="D33" s="21">
        <f>Captura_NoFin!D33</f>
        <v>2021</v>
      </c>
      <c r="E33" s="22">
        <f>IF(COUNT(Captura_NoFin!M33,Captura_NoFin!L33)&lt;2,"",Captura_NoFin!M33+ABS(Captura_NoFin!L33))</f>
        <v>289891908</v>
      </c>
      <c r="F33" s="23">
        <f>IF(COUNT(Captura_NoFin!F33,Captura_NoFin!G33)&lt;2,"",IFERROR(Captura_NoFin!F33/Captura_NoFin!G33,""))</f>
        <v>0.59477414050853927</v>
      </c>
      <c r="G33" s="24">
        <f>IF(COUNT(Captura_NoFin!F33,Captura_NoFin!G33,Captura_NoFin!H33)&lt;3,"",IFERROR((Captura_NoFin!F33-Captura_NoFin!G33)/Captura_NoFin!H33,""))</f>
        <v>-9.0952030767015996E-2</v>
      </c>
      <c r="H33" s="24">
        <f>IF(OR(E33="",COUNT(Captura_NoFin!K33)&lt;1),"",IFERROR(E33/Captura_NoFin!K33,""))</f>
        <v>0.10244680024521932</v>
      </c>
      <c r="I33" s="24">
        <f>IF(COUNT(Captura_NoFin!N33,Captura_NoFin!H33)&lt;2,"",IFERROR(Captura_NoFin!N33/Captura_NoFin!H33,""))</f>
        <v>1.0600705647795285E-2</v>
      </c>
      <c r="J33" s="24">
        <f>IF(COUNT(Captura_NoFin!I33,Captura_NoFin!H33)&lt;2,"",IFERROR(Captura_NoFin!I33/Captura_NoFin!H33,""))</f>
        <v>0.6477495882972869</v>
      </c>
      <c r="K33" s="23">
        <f>IF(OR(E33="",COUNT(Captura_NoFin!L33)&lt;1),"",IFERROR(E33/ABS(Captura_NoFin!L33),""))</f>
        <v>1.6656327159759654</v>
      </c>
      <c r="L33" s="23">
        <f>IF(COUNT(Captura_NoFin!K33,Captura_NoFin!H33)&lt;2,"",IFERROR(Captura_NoFin!K33/Captura_NoFin!H33,""))</f>
        <v>0.29785116005852735</v>
      </c>
      <c r="M33" s="24">
        <f>IF(COUNT(Captura_NoFin!R33)&lt;1,"",IFERROR(IF(D33=2017,Captura_NoFin!R33/INDEX(Empresas!$I$2:$I$23,MATCH($A33,Empresas!$B$2:$B$23,0))-1,IF(COUNT(Captura_NoFin!R32)&lt;1,"",Captura_NoFin!R33/Captura_NoFin!R32-1)),""))</f>
        <v>-0.42049697485370208</v>
      </c>
      <c r="N33" s="24">
        <f>IF(COUNT(Captura_NoFin!P33,Captura_NoFin!O33)&lt;2,"",IF(Captura_NoFin!O33&lt;=0,"",Captura_NoFin!P33/Captura_NoFin!O33))</f>
        <v>2.7487923725853691E-2</v>
      </c>
      <c r="O33" s="25">
        <f t="shared" si="0"/>
        <v>8</v>
      </c>
      <c r="P33" s="26" t="str">
        <f>IF(COUNT(Captura_NoFin!H33,Captura_NoFin!I33,Captura_NoFin!J33)&lt;3,"",IF(ABS(Captura_NoFin!H33-Captura_NoFin!I33-Captura_NoFin!J33)&lt;=0.005*ABS(Captura_NoFin!H33),"OK","REVISAR"))</f>
        <v>OK</v>
      </c>
    </row>
    <row r="34" spans="1:16" ht="15" customHeight="1" x14ac:dyDescent="0.2">
      <c r="A34" s="20" t="str">
        <f>Captura_NoFin!A34</f>
        <v>ENELCHILE</v>
      </c>
      <c r="B34" s="20">
        <f>Captura_NoFin!B34</f>
        <v>1</v>
      </c>
      <c r="C34" s="20" t="str">
        <f>Captura_NoFin!C34</f>
        <v>Servicios básicos e infraestructura</v>
      </c>
      <c r="D34" s="21">
        <f>Captura_NoFin!D34</f>
        <v>2022</v>
      </c>
      <c r="E34" s="22">
        <f>IF(COUNT(Captura_NoFin!M34,Captura_NoFin!L34)&lt;2,"",Captura_NoFin!M34+ABS(Captura_NoFin!L34))</f>
        <v>1972298702</v>
      </c>
      <c r="F34" s="23">
        <f>IF(COUNT(Captura_NoFin!F34,Captura_NoFin!G34)&lt;2,"",IFERROR(Captura_NoFin!F34/Captura_NoFin!G34,""))</f>
        <v>0.96709805012976713</v>
      </c>
      <c r="G34" s="24">
        <f>IF(COUNT(Captura_NoFin!F34,Captura_NoFin!G34,Captura_NoFin!H34)&lt;3,"",IFERROR((Captura_NoFin!F34-Captura_NoFin!G34)/Captura_NoFin!H34,""))</f>
        <v>-8.785880113286992E-3</v>
      </c>
      <c r="H34" s="24">
        <f>IF(OR(E34="",COUNT(Captura_NoFin!K34)&lt;1),"",IFERROR(E34/Captura_NoFin!K34,""))</f>
        <v>0.45039932894817547</v>
      </c>
      <c r="I34" s="24">
        <f>IF(COUNT(Captura_NoFin!N34,Captura_NoFin!H34)&lt;2,"",IFERROR(Captura_NoFin!N34/Captura_NoFin!H34,""))</f>
        <v>0.11031772728894423</v>
      </c>
      <c r="J34" s="24">
        <f>IF(COUNT(Captura_NoFin!I34,Captura_NoFin!H34)&lt;2,"",IFERROR(Captura_NoFin!I34/Captura_NoFin!H34,""))</f>
        <v>0.63011168420506469</v>
      </c>
      <c r="K34" s="23">
        <f>IF(OR(E34="",COUNT(Captura_NoFin!L34)&lt;1),"",IFERROR(E34/ABS(Captura_NoFin!L34),""))</f>
        <v>10.186544463035631</v>
      </c>
      <c r="L34" s="23">
        <f>IF(COUNT(Captura_NoFin!K34,Captura_NoFin!H34)&lt;2,"",IFERROR(Captura_NoFin!K34/Captura_NoFin!H34,""))</f>
        <v>0.3690506649405742</v>
      </c>
      <c r="M34" s="24">
        <f>IF(COUNT(Captura_NoFin!R34)&lt;1,"",IFERROR(IF(D34=2017,Captura_NoFin!R34/INDEX(Empresas!$I$2:$I$23,MATCH($A34,Empresas!$B$2:$B$23,0))-1,IF(COUNT(Captura_NoFin!R33)&lt;1,"",Captura_NoFin!R34/Captura_NoFin!R33-1)),""))</f>
        <v>0.32856015404308536</v>
      </c>
      <c r="N34" s="24">
        <f>IF(COUNT(Captura_NoFin!P34,Captura_NoFin!O34)&lt;2,"",IF(Captura_NoFin!O34&lt;=0,"",Captura_NoFin!P34/Captura_NoFin!O34))</f>
        <v>0.30559454859242385</v>
      </c>
      <c r="O34" s="25">
        <f t="shared" ref="O34:O65" si="1">COUNT(F34:M34)</f>
        <v>8</v>
      </c>
      <c r="P34" s="26" t="str">
        <f>IF(COUNT(Captura_NoFin!H34,Captura_NoFin!I34,Captura_NoFin!J34)&lt;3,"",IF(ABS(Captura_NoFin!H34-Captura_NoFin!I34-Captura_NoFin!J34)&lt;=0.005*ABS(Captura_NoFin!H34),"OK","REVISAR"))</f>
        <v>OK</v>
      </c>
    </row>
    <row r="35" spans="1:16" ht="15" customHeight="1" x14ac:dyDescent="0.2">
      <c r="A35" s="20" t="str">
        <f>Captura_NoFin!A35</f>
        <v>ENELCHILE</v>
      </c>
      <c r="B35" s="20">
        <f>Captura_NoFin!B35</f>
        <v>1</v>
      </c>
      <c r="C35" s="20" t="str">
        <f>Captura_NoFin!C35</f>
        <v>Servicios básicos e infraestructura</v>
      </c>
      <c r="D35" s="21">
        <f>Captura_NoFin!D35</f>
        <v>2023</v>
      </c>
      <c r="E35" s="22">
        <f>IF(COUNT(Captura_NoFin!M35,Captura_NoFin!L35)&lt;2,"",Captura_NoFin!M35+ABS(Captura_NoFin!L35))</f>
        <v>1153993432</v>
      </c>
      <c r="F35" s="23">
        <f>IF(COUNT(Captura_NoFin!F35,Captura_NoFin!G35)&lt;2,"",IFERROR(Captura_NoFin!F35/Captura_NoFin!G35,""))</f>
        <v>0.84861866635856131</v>
      </c>
      <c r="G35" s="24">
        <f>IF(COUNT(Captura_NoFin!F35,Captura_NoFin!G35,Captura_NoFin!H35)&lt;3,"",IFERROR((Captura_NoFin!F35-Captura_NoFin!G35)/Captura_NoFin!H35,""))</f>
        <v>-3.5740836184436825E-2</v>
      </c>
      <c r="H35" s="24">
        <f>IF(OR(E35="",COUNT(Captura_NoFin!K35)&lt;1),"",IFERROR(E35/Captura_NoFin!K35,""))</f>
        <v>0.27072581107115279</v>
      </c>
      <c r="I35" s="24">
        <f>IF(COUNT(Captura_NoFin!N35,Captura_NoFin!H35)&lt;2,"",IFERROR(Captura_NoFin!N35/Captura_NoFin!H35,""))</f>
        <v>5.7464037637129914E-2</v>
      </c>
      <c r="J35" s="24">
        <f>IF(COUNT(Captura_NoFin!I35,Captura_NoFin!H35)&lt;2,"",IFERROR(Captura_NoFin!I35/Captura_NoFin!H35,""))</f>
        <v>0.59768476394562187</v>
      </c>
      <c r="K35" s="23">
        <f>IF(OR(E35="",COUNT(Captura_NoFin!L35)&lt;1),"",IFERROR(E35/ABS(Captura_NoFin!L35),""))</f>
        <v>4.6707607048171065</v>
      </c>
      <c r="L35" s="23">
        <f>IF(COUNT(Captura_NoFin!K35,Captura_NoFin!H35)&lt;2,"",IFERROR(Captura_NoFin!K35/Captura_NoFin!H35,""))</f>
        <v>0.36020716425818572</v>
      </c>
      <c r="M35" s="24">
        <f>IF(COUNT(Captura_NoFin!R35)&lt;1,"",IFERROR(IF(D35=2017,Captura_NoFin!R35/INDEX(Empresas!$I$2:$I$23,MATCH($A35,Empresas!$B$2:$B$23,0))-1,IF(COUNT(Captura_NoFin!R34)&lt;1,"",Captura_NoFin!R35/Captura_NoFin!R34-1)),""))</f>
        <v>0.47456271891263158</v>
      </c>
      <c r="N35" s="24">
        <f>IF(COUNT(Captura_NoFin!P35,Captura_NoFin!O35)&lt;2,"",IF(Captura_NoFin!O35&lt;=0,"",Captura_NoFin!P35/Captura_NoFin!O35))</f>
        <v>0.14247512115907945</v>
      </c>
      <c r="O35" s="25">
        <f t="shared" si="1"/>
        <v>8</v>
      </c>
      <c r="P35" s="26" t="str">
        <f>IF(COUNT(Captura_NoFin!H35,Captura_NoFin!I35,Captura_NoFin!J35)&lt;3,"",IF(ABS(Captura_NoFin!H35-Captura_NoFin!I35-Captura_NoFin!J35)&lt;=0.005*ABS(Captura_NoFin!H35),"OK","REVISAR"))</f>
        <v>OK</v>
      </c>
    </row>
    <row r="36" spans="1:16" ht="15" customHeight="1" x14ac:dyDescent="0.2">
      <c r="A36" s="20" t="str">
        <f>Captura_NoFin!A36</f>
        <v>ENELCHILE</v>
      </c>
      <c r="B36" s="20">
        <f>Captura_NoFin!B36</f>
        <v>1</v>
      </c>
      <c r="C36" s="20" t="str">
        <f>Captura_NoFin!C36</f>
        <v>Servicios básicos e infraestructura</v>
      </c>
      <c r="D36" s="21">
        <f>Captura_NoFin!D36</f>
        <v>2024</v>
      </c>
      <c r="E36" s="22">
        <f>IF(COUNT(Captura_NoFin!M36,Captura_NoFin!L36)&lt;2,"",Captura_NoFin!M36+ABS(Captura_NoFin!L36))</f>
        <v>485893</v>
      </c>
      <c r="F36" s="23">
        <f>IF(COUNT(Captura_NoFin!F36,Captura_NoFin!G36)&lt;2,"",IFERROR(Captura_NoFin!F36/Captura_NoFin!G36,""))</f>
        <v>0.99586845501892551</v>
      </c>
      <c r="G36" s="24">
        <f>IF(COUNT(Captura_NoFin!F36,Captura_NoFin!G36,Captura_NoFin!H36)&lt;3,"",IFERROR((Captura_NoFin!F36-Captura_NoFin!G36)/Captura_NoFin!H36,""))</f>
        <v>-7.2870641059527531E-4</v>
      </c>
      <c r="H36" s="24">
        <f>IF(OR(E36="",COUNT(Captura_NoFin!K36)&lt;1),"",IFERROR(E36/Captura_NoFin!K36,""))</f>
        <v>0.11743606240563469</v>
      </c>
      <c r="I36" s="24">
        <f>IF(COUNT(Captura_NoFin!N36,Captura_NoFin!H36)&lt;2,"",IFERROR(Captura_NoFin!N36/Captura_NoFin!H36,""))</f>
        <v>1.5858255870739923E-2</v>
      </c>
      <c r="J36" s="24">
        <f>IF(COUNT(Captura_NoFin!I36,Captura_NoFin!H36)&lt;2,"",IFERROR(Captura_NoFin!I36/Captura_NoFin!H36,""))</f>
        <v>0.5812560918116807</v>
      </c>
      <c r="K36" s="23">
        <f>IF(OR(E36="",COUNT(Captura_NoFin!L36)&lt;1),"",IFERROR(E36/ABS(Captura_NoFin!L36),""))</f>
        <v>1.971568269425847</v>
      </c>
      <c r="L36" s="23">
        <f>IF(COUNT(Captura_NoFin!K36,Captura_NoFin!H36)&lt;2,"",IFERROR(Captura_NoFin!K36/Captura_NoFin!H36,""))</f>
        <v>0.32412715433331196</v>
      </c>
      <c r="M36" s="24">
        <f>IF(COUNT(Captura_NoFin!R36)&lt;1,"",IFERROR(IF(D36=2017,Captura_NoFin!R36/INDEX(Empresas!$I$2:$I$23,MATCH($A36,Empresas!$B$2:$B$23,0))-1,IF(COUNT(Captura_NoFin!R35)&lt;1,"",Captura_NoFin!R36/Captura_NoFin!R35-1)),""))</f>
        <v>9.5406456525877648E-2</v>
      </c>
      <c r="N36" s="24">
        <f>IF(COUNT(Captura_NoFin!P36,Captura_NoFin!O36)&lt;2,"",IF(Captura_NoFin!O36&lt;=0,"",Captura_NoFin!P36/Captura_NoFin!O36))</f>
        <v>3.0898347505181945E-2</v>
      </c>
      <c r="O36" s="25">
        <f t="shared" si="1"/>
        <v>8</v>
      </c>
      <c r="P36" s="26" t="str">
        <f>IF(COUNT(Captura_NoFin!H36,Captura_NoFin!I36,Captura_NoFin!J36)&lt;3,"",IF(ABS(Captura_NoFin!H36-Captura_NoFin!I36-Captura_NoFin!J36)&lt;=0.005*ABS(Captura_NoFin!H36),"OK","REVISAR"))</f>
        <v>OK</v>
      </c>
    </row>
    <row r="37" spans="1:16" ht="15" customHeight="1" x14ac:dyDescent="0.2">
      <c r="A37" s="20" t="str">
        <f>Captura_NoFin!A37</f>
        <v>ENELCHILE</v>
      </c>
      <c r="B37" s="20">
        <f>Captura_NoFin!B37</f>
        <v>1</v>
      </c>
      <c r="C37" s="20" t="str">
        <f>Captura_NoFin!C37</f>
        <v>Servicios básicos e infraestructura</v>
      </c>
      <c r="D37" s="21">
        <f>Captura_NoFin!D37</f>
        <v>2025</v>
      </c>
      <c r="E37" s="22">
        <f>IF(COUNT(Captura_NoFin!M37,Captura_NoFin!L37)&lt;2,"",Captura_NoFin!M37+ABS(Captura_NoFin!L37))</f>
        <v>1125230</v>
      </c>
      <c r="F37" s="23">
        <f>IF(COUNT(Captura_NoFin!F37,Captura_NoFin!G37)&lt;2,"",IFERROR(Captura_NoFin!F37/Captura_NoFin!G37,""))</f>
        <v>0.90529026383799049</v>
      </c>
      <c r="G37" s="24">
        <f>IF(COUNT(Captura_NoFin!F37,Captura_NoFin!G37,Captura_NoFin!H37)&lt;3,"",IFERROR((Captura_NoFin!F37-Captura_NoFin!G37)/Captura_NoFin!H37,""))</f>
        <v>-1.8153688035308434E-2</v>
      </c>
      <c r="H37" s="24">
        <f>IF(OR(E37="",COUNT(Captura_NoFin!K37)&lt;1),"",IFERROR(E37/Captura_NoFin!K37,""))</f>
        <v>0.24952173688399301</v>
      </c>
      <c r="I37" s="24">
        <f>IF(COUNT(Captura_NoFin!N37,Captura_NoFin!H37)&lt;2,"",IFERROR(Captura_NoFin!N37/Captura_NoFin!H37,""))</f>
        <v>4.5328150720659932E-2</v>
      </c>
      <c r="J37" s="24">
        <f>IF(COUNT(Captura_NoFin!I37,Captura_NoFin!H37)&lt;2,"",IFERROR(Captura_NoFin!I37/Captura_NoFin!H37,""))</f>
        <v>0.56992764610410118</v>
      </c>
      <c r="K37" s="23">
        <f>IF(OR(E37="",COUNT(Captura_NoFin!L37)&lt;1),"",IFERROR(E37/ABS(Captura_NoFin!L37),""))</f>
        <v>3.4069797015793042</v>
      </c>
      <c r="L37" s="23">
        <f>IF(COUNT(Captura_NoFin!K37,Captura_NoFin!H37)&lt;2,"",IFERROR(Captura_NoFin!K37/Captura_NoFin!H37,""))</f>
        <v>0.34947815964448531</v>
      </c>
      <c r="M37" s="24">
        <f>IF(COUNT(Captura_NoFin!R37)&lt;1,"",IFERROR(IF(D37=2017,Captura_NoFin!R37/INDEX(Empresas!$I$2:$I$23,MATCH($A37,Empresas!$B$2:$B$23,0))-1,IF(COUNT(Captura_NoFin!R36)&lt;1,"",Captura_NoFin!R37/Captura_NoFin!R36-1)),""))</f>
        <v>0.37062274428051833</v>
      </c>
      <c r="N37" s="24">
        <f>IF(COUNT(Captura_NoFin!P37,Captura_NoFin!O37)&lt;2,"",IF(Captura_NoFin!O37&lt;=0,"",Captura_NoFin!P37/Captura_NoFin!O37))</f>
        <v>0.10387221933167165</v>
      </c>
      <c r="O37" s="25">
        <f t="shared" si="1"/>
        <v>8</v>
      </c>
      <c r="P37" s="26" t="str">
        <f>IF(COUNT(Captura_NoFin!H37,Captura_NoFin!I37,Captura_NoFin!J37)&lt;3,"",IF(ABS(Captura_NoFin!H37-Captura_NoFin!I37-Captura_NoFin!J37)&lt;=0.005*ABS(Captura_NoFin!H37),"OK","REVISAR"))</f>
        <v>OK</v>
      </c>
    </row>
    <row r="38" spans="1:16" ht="15" customHeight="1" x14ac:dyDescent="0.2">
      <c r="A38" s="20" t="str">
        <f>Captura_NoFin!A38</f>
        <v>ECL</v>
      </c>
      <c r="B38" s="20">
        <f>Captura_NoFin!B38</f>
        <v>1</v>
      </c>
      <c r="C38" s="20" t="str">
        <f>Captura_NoFin!C38</f>
        <v>Servicios básicos e infraestructura</v>
      </c>
      <c r="D38" s="21">
        <f>Captura_NoFin!D38</f>
        <v>2017</v>
      </c>
      <c r="E38" s="22">
        <f>IF(COUNT(Captura_NoFin!M38,Captura_NoFin!L38)&lt;2,"",Captura_NoFin!M38+ABS(Captura_NoFin!L38))</f>
        <v>155088</v>
      </c>
      <c r="F38" s="23">
        <f>IF(COUNT(Captura_NoFin!F38,Captura_NoFin!G38)&lt;2,"",IFERROR(Captura_NoFin!F38/Captura_NoFin!G38,""))</f>
        <v>1.1452139367423479</v>
      </c>
      <c r="G38" s="24">
        <f>IF(COUNT(Captura_NoFin!F38,Captura_NoFin!G38,Captura_NoFin!H38)&lt;3,"",IFERROR((Captura_NoFin!F38-Captura_NoFin!G38)/Captura_NoFin!H38,""))</f>
        <v>1.4374578466281613E-2</v>
      </c>
      <c r="H38" s="24">
        <f>IF(OR(E38="",COUNT(Captura_NoFin!K38)&lt;1),"",IFERROR(E38/Captura_NoFin!K38,""))</f>
        <v>0.14713366006933179</v>
      </c>
      <c r="I38" s="24">
        <f>IF(COUNT(Captura_NoFin!N38,Captura_NoFin!H38)&lt;2,"",IFERROR(Captura_NoFin!N38/Captura_NoFin!H38,""))</f>
        <v>3.2402919800023959E-2</v>
      </c>
      <c r="J38" s="24">
        <f>IF(COUNT(Captura_NoFin!I38,Captura_NoFin!H38)&lt;2,"",IFERROR(Captura_NoFin!I38/Captura_NoFin!H38,""))</f>
        <v>0.38604448066897273</v>
      </c>
      <c r="K38" s="23">
        <f>IF(OR(E38="",COUNT(Captura_NoFin!L38)&lt;1),"",IFERROR(E38/ABS(Captura_NoFin!L38),""))</f>
        <v>13.376574090046576</v>
      </c>
      <c r="L38" s="23">
        <f>IF(COUNT(Captura_NoFin!K38,Captura_NoFin!H38)&lt;2,"",IFERROR(Captura_NoFin!K38/Captura_NoFin!H38,""))</f>
        <v>0.31331700257089123</v>
      </c>
      <c r="M38" s="24">
        <f>IF(COUNT(Captura_NoFin!R38)&lt;1,"",IFERROR(IF(D38=2017,Captura_NoFin!R38/INDEX(Empresas!$I$2:$I$23,MATCH($A38,Empresas!$B$2:$B$23,0))-1,IF(COUNT(Captura_NoFin!R37)&lt;1,"",Captura_NoFin!R38/Captura_NoFin!R37-1)),""))</f>
        <v>0.25560188776229698</v>
      </c>
      <c r="N38" s="24">
        <f>IF(COUNT(Captura_NoFin!P38,Captura_NoFin!O38)&lt;2,"",IF(Captura_NoFin!O38&lt;=0,"",Captura_NoFin!P38/Captura_NoFin!O38))</f>
        <v>5.064642456689529E-2</v>
      </c>
      <c r="O38" s="25">
        <f t="shared" si="1"/>
        <v>8</v>
      </c>
      <c r="P38" s="26" t="str">
        <f>IF(COUNT(Captura_NoFin!H38,Captura_NoFin!I38,Captura_NoFin!J38)&lt;3,"",IF(ABS(Captura_NoFin!H38-Captura_NoFin!I38-Captura_NoFin!J38)&lt;=0.005*ABS(Captura_NoFin!H38),"OK","REVISAR"))</f>
        <v>OK</v>
      </c>
    </row>
    <row r="39" spans="1:16" ht="15" customHeight="1" x14ac:dyDescent="0.2">
      <c r="A39" s="20" t="str">
        <f>Captura_NoFin!A39</f>
        <v>ECL</v>
      </c>
      <c r="B39" s="20">
        <f>Captura_NoFin!B39</f>
        <v>1</v>
      </c>
      <c r="C39" s="20" t="str">
        <f>Captura_NoFin!C39</f>
        <v>Servicios básicos e infraestructura</v>
      </c>
      <c r="D39" s="21">
        <f>Captura_NoFin!D39</f>
        <v>2018</v>
      </c>
      <c r="E39" s="22">
        <f>IF(COUNT(Captura_NoFin!M39,Captura_NoFin!L39)&lt;2,"",Captura_NoFin!M39+ABS(Captura_NoFin!L39))</f>
        <v>162333</v>
      </c>
      <c r="F39" s="23">
        <f>IF(COUNT(Captura_NoFin!F39,Captura_NoFin!G39)&lt;2,"",IFERROR(Captura_NoFin!F39/Captura_NoFin!G39,""))</f>
        <v>1.3985040848230346</v>
      </c>
      <c r="G39" s="24">
        <f>IF(COUNT(Captura_NoFin!F39,Captura_NoFin!G39,Captura_NoFin!H39)&lt;3,"",IFERROR((Captura_NoFin!F39-Captura_NoFin!G39)/Captura_NoFin!H39,""))</f>
        <v>3.5188648513776392E-2</v>
      </c>
      <c r="H39" s="24">
        <f>IF(OR(E39="",COUNT(Captura_NoFin!K39)&lt;1),"",IFERROR(E39/Captura_NoFin!K39,""))</f>
        <v>0.12729044864878428</v>
      </c>
      <c r="I39" s="24">
        <f>IF(COUNT(Captura_NoFin!N39,Captura_NoFin!H39)&lt;2,"",IFERROR(Captura_NoFin!N39/Captura_NoFin!H39,""))</f>
        <v>3.2119976804469069E-2</v>
      </c>
      <c r="J39" s="24">
        <f>IF(COUNT(Captura_NoFin!I39,Captura_NoFin!H39)&lt;2,"",IFERROR(Captura_NoFin!I39/Captura_NoFin!H39,""))</f>
        <v>0.38256222824956915</v>
      </c>
      <c r="K39" s="23">
        <f>IF(OR(E39="",COUNT(Captura_NoFin!L39)&lt;1),"",IFERROR(E39/ABS(Captura_NoFin!L39),""))</f>
        <v>12.711064129668781</v>
      </c>
      <c r="L39" s="23">
        <f>IF(COUNT(Captura_NoFin!K39,Captura_NoFin!H39)&lt;2,"",IFERROR(Captura_NoFin!K39/Captura_NoFin!H39,""))</f>
        <v>0.36829143197748831</v>
      </c>
      <c r="M39" s="24">
        <f>IF(COUNT(Captura_NoFin!R39)&lt;1,"",IFERROR(IF(D39=2017,Captura_NoFin!R39/INDEX(Empresas!$I$2:$I$23,MATCH($A39,Empresas!$B$2:$B$23,0))-1,IF(COUNT(Captura_NoFin!R38)&lt;1,"",Captura_NoFin!R39/Captura_NoFin!R38-1)),""))</f>
        <v>-4.0500488585914374E-2</v>
      </c>
      <c r="N39" s="24">
        <f>IF(COUNT(Captura_NoFin!P39,Captura_NoFin!O39)&lt;2,"",IF(Captura_NoFin!O39&lt;=0,"",Captura_NoFin!P39/Captura_NoFin!O39))</f>
        <v>4.9561166602087342E-2</v>
      </c>
      <c r="O39" s="25">
        <f t="shared" si="1"/>
        <v>8</v>
      </c>
      <c r="P39" s="26" t="str">
        <f>IF(COUNT(Captura_NoFin!H39,Captura_NoFin!I39,Captura_NoFin!J39)&lt;3,"",IF(ABS(Captura_NoFin!H39-Captura_NoFin!I39-Captura_NoFin!J39)&lt;=0.005*ABS(Captura_NoFin!H39),"OK","REVISAR"))</f>
        <v>OK</v>
      </c>
    </row>
    <row r="40" spans="1:16" ht="15" customHeight="1" x14ac:dyDescent="0.2">
      <c r="A40" s="20" t="str">
        <f>Captura_NoFin!A40</f>
        <v>ECL</v>
      </c>
      <c r="B40" s="20">
        <f>Captura_NoFin!B40</f>
        <v>1</v>
      </c>
      <c r="C40" s="20" t="str">
        <f>Captura_NoFin!C40</f>
        <v>Servicios básicos e infraestructura</v>
      </c>
      <c r="D40" s="21">
        <f>Captura_NoFin!D40</f>
        <v>2019</v>
      </c>
      <c r="E40" s="22">
        <f>IF(COUNT(Captura_NoFin!M40,Captura_NoFin!L40)&lt;2,"",Captura_NoFin!M40+ABS(Captura_NoFin!L40))</f>
        <v>199158</v>
      </c>
      <c r="F40" s="23">
        <f>IF(COUNT(Captura_NoFin!F40,Captura_NoFin!G40)&lt;2,"",IFERROR(Captura_NoFin!F40/Captura_NoFin!G40,""))</f>
        <v>1.357413597773333</v>
      </c>
      <c r="G40" s="24">
        <f>IF(COUNT(Captura_NoFin!F40,Captura_NoFin!G40,Captura_NoFin!H40)&lt;3,"",IFERROR((Captura_NoFin!F40-Captura_NoFin!G40)/Captura_NoFin!H40,""))</f>
        <v>3.6424643436465697E-2</v>
      </c>
      <c r="H40" s="24">
        <f>IF(OR(E40="",COUNT(Captura_NoFin!K40)&lt;1),"",IFERROR(E40/Captura_NoFin!K40,""))</f>
        <v>0.13693142909003903</v>
      </c>
      <c r="I40" s="24">
        <f>IF(COUNT(Captura_NoFin!N40,Captura_NoFin!H40)&lt;2,"",IFERROR(Captura_NoFin!N40/Captura_NoFin!H40,""))</f>
        <v>3.3843816191961321E-2</v>
      </c>
      <c r="J40" s="24">
        <f>IF(COUNT(Captura_NoFin!I40,Captura_NoFin!H40)&lt;2,"",IFERROR(Captura_NoFin!I40/Captura_NoFin!H40,""))</f>
        <v>0.39460429501195909</v>
      </c>
      <c r="K40" s="23">
        <f>IF(OR(E40="",COUNT(Captura_NoFin!L40)&lt;1),"",IFERROR(E40/ABS(Captura_NoFin!L40),""))</f>
        <v>5.2635779792266826</v>
      </c>
      <c r="L40" s="23">
        <f>IF(COUNT(Captura_NoFin!K40,Captura_NoFin!H40)&lt;2,"",IFERROR(Captura_NoFin!K40/Captura_NoFin!H40,""))</f>
        <v>0.41463029428785647</v>
      </c>
      <c r="M40" s="24">
        <f>IF(COUNT(Captura_NoFin!R40)&lt;1,"",IFERROR(IF(D40=2017,Captura_NoFin!R40/INDEX(Empresas!$I$2:$I$23,MATCH($A40,Empresas!$B$2:$B$23,0))-1,IF(COUNT(Captura_NoFin!R39)&lt;1,"",Captura_NoFin!R40/Captura_NoFin!R39-1)),""))</f>
        <v>-9.7278631208883026E-2</v>
      </c>
      <c r="N40" s="24">
        <f>IF(COUNT(Captura_NoFin!P40,Captura_NoFin!O40)&lt;2,"",IF(Captura_NoFin!O40&lt;=0,"",Captura_NoFin!P40/Captura_NoFin!O40))</f>
        <v>5.3817140309753403E-2</v>
      </c>
      <c r="O40" s="25">
        <f t="shared" si="1"/>
        <v>8</v>
      </c>
      <c r="P40" s="26" t="str">
        <f>IF(COUNT(Captura_NoFin!H40,Captura_NoFin!I40,Captura_NoFin!J40)&lt;3,"",IF(ABS(Captura_NoFin!H40-Captura_NoFin!I40-Captura_NoFin!J40)&lt;=0.005*ABS(Captura_NoFin!H40),"OK","REVISAR"))</f>
        <v>OK</v>
      </c>
    </row>
    <row r="41" spans="1:16" ht="15" customHeight="1" x14ac:dyDescent="0.2">
      <c r="A41" s="20" t="str">
        <f>Captura_NoFin!A41</f>
        <v>ECL</v>
      </c>
      <c r="B41" s="20">
        <f>Captura_NoFin!B41</f>
        <v>1</v>
      </c>
      <c r="C41" s="20" t="str">
        <f>Captura_NoFin!C41</f>
        <v>Servicios básicos e infraestructura</v>
      </c>
      <c r="D41" s="21">
        <f>Captura_NoFin!D41</f>
        <v>2020</v>
      </c>
      <c r="E41" s="22">
        <f>IF(COUNT(Captura_NoFin!M41,Captura_NoFin!L41)&lt;2,"",Captura_NoFin!M41+ABS(Captura_NoFin!L41))</f>
        <v>263198</v>
      </c>
      <c r="F41" s="23">
        <f>IF(COUNT(Captura_NoFin!F41,Captura_NoFin!G41)&lt;2,"",IFERROR(Captura_NoFin!F41/Captura_NoFin!G41,""))</f>
        <v>1.4371713261959012</v>
      </c>
      <c r="G41" s="24">
        <f>IF(COUNT(Captura_NoFin!F41,Captura_NoFin!G41,Captura_NoFin!H41)&lt;3,"",IFERROR((Captura_NoFin!F41-Captura_NoFin!G41)/Captura_NoFin!H41,""))</f>
        <v>3.8002622964917847E-2</v>
      </c>
      <c r="H41" s="24">
        <f>IF(OR(E41="",COUNT(Captura_NoFin!K41)&lt;1),"",IFERROR(E41/Captura_NoFin!K41,""))</f>
        <v>0.19472233360805766</v>
      </c>
      <c r="I41" s="24">
        <f>IF(COUNT(Captura_NoFin!N41,Captura_NoFin!H41)&lt;2,"",IFERROR(Captura_NoFin!N41/Captura_NoFin!H41,""))</f>
        <v>4.3948368440572108E-2</v>
      </c>
      <c r="J41" s="24">
        <f>IF(COUNT(Captura_NoFin!I41,Captura_NoFin!H41)&lt;2,"",IFERROR(Captura_NoFin!I41/Captura_NoFin!H41,""))</f>
        <v>0.41735564286827664</v>
      </c>
      <c r="K41" s="23">
        <f>IF(OR(E41="",COUNT(Captura_NoFin!L41)&lt;1),"",IFERROR(E41/ABS(Captura_NoFin!L41),""))</f>
        <v>4.4252807855269349</v>
      </c>
      <c r="L41" s="23">
        <f>IF(COUNT(Captura_NoFin!K41,Captura_NoFin!H41)&lt;2,"",IFERROR(Captura_NoFin!K41/Captura_NoFin!H41,""))</f>
        <v>0.36325322898806228</v>
      </c>
      <c r="M41" s="24">
        <f>IF(COUNT(Captura_NoFin!R41)&lt;1,"",IFERROR(IF(D41=2017,Captura_NoFin!R41/INDEX(Empresas!$I$2:$I$23,MATCH($A41,Empresas!$B$2:$B$23,0))-1,IF(COUNT(Captura_NoFin!R40)&lt;1,"",Captura_NoFin!R41/Captura_NoFin!R40-1)),""))</f>
        <v>-0.24012149497428759</v>
      </c>
      <c r="N41" s="24">
        <f>IF(COUNT(Captura_NoFin!P41,Captura_NoFin!O41)&lt;2,"",IF(Captura_NoFin!O41&lt;=0,"",Captura_NoFin!P41/Captura_NoFin!O41))</f>
        <v>7.5429149707934656E-2</v>
      </c>
      <c r="O41" s="25">
        <f t="shared" si="1"/>
        <v>8</v>
      </c>
      <c r="P41" s="26" t="str">
        <f>IF(COUNT(Captura_NoFin!H41,Captura_NoFin!I41,Captura_NoFin!J41)&lt;3,"",IF(ABS(Captura_NoFin!H41-Captura_NoFin!I41-Captura_NoFin!J41)&lt;=0.005*ABS(Captura_NoFin!H41),"OK","REVISAR"))</f>
        <v>OK</v>
      </c>
    </row>
    <row r="42" spans="1:16" ht="15" customHeight="1" x14ac:dyDescent="0.2">
      <c r="A42" s="20" t="str">
        <f>Captura_NoFin!A42</f>
        <v>ECL</v>
      </c>
      <c r="B42" s="20">
        <f>Captura_NoFin!B42</f>
        <v>1</v>
      </c>
      <c r="C42" s="20" t="str">
        <f>Captura_NoFin!C42</f>
        <v>Servicios básicos e infraestructura</v>
      </c>
      <c r="D42" s="21">
        <f>Captura_NoFin!D42</f>
        <v>2021</v>
      </c>
      <c r="E42" s="22">
        <f>IF(COUNT(Captura_NoFin!M42,Captura_NoFin!L42)&lt;2,"",Captura_NoFin!M42+ABS(Captura_NoFin!L42))</f>
        <v>149604</v>
      </c>
      <c r="F42" s="23">
        <f>IF(COUNT(Captura_NoFin!F42,Captura_NoFin!G42)&lt;2,"",IFERROR(Captura_NoFin!F42/Captura_NoFin!G42,""))</f>
        <v>1.5507022086670743</v>
      </c>
      <c r="G42" s="24">
        <f>IF(COUNT(Captura_NoFin!F42,Captura_NoFin!G42,Captura_NoFin!H42)&lt;3,"",IFERROR((Captura_NoFin!F42-Captura_NoFin!G42)/Captura_NoFin!H42,""))</f>
        <v>5.472631963793699E-2</v>
      </c>
      <c r="H42" s="24">
        <f>IF(OR(E42="",COUNT(Captura_NoFin!K42)&lt;1),"",IFERROR(E42/Captura_NoFin!K42,""))</f>
        <v>0.1011785361155785</v>
      </c>
      <c r="I42" s="24">
        <f>IF(COUNT(Captura_NoFin!N42,Captura_NoFin!H42)&lt;2,"",IFERROR(Captura_NoFin!N42/Captura_NoFin!H42,""))</f>
        <v>1.1846870434638654E-2</v>
      </c>
      <c r="J42" s="24">
        <f>IF(COUNT(Captura_NoFin!I42,Captura_NoFin!H42)&lt;2,"",IFERROR(Captura_NoFin!I42/Captura_NoFin!H42,""))</f>
        <v>0.4568427217543391</v>
      </c>
      <c r="K42" s="23">
        <f>IF(OR(E42="",COUNT(Captura_NoFin!L42)&lt;1),"",IFERROR(E42/ABS(Captura_NoFin!L42),""))</f>
        <v>1.6845969349263008</v>
      </c>
      <c r="L42" s="23">
        <f>IF(COUNT(Captura_NoFin!K42,Captura_NoFin!H42)&lt;2,"",IFERROR(Captura_NoFin!K42/Captura_NoFin!H42,""))</f>
        <v>0.36975869634911135</v>
      </c>
      <c r="M42" s="24">
        <f>IF(COUNT(Captura_NoFin!R42)&lt;1,"",IFERROR(IF(D42=2017,Captura_NoFin!R42/INDEX(Empresas!$I$2:$I$23,MATCH($A42,Empresas!$B$2:$B$23,0))-1,IF(COUNT(Captura_NoFin!R41)&lt;1,"",Captura_NoFin!R42/Captura_NoFin!R41-1)),""))</f>
        <v>-0.42290856549897582</v>
      </c>
      <c r="N42" s="24">
        <f>IF(COUNT(Captura_NoFin!P42,Captura_NoFin!O42)&lt;2,"",IF(Captura_NoFin!O42&lt;=0,"",Captura_NoFin!P42/Captura_NoFin!O42))</f>
        <v>2.1811123424328883E-2</v>
      </c>
      <c r="O42" s="25">
        <f t="shared" si="1"/>
        <v>8</v>
      </c>
      <c r="P42" s="26" t="str">
        <f>IF(COUNT(Captura_NoFin!H42,Captura_NoFin!I42,Captura_NoFin!J42)&lt;3,"",IF(ABS(Captura_NoFin!H42-Captura_NoFin!I42-Captura_NoFin!J42)&lt;=0.005*ABS(Captura_NoFin!H42),"OK","REVISAR"))</f>
        <v>OK</v>
      </c>
    </row>
    <row r="43" spans="1:16" ht="15" customHeight="1" x14ac:dyDescent="0.2">
      <c r="A43" s="20" t="str">
        <f>Captura_NoFin!A43</f>
        <v>ECL</v>
      </c>
      <c r="B43" s="20">
        <f>Captura_NoFin!B43</f>
        <v>1</v>
      </c>
      <c r="C43" s="20" t="str">
        <f>Captura_NoFin!C43</f>
        <v>Servicios básicos e infraestructura</v>
      </c>
      <c r="D43" s="21">
        <f>Captura_NoFin!D43</f>
        <v>2022</v>
      </c>
      <c r="E43" s="22">
        <f>IF(COUNT(Captura_NoFin!M43,Captura_NoFin!L43)&lt;2,"",Captura_NoFin!M43+ABS(Captura_NoFin!L43))</f>
        <v>-445942</v>
      </c>
      <c r="F43" s="23">
        <f>IF(COUNT(Captura_NoFin!F43,Captura_NoFin!G43)&lt;2,"",IFERROR(Captura_NoFin!F43/Captura_NoFin!G43,""))</f>
        <v>1.2660087031727352</v>
      </c>
      <c r="G43" s="24">
        <f>IF(COUNT(Captura_NoFin!F43,Captura_NoFin!G43,Captura_NoFin!H43)&lt;3,"",IFERROR((Captura_NoFin!F43-Captura_NoFin!G43)/Captura_NoFin!H43,""))</f>
        <v>4.057611128349238E-2</v>
      </c>
      <c r="H43" s="24">
        <f>IF(OR(E43="",COUNT(Captura_NoFin!K43)&lt;1),"",IFERROR(E43/Captura_NoFin!K43,""))</f>
        <v>-0.23222928490115433</v>
      </c>
      <c r="I43" s="24">
        <f>IF(COUNT(Captura_NoFin!N43,Captura_NoFin!H43)&lt;2,"",IFERROR(Captura_NoFin!N43/Captura_NoFin!H43,""))</f>
        <v>-8.9821062084749506E-2</v>
      </c>
      <c r="J43" s="24">
        <f>IF(COUNT(Captura_NoFin!I43,Captura_NoFin!H43)&lt;2,"",IFERROR(Captura_NoFin!I43/Captura_NoFin!H43,""))</f>
        <v>0.58091367410606709</v>
      </c>
      <c r="K43" s="23">
        <f>IF(OR(E43="",COUNT(Captura_NoFin!L43)&lt;1),"",IFERROR(E43/ABS(Captura_NoFin!L43),""))</f>
        <v>-5.9076902695899847</v>
      </c>
      <c r="L43" s="23">
        <f>IF(COUNT(Captura_NoFin!K43,Captura_NoFin!H43)&lt;2,"",IFERROR(Captura_NoFin!K43/Captura_NoFin!H43,""))</f>
        <v>0.44365762600730407</v>
      </c>
      <c r="M43" s="24">
        <f>IF(COUNT(Captura_NoFin!R43)&lt;1,"",IFERROR(IF(D43=2017,Captura_NoFin!R43/INDEX(Empresas!$I$2:$I$23,MATCH($A43,Empresas!$B$2:$B$23,0))-1,IF(COUNT(Captura_NoFin!R42)&lt;1,"",Captura_NoFin!R43/Captura_NoFin!R42-1)),""))</f>
        <v>-2.3904359217249094E-2</v>
      </c>
      <c r="N43" s="24">
        <f>IF(COUNT(Captura_NoFin!P43,Captura_NoFin!O43)&lt;2,"",IF(Captura_NoFin!O43&lt;=0,"",Captura_NoFin!P43/Captura_NoFin!O43))</f>
        <v>-0.21432591935123751</v>
      </c>
      <c r="O43" s="25">
        <f t="shared" si="1"/>
        <v>8</v>
      </c>
      <c r="P43" s="26" t="str">
        <f>IF(COUNT(Captura_NoFin!H43,Captura_NoFin!I43,Captura_NoFin!J43)&lt;3,"",IF(ABS(Captura_NoFin!H43-Captura_NoFin!I43-Captura_NoFin!J43)&lt;=0.005*ABS(Captura_NoFin!H43),"OK","REVISAR"))</f>
        <v>OK</v>
      </c>
    </row>
    <row r="44" spans="1:16" ht="15" customHeight="1" x14ac:dyDescent="0.2">
      <c r="A44" s="20" t="str">
        <f>Captura_NoFin!A44</f>
        <v>ECL</v>
      </c>
      <c r="B44" s="20">
        <f>Captura_NoFin!B44</f>
        <v>1</v>
      </c>
      <c r="C44" s="20" t="str">
        <f>Captura_NoFin!C44</f>
        <v>Servicios básicos e infraestructura</v>
      </c>
      <c r="D44" s="21">
        <f>Captura_NoFin!D44</f>
        <v>2023</v>
      </c>
      <c r="E44" s="22">
        <f>IF(COUNT(Captura_NoFin!M44,Captura_NoFin!L44)&lt;2,"",Captura_NoFin!M44+ABS(Captura_NoFin!L44))</f>
        <v>-371340</v>
      </c>
      <c r="F44" s="23">
        <f>IF(COUNT(Captura_NoFin!F44,Captura_NoFin!G44)&lt;2,"",IFERROR(Captura_NoFin!F44/Captura_NoFin!G44,""))</f>
        <v>1.3919629475965893</v>
      </c>
      <c r="G44" s="24">
        <f>IF(COUNT(Captura_NoFin!F44,Captura_NoFin!G44,Captura_NoFin!H44)&lt;3,"",IFERROR((Captura_NoFin!F44-Captura_NoFin!G44)/Captura_NoFin!H44,""))</f>
        <v>6.5216411265933583E-2</v>
      </c>
      <c r="H44" s="24">
        <f>IF(OR(E44="",COUNT(Captura_NoFin!K44)&lt;1),"",IFERROR(E44/Captura_NoFin!K44,""))</f>
        <v>-0.16972928056340578</v>
      </c>
      <c r="I44" s="24">
        <f>IF(COUNT(Captura_NoFin!N44,Captura_NoFin!H44)&lt;2,"",IFERROR(Captura_NoFin!N44/Captura_NoFin!H44,""))</f>
        <v>-9.6515836849085032E-2</v>
      </c>
      <c r="J44" s="24">
        <f>IF(COUNT(Captura_NoFin!I44,Captura_NoFin!H44)&lt;2,"",IFERROR(Captura_NoFin!I44/Captura_NoFin!H44,""))</f>
        <v>0.67456294166043662</v>
      </c>
      <c r="K44" s="23">
        <f>IF(OR(E44="",COUNT(Captura_NoFin!L44)&lt;1),"",IFERROR(E44/ABS(Captura_NoFin!L44),""))</f>
        <v>-2.9064525218371373</v>
      </c>
      <c r="L44" s="23">
        <f>IF(COUNT(Captura_NoFin!K44,Captura_NoFin!H44)&lt;2,"",IFERROR(Captura_NoFin!K44/Captura_NoFin!H44,""))</f>
        <v>0.51370603118906921</v>
      </c>
      <c r="M44" s="24">
        <f>IF(COUNT(Captura_NoFin!R44)&lt;1,"",IFERROR(IF(D44=2017,Captura_NoFin!R44/INDEX(Empresas!$I$2:$I$23,MATCH($A44,Empresas!$B$2:$B$23,0))-1,IF(COUNT(Captura_NoFin!R43)&lt;1,"",Captura_NoFin!R44/Captura_NoFin!R43-1)),""))</f>
        <v>0.87755089329497626</v>
      </c>
      <c r="N44" s="24">
        <f>IF(COUNT(Captura_NoFin!P44,Captura_NoFin!O44)&lt;2,"",IF(Captura_NoFin!O44&lt;=0,"",Captura_NoFin!P44/Captura_NoFin!O44))</f>
        <v>-0.29657297586674874</v>
      </c>
      <c r="O44" s="25">
        <f t="shared" si="1"/>
        <v>8</v>
      </c>
      <c r="P44" s="26" t="str">
        <f>IF(COUNT(Captura_NoFin!H44,Captura_NoFin!I44,Captura_NoFin!J44)&lt;3,"",IF(ABS(Captura_NoFin!H44-Captura_NoFin!I44-Captura_NoFin!J44)&lt;=0.005*ABS(Captura_NoFin!H44),"OK","REVISAR"))</f>
        <v>OK</v>
      </c>
    </row>
    <row r="45" spans="1:16" ht="15" customHeight="1" x14ac:dyDescent="0.2">
      <c r="A45" s="20" t="str">
        <f>Captura_NoFin!A45</f>
        <v>ECL</v>
      </c>
      <c r="B45" s="20">
        <f>Captura_NoFin!B45</f>
        <v>1</v>
      </c>
      <c r="C45" s="20" t="str">
        <f>Captura_NoFin!C45</f>
        <v>Servicios básicos e infraestructura</v>
      </c>
      <c r="D45" s="21">
        <f>Captura_NoFin!D45</f>
        <v>2024</v>
      </c>
      <c r="E45" s="22">
        <f>IF(COUNT(Captura_NoFin!M45,Captura_NoFin!L45)&lt;2,"",Captura_NoFin!M45+ABS(Captura_NoFin!L45))</f>
        <v>442112</v>
      </c>
      <c r="F45" s="23">
        <f>IF(COUNT(Captura_NoFin!F45,Captura_NoFin!G45)&lt;2,"",IFERROR(Captura_NoFin!F45/Captura_NoFin!G45,""))</f>
        <v>1.6626238876843986</v>
      </c>
      <c r="G45" s="24">
        <f>IF(COUNT(Captura_NoFin!F45,Captura_NoFin!G45,Captura_NoFin!H45)&lt;3,"",IFERROR((Captura_NoFin!F45-Captura_NoFin!G45)/Captura_NoFin!H45,""))</f>
        <v>9.1219671325501295E-2</v>
      </c>
      <c r="H45" s="24">
        <f>IF(OR(E45="",COUNT(Captura_NoFin!K45)&lt;1),"",IFERROR(E45/Captura_NoFin!K45,""))</f>
        <v>0.24074090208139121</v>
      </c>
      <c r="I45" s="24">
        <f>IF(COUNT(Captura_NoFin!N45,Captura_NoFin!H45)&lt;2,"",IFERROR(Captura_NoFin!N45/Captura_NoFin!H45,""))</f>
        <v>4.8358745800482127E-2</v>
      </c>
      <c r="J45" s="24">
        <f>IF(COUNT(Captura_NoFin!I45,Captura_NoFin!H45)&lt;2,"",IFERROR(Captura_NoFin!I45/Captura_NoFin!H45,""))</f>
        <v>0.66852998868830993</v>
      </c>
      <c r="K45" s="23">
        <f>IF(OR(E45="",COUNT(Captura_NoFin!L45)&lt;1),"",IFERROR(E45/ABS(Captura_NoFin!L45),""))</f>
        <v>3.377298387404799</v>
      </c>
      <c r="L45" s="23">
        <f>IF(COUNT(Captura_NoFin!K45,Captura_NoFin!H45)&lt;2,"",IFERROR(Captura_NoFin!K45/Captura_NoFin!H45,""))</f>
        <v>0.3890170692131385</v>
      </c>
      <c r="M45" s="24">
        <f>IF(COUNT(Captura_NoFin!R45)&lt;1,"",IFERROR(IF(D45=2017,Captura_NoFin!R45/INDEX(Empresas!$I$2:$I$23,MATCH($A45,Empresas!$B$2:$B$23,0))-1,IF(COUNT(Captura_NoFin!R44)&lt;1,"",Captura_NoFin!R45/Captura_NoFin!R44-1)),""))</f>
        <v>-1.4130438244220556E-2</v>
      </c>
      <c r="N45" s="24">
        <f>IF(COUNT(Captura_NoFin!P45,Captura_NoFin!O45)&lt;2,"",IF(Captura_NoFin!O45&lt;=0,"",Captura_NoFin!P45/Captura_NoFin!O45))</f>
        <v>0.14589176743053572</v>
      </c>
      <c r="O45" s="25">
        <f t="shared" si="1"/>
        <v>8</v>
      </c>
      <c r="P45" s="26" t="str">
        <f>IF(COUNT(Captura_NoFin!H45,Captura_NoFin!I45,Captura_NoFin!J45)&lt;3,"",IF(ABS(Captura_NoFin!H45-Captura_NoFin!I45-Captura_NoFin!J45)&lt;=0.005*ABS(Captura_NoFin!H45),"OK","REVISAR"))</f>
        <v>OK</v>
      </c>
    </row>
    <row r="46" spans="1:16" ht="15" customHeight="1" x14ac:dyDescent="0.2">
      <c r="A46" s="20" t="str">
        <f>Captura_NoFin!A46</f>
        <v>ECL</v>
      </c>
      <c r="B46" s="20">
        <f>Captura_NoFin!B46</f>
        <v>1</v>
      </c>
      <c r="C46" s="20" t="str">
        <f>Captura_NoFin!C46</f>
        <v>Servicios básicos e infraestructura</v>
      </c>
      <c r="D46" s="21">
        <f>Captura_NoFin!D46</f>
        <v>2025</v>
      </c>
      <c r="E46" s="22">
        <f>IF(COUNT(Captura_NoFin!M46,Captura_NoFin!L46)&lt;2,"",Captura_NoFin!M46+ABS(Captura_NoFin!L46))</f>
        <v>496734</v>
      </c>
      <c r="F46" s="23">
        <f>IF(COUNT(Captura_NoFin!F46,Captura_NoFin!G46)&lt;2,"",IFERROR(Captura_NoFin!F46/Captura_NoFin!G46,""))</f>
        <v>1.1391612785341287</v>
      </c>
      <c r="G46" s="24">
        <f>IF(COUNT(Captura_NoFin!F46,Captura_NoFin!G46,Captura_NoFin!H46)&lt;3,"",IFERROR((Captura_NoFin!F46-Captura_NoFin!G46)/Captura_NoFin!H46,""))</f>
        <v>1.6639876790205465E-2</v>
      </c>
      <c r="H46" s="24">
        <f>IF(OR(E46="",COUNT(Captura_NoFin!K46)&lt;1),"",IFERROR(E46/Captura_NoFin!K46,""))</f>
        <v>0.23921073085506084</v>
      </c>
      <c r="I46" s="24">
        <f>IF(COUNT(Captura_NoFin!N46,Captura_NoFin!H46)&lt;2,"",IFERROR(Captura_NoFin!N46/Captura_NoFin!H46,""))</f>
        <v>4.270773302065807E-2</v>
      </c>
      <c r="J46" s="24">
        <f>IF(COUNT(Captura_NoFin!I46,Captura_NoFin!H46)&lt;2,"",IFERROR(Captura_NoFin!I46/Captura_NoFin!H46,""))</f>
        <v>0.66790985492452992</v>
      </c>
      <c r="K46" s="23">
        <f>IF(OR(E46="",COUNT(Captura_NoFin!L46)&lt;1),"",IFERROR(E46/ABS(Captura_NoFin!L46),""))</f>
        <v>3.4963539613716987</v>
      </c>
      <c r="L46" s="23">
        <f>IF(COUNT(Captura_NoFin!K46,Captura_NoFin!H46)&lt;2,"",IFERROR(Captura_NoFin!K46/Captura_NoFin!H46,""))</f>
        <v>0.39797752563500821</v>
      </c>
      <c r="M46" s="24">
        <f>IF(COUNT(Captura_NoFin!R46)&lt;1,"",IFERROR(IF(D46=2017,Captura_NoFin!R46/INDEX(Empresas!$I$2:$I$23,MATCH($A46,Empresas!$B$2:$B$23,0))-1,IF(COUNT(Captura_NoFin!R45)&lt;1,"",Captura_NoFin!R46/Captura_NoFin!R45-1)),""))</f>
        <v>0.48517507844315322</v>
      </c>
      <c r="N46" s="24">
        <f>IF(COUNT(Captura_NoFin!P46,Captura_NoFin!O46)&lt;2,"",IF(Captura_NoFin!O46&lt;=0,"",Captura_NoFin!P46/Captura_NoFin!O46))</f>
        <v>0.12860283165269001</v>
      </c>
      <c r="O46" s="25">
        <f t="shared" si="1"/>
        <v>8</v>
      </c>
      <c r="P46" s="26" t="str">
        <f>IF(COUNT(Captura_NoFin!H46,Captura_NoFin!I46,Captura_NoFin!J46)&lt;3,"",IF(ABS(Captura_NoFin!H46-Captura_NoFin!I46-Captura_NoFin!J46)&lt;=0.005*ABS(Captura_NoFin!H46),"OK","REVISAR"))</f>
        <v>OK</v>
      </c>
    </row>
    <row r="47" spans="1:16" ht="15" customHeight="1" x14ac:dyDescent="0.2">
      <c r="A47" s="20" t="str">
        <f>Captura_NoFin!A47</f>
        <v>ENTEL</v>
      </c>
      <c r="B47" s="20">
        <f>Captura_NoFin!B47</f>
        <v>1</v>
      </c>
      <c r="C47" s="20" t="str">
        <f>Captura_NoFin!C47</f>
        <v>Servicios básicos e infraestructura</v>
      </c>
      <c r="D47" s="21">
        <f>Captura_NoFin!D47</f>
        <v>2017</v>
      </c>
      <c r="E47" s="22">
        <f>IF(COUNT(Captura_NoFin!M47,Captura_NoFin!L47)&lt;2,"",Captura_NoFin!M47+ABS(Captura_NoFin!L47))</f>
        <v>106036892</v>
      </c>
      <c r="F47" s="23">
        <f>IF(COUNT(Captura_NoFin!F47,Captura_NoFin!G47)&lt;2,"",IFERROR(Captura_NoFin!F47/Captura_NoFin!G47,""))</f>
        <v>1.1949634770758819</v>
      </c>
      <c r="G47" s="24">
        <f>IF(COUNT(Captura_NoFin!F47,Captura_NoFin!G47,Captura_NoFin!H47)&lt;3,"",IFERROR((Captura_NoFin!F47-Captura_NoFin!G47)/Captura_NoFin!H47,""))</f>
        <v>3.4440288305553388E-2</v>
      </c>
      <c r="H47" s="24">
        <f>IF(OR(E47="",COUNT(Captura_NoFin!K47)&lt;1),"",IFERROR(E47/Captura_NoFin!K47,""))</f>
        <v>5.4571799586728267E-2</v>
      </c>
      <c r="I47" s="24">
        <f>IF(COUNT(Captura_NoFin!N47,Captura_NoFin!H47)&lt;2,"",IFERROR(Captura_NoFin!N47/Captura_NoFin!H47,""))</f>
        <v>1.2300665017110872E-2</v>
      </c>
      <c r="J47" s="24">
        <f>IF(COUNT(Captura_NoFin!I47,Captura_NoFin!H47)&lt;2,"",IFERROR(Captura_NoFin!I47/Captura_NoFin!H47,""))</f>
        <v>0.64909689057257436</v>
      </c>
      <c r="K47" s="23">
        <f>IF(OR(E47="",COUNT(Captura_NoFin!L47)&lt;1),"",IFERROR(E47/ABS(Captura_NoFin!L47),""))</f>
        <v>1.3248654904754822</v>
      </c>
      <c r="L47" s="23">
        <f>IF(COUNT(Captura_NoFin!K47,Captura_NoFin!H47)&lt;2,"",IFERROR(Captura_NoFin!K47/Captura_NoFin!H47,""))</f>
        <v>0.55059480843149922</v>
      </c>
      <c r="M47" s="24">
        <f>IF(COUNT(Captura_NoFin!R47)&lt;1,"",IFERROR(IF(D47=2017,Captura_NoFin!R47/INDEX(Empresas!$I$2:$I$23,MATCH($A47,Empresas!$B$2:$B$23,0))-1,IF(COUNT(Captura_NoFin!R46)&lt;1,"",Captura_NoFin!R47/Captura_NoFin!R46-1)),""))</f>
        <v>-2.2900415775949479E-2</v>
      </c>
      <c r="N47" s="24">
        <f>IF(COUNT(Captura_NoFin!P47,Captura_NoFin!O47)&lt;2,"",IF(Captura_NoFin!O47&lt;=0,"",Captura_NoFin!P47/Captura_NoFin!O47))</f>
        <v>3.5054306122228637E-2</v>
      </c>
      <c r="O47" s="25">
        <f t="shared" si="1"/>
        <v>8</v>
      </c>
      <c r="P47" s="26" t="str">
        <f>IF(COUNT(Captura_NoFin!H47,Captura_NoFin!I47,Captura_NoFin!J47)&lt;3,"",IF(ABS(Captura_NoFin!H47-Captura_NoFin!I47-Captura_NoFin!J47)&lt;=0.005*ABS(Captura_NoFin!H47),"OK","REVISAR"))</f>
        <v>OK</v>
      </c>
    </row>
    <row r="48" spans="1:16" ht="15" customHeight="1" x14ac:dyDescent="0.2">
      <c r="A48" s="20" t="str">
        <f>Captura_NoFin!A48</f>
        <v>ENTEL</v>
      </c>
      <c r="B48" s="20">
        <f>Captura_NoFin!B48</f>
        <v>1</v>
      </c>
      <c r="C48" s="20" t="str">
        <f>Captura_NoFin!C48</f>
        <v>Servicios básicos e infraestructura</v>
      </c>
      <c r="D48" s="21">
        <f>Captura_NoFin!D48</f>
        <v>2018</v>
      </c>
      <c r="E48" s="22">
        <f>IF(COUNT(Captura_NoFin!M48,Captura_NoFin!L48)&lt;2,"",Captura_NoFin!M48+ABS(Captura_NoFin!L48))</f>
        <v>75440209</v>
      </c>
      <c r="F48" s="23">
        <f>IF(COUNT(Captura_NoFin!F48,Captura_NoFin!G48)&lt;2,"",IFERROR(Captura_NoFin!F48/Captura_NoFin!G48,""))</f>
        <v>1.2305196346304024</v>
      </c>
      <c r="G48" s="24">
        <f>IF(COUNT(Captura_NoFin!F48,Captura_NoFin!G48,Captura_NoFin!H48)&lt;3,"",IFERROR((Captura_NoFin!F48-Captura_NoFin!G48)/Captura_NoFin!H48,""))</f>
        <v>3.8305987344046027E-2</v>
      </c>
      <c r="H48" s="24">
        <f>IF(OR(E48="",COUNT(Captura_NoFin!K48)&lt;1),"",IFERROR(E48/Captura_NoFin!K48,""))</f>
        <v>3.9431958556925654E-2</v>
      </c>
      <c r="I48" s="24">
        <f>IF(COUNT(Captura_NoFin!N48,Captura_NoFin!H48)&lt;2,"",IFERROR(Captura_NoFin!N48/Captura_NoFin!H48,""))</f>
        <v>-5.9568137413595068E-3</v>
      </c>
      <c r="J48" s="24">
        <f>IF(COUNT(Captura_NoFin!I48,Captura_NoFin!H48)&lt;2,"",IFERROR(Captura_NoFin!I48/Captura_NoFin!H48,""))</f>
        <v>0.65531085761260621</v>
      </c>
      <c r="K48" s="23">
        <f>IF(OR(E48="",COUNT(Captura_NoFin!L48)&lt;1),"",IFERROR(E48/ABS(Captura_NoFin!L48),""))</f>
        <v>0.97077671637615615</v>
      </c>
      <c r="L48" s="23">
        <f>IF(COUNT(Captura_NoFin!K48,Captura_NoFin!H48)&lt;2,"",IFERROR(Captura_NoFin!K48/Captura_NoFin!H48,""))</f>
        <v>0.48261109733261004</v>
      </c>
      <c r="M48" s="24">
        <f>IF(COUNT(Captura_NoFin!R48)&lt;1,"",IFERROR(IF(D48=2017,Captura_NoFin!R48/INDEX(Empresas!$I$2:$I$23,MATCH($A48,Empresas!$B$2:$B$23,0))-1,IF(COUNT(Captura_NoFin!R47)&lt;1,"",Captura_NoFin!R48/Captura_NoFin!R47-1)),""))</f>
        <v>-0.21646640323739308</v>
      </c>
      <c r="N48" s="24">
        <f>IF(COUNT(Captura_NoFin!P48,Captura_NoFin!O48)&lt;2,"",IF(Captura_NoFin!O48&lt;=0,"",Captura_NoFin!P48/Captura_NoFin!O48))</f>
        <v>-1.7281698228442263E-2</v>
      </c>
      <c r="O48" s="25">
        <f t="shared" si="1"/>
        <v>8</v>
      </c>
      <c r="P48" s="26" t="str">
        <f>IF(COUNT(Captura_NoFin!H48,Captura_NoFin!I48,Captura_NoFin!J48)&lt;3,"",IF(ABS(Captura_NoFin!H48-Captura_NoFin!I48-Captura_NoFin!J48)&lt;=0.005*ABS(Captura_NoFin!H48),"OK","REVISAR"))</f>
        <v>OK</v>
      </c>
    </row>
    <row r="49" spans="1:16" ht="15" customHeight="1" x14ac:dyDescent="0.2">
      <c r="A49" s="20" t="str">
        <f>Captura_NoFin!A49</f>
        <v>ENTEL</v>
      </c>
      <c r="B49" s="20">
        <f>Captura_NoFin!B49</f>
        <v>1</v>
      </c>
      <c r="C49" s="20" t="str">
        <f>Captura_NoFin!C49</f>
        <v>Servicios básicos e infraestructura</v>
      </c>
      <c r="D49" s="21">
        <f>Captura_NoFin!D49</f>
        <v>2019</v>
      </c>
      <c r="E49" s="22">
        <f>IF(COUNT(Captura_NoFin!M49,Captura_NoFin!L49)&lt;2,"",Captura_NoFin!M49+ABS(Captura_NoFin!L49))</f>
        <v>337768834</v>
      </c>
      <c r="F49" s="23">
        <f>IF(COUNT(Captura_NoFin!F49,Captura_NoFin!G49)&lt;2,"",IFERROR(Captura_NoFin!F49/Captura_NoFin!G49,""))</f>
        <v>1.5153545934184507</v>
      </c>
      <c r="G49" s="24">
        <f>IF(COUNT(Captura_NoFin!F49,Captura_NoFin!G49,Captura_NoFin!H49)&lt;3,"",IFERROR((Captura_NoFin!F49-Captura_NoFin!G49)/Captura_NoFin!H49,""))</f>
        <v>8.8825274843622876E-2</v>
      </c>
      <c r="H49" s="24">
        <f>IF(OR(E49="",COUNT(Captura_NoFin!K49)&lt;1),"",IFERROR(E49/Captura_NoFin!K49,""))</f>
        <v>0.17069446210027811</v>
      </c>
      <c r="I49" s="24">
        <f>IF(COUNT(Captura_NoFin!N49,Captura_NoFin!H49)&lt;2,"",IFERROR(Captura_NoFin!N49/Captura_NoFin!H49,""))</f>
        <v>2.9819575739558096E-2</v>
      </c>
      <c r="J49" s="24">
        <f>IF(COUNT(Captura_NoFin!I49,Captura_NoFin!H49)&lt;2,"",IFERROR(Captura_NoFin!I49/Captura_NoFin!H49,""))</f>
        <v>0.68881392997998336</v>
      </c>
      <c r="K49" s="23">
        <f>IF(OR(E49="",COUNT(Captura_NoFin!L49)&lt;1),"",IFERROR(E49/ABS(Captura_NoFin!L49),""))</f>
        <v>3.4622007645281552</v>
      </c>
      <c r="L49" s="23">
        <f>IF(COUNT(Captura_NoFin!K49,Captura_NoFin!H49)&lt;2,"",IFERROR(Captura_NoFin!K49/Captura_NoFin!H49,""))</f>
        <v>0.3827825586696606</v>
      </c>
      <c r="M49" s="24">
        <f>IF(COUNT(Captura_NoFin!R49)&lt;1,"",IFERROR(IF(D49=2017,Captura_NoFin!R49/INDEX(Empresas!$I$2:$I$23,MATCH($A49,Empresas!$B$2:$B$23,0))-1,IF(COUNT(Captura_NoFin!R48)&lt;1,"",Captura_NoFin!R49/Captura_NoFin!R48-1)),""))</f>
        <v>-6.2436113648820513E-3</v>
      </c>
      <c r="N49" s="24" t="str">
        <f>IF(COUNT(Captura_NoFin!P49,Captura_NoFin!O49)&lt;2,"",IF(Captura_NoFin!O49&lt;=0,"",Captura_NoFin!P49/Captura_NoFin!O49))</f>
        <v/>
      </c>
      <c r="O49" s="25">
        <f t="shared" si="1"/>
        <v>8</v>
      </c>
      <c r="P49" s="26" t="str">
        <f>IF(COUNT(Captura_NoFin!H49,Captura_NoFin!I49,Captura_NoFin!J49)&lt;3,"",IF(ABS(Captura_NoFin!H49-Captura_NoFin!I49-Captura_NoFin!J49)&lt;=0.005*ABS(Captura_NoFin!H49),"OK","REVISAR"))</f>
        <v>OK</v>
      </c>
    </row>
    <row r="50" spans="1:16" ht="15" customHeight="1" x14ac:dyDescent="0.2">
      <c r="A50" s="20" t="str">
        <f>Captura_NoFin!A50</f>
        <v>ENTEL</v>
      </c>
      <c r="B50" s="20">
        <f>Captura_NoFin!B50</f>
        <v>1</v>
      </c>
      <c r="C50" s="20" t="str">
        <f>Captura_NoFin!C50</f>
        <v>Servicios básicos e infraestructura</v>
      </c>
      <c r="D50" s="21">
        <f>Captura_NoFin!D50</f>
        <v>2020</v>
      </c>
      <c r="E50" s="22">
        <f>IF(COUNT(Captura_NoFin!M50,Captura_NoFin!L50)&lt;2,"",Captura_NoFin!M50+ABS(Captura_NoFin!L50))</f>
        <v>196489994</v>
      </c>
      <c r="F50" s="23">
        <f>IF(COUNT(Captura_NoFin!F50,Captura_NoFin!G50)&lt;2,"",IFERROR(Captura_NoFin!F50/Captura_NoFin!G50,""))</f>
        <v>1.6912700026355489</v>
      </c>
      <c r="G50" s="24">
        <f>IF(COUNT(Captura_NoFin!F50,Captura_NoFin!G50,Captura_NoFin!H50)&lt;3,"",IFERROR((Captura_NoFin!F50-Captura_NoFin!G50)/Captura_NoFin!H50,""))</f>
        <v>0.11512908703696426</v>
      </c>
      <c r="H50" s="24">
        <f>IF(OR(E50="",COUNT(Captura_NoFin!K50)&lt;1),"",IFERROR(E50/Captura_NoFin!K50,""))</f>
        <v>9.3895556155863577E-2</v>
      </c>
      <c r="I50" s="24">
        <f>IF(COUNT(Captura_NoFin!N50,Captura_NoFin!H50)&lt;2,"",IFERROR(Captura_NoFin!N50/Captura_NoFin!H50,""))</f>
        <v>1.727875757760567E-2</v>
      </c>
      <c r="J50" s="24">
        <f>IF(COUNT(Captura_NoFin!I50,Captura_NoFin!H50)&lt;2,"",IFERROR(Captura_NoFin!I50/Captura_NoFin!H50,""))</f>
        <v>0.69141709246666361</v>
      </c>
      <c r="K50" s="23">
        <f>IF(OR(E50="",COUNT(Captura_NoFin!L50)&lt;1),"",IFERROR(E50/ABS(Captura_NoFin!L50),""))</f>
        <v>1.916303667110355</v>
      </c>
      <c r="L50" s="23">
        <f>IF(COUNT(Captura_NoFin!K50,Captura_NoFin!H50)&lt;2,"",IFERROR(Captura_NoFin!K50/Captura_NoFin!H50,""))</f>
        <v>0.4280797743129634</v>
      </c>
      <c r="M50" s="24">
        <f>IF(COUNT(Captura_NoFin!R50)&lt;1,"",IFERROR(IF(D50=2017,Captura_NoFin!R50/INDEX(Empresas!$I$2:$I$23,MATCH($A50,Empresas!$B$2:$B$23,0))-1,IF(COUNT(Captura_NoFin!R49)&lt;1,"",Captura_NoFin!R50/Captura_NoFin!R49-1)),""))</f>
        <v>-0.14971693397226982</v>
      </c>
      <c r="N50" s="24" t="str">
        <f>IF(COUNT(Captura_NoFin!P50,Captura_NoFin!O50)&lt;2,"",IF(Captura_NoFin!O50&lt;=0,"",Captura_NoFin!P50/Captura_NoFin!O50))</f>
        <v/>
      </c>
      <c r="O50" s="25">
        <f t="shared" si="1"/>
        <v>8</v>
      </c>
      <c r="P50" s="26" t="str">
        <f>IF(COUNT(Captura_NoFin!H50,Captura_NoFin!I50,Captura_NoFin!J50)&lt;3,"",IF(ABS(Captura_NoFin!H50-Captura_NoFin!I50-Captura_NoFin!J50)&lt;=0.005*ABS(Captura_NoFin!H50),"OK","REVISAR"))</f>
        <v>OK</v>
      </c>
    </row>
    <row r="51" spans="1:16" ht="15" customHeight="1" x14ac:dyDescent="0.2">
      <c r="A51" s="20" t="str">
        <f>Captura_NoFin!A51</f>
        <v>ENTEL</v>
      </c>
      <c r="B51" s="20">
        <f>Captura_NoFin!B51</f>
        <v>1</v>
      </c>
      <c r="C51" s="20" t="str">
        <f>Captura_NoFin!C51</f>
        <v>Servicios básicos e infraestructura</v>
      </c>
      <c r="D51" s="21">
        <f>Captura_NoFin!D51</f>
        <v>2021</v>
      </c>
      <c r="E51" s="22">
        <f>IF(COUNT(Captura_NoFin!M51,Captura_NoFin!L51)&lt;2,"",Captura_NoFin!M51+ABS(Captura_NoFin!L51))</f>
        <v>232581493</v>
      </c>
      <c r="F51" s="23">
        <f>IF(COUNT(Captura_NoFin!F51,Captura_NoFin!G51)&lt;2,"",IFERROR(Captura_NoFin!F51/Captura_NoFin!G51,""))</f>
        <v>1.1191503517529804</v>
      </c>
      <c r="G51" s="24">
        <f>IF(COUNT(Captura_NoFin!F51,Captura_NoFin!G51,Captura_NoFin!H51)&lt;3,"",IFERROR((Captura_NoFin!F51-Captura_NoFin!G51)/Captura_NoFin!H51,""))</f>
        <v>2.5201692454323705E-2</v>
      </c>
      <c r="H51" s="24">
        <f>IF(OR(E51="",COUNT(Captura_NoFin!K51)&lt;1),"",IFERROR(E51/Captura_NoFin!K51,""))</f>
        <v>9.6554536020474022E-2</v>
      </c>
      <c r="I51" s="24">
        <f>IF(COUNT(Captura_NoFin!N51,Captura_NoFin!H51)&lt;2,"",IFERROR(Captura_NoFin!N51/Captura_NoFin!H51,""))</f>
        <v>1.3704236492110038E-2</v>
      </c>
      <c r="J51" s="24">
        <f>IF(COUNT(Captura_NoFin!I51,Captura_NoFin!H51)&lt;2,"",IFERROR(Captura_NoFin!I51/Captura_NoFin!H51,""))</f>
        <v>0.72526837310833792</v>
      </c>
      <c r="K51" s="23">
        <f>IF(OR(E51="",COUNT(Captura_NoFin!L51)&lt;1),"",IFERROR(E51/ABS(Captura_NoFin!L51),""))</f>
        <v>2.0410634530505281</v>
      </c>
      <c r="L51" s="23">
        <f>IF(COUNT(Captura_NoFin!K51,Captura_NoFin!H51)&lt;2,"",IFERROR(Captura_NoFin!K51/Captura_NoFin!H51,""))</f>
        <v>0.44029022276082691</v>
      </c>
      <c r="M51" s="24">
        <f>IF(COUNT(Captura_NoFin!R51)&lt;1,"",IFERROR(IF(D51=2017,Captura_NoFin!R51/INDEX(Empresas!$I$2:$I$23,MATCH($A51,Empresas!$B$2:$B$23,0))-1,IF(COUNT(Captura_NoFin!R50)&lt;1,"",Captura_NoFin!R51/Captura_NoFin!R50-1)),""))</f>
        <v>-0.14694456622615193</v>
      </c>
      <c r="N51" s="24">
        <f>IF(COUNT(Captura_NoFin!P51,Captura_NoFin!O51)&lt;2,"",IF(Captura_NoFin!O51&lt;=0,"",Captura_NoFin!P51/Captura_NoFin!O51))</f>
        <v>4.988226745919639E-2</v>
      </c>
      <c r="O51" s="25">
        <f t="shared" si="1"/>
        <v>8</v>
      </c>
      <c r="P51" s="26" t="str">
        <f>IF(COUNT(Captura_NoFin!H51,Captura_NoFin!I51,Captura_NoFin!J51)&lt;3,"",IF(ABS(Captura_NoFin!H51-Captura_NoFin!I51-Captura_NoFin!J51)&lt;=0.005*ABS(Captura_NoFin!H51),"OK","REVISAR"))</f>
        <v>OK</v>
      </c>
    </row>
    <row r="52" spans="1:16" ht="15" customHeight="1" x14ac:dyDescent="0.2">
      <c r="A52" s="20" t="str">
        <f>Captura_NoFin!A52</f>
        <v>ENTEL</v>
      </c>
      <c r="B52" s="20">
        <f>Captura_NoFin!B52</f>
        <v>1</v>
      </c>
      <c r="C52" s="20" t="str">
        <f>Captura_NoFin!C52</f>
        <v>Servicios básicos e infraestructura</v>
      </c>
      <c r="D52" s="21">
        <f>Captura_NoFin!D52</f>
        <v>2022</v>
      </c>
      <c r="E52" s="22">
        <f>IF(COUNT(Captura_NoFin!M52,Captura_NoFin!L52)&lt;2,"",Captura_NoFin!M52+ABS(Captura_NoFin!L52))</f>
        <v>653447827</v>
      </c>
      <c r="F52" s="23">
        <f>IF(COUNT(Captura_NoFin!F52,Captura_NoFin!G52)&lt;2,"",IFERROR(Captura_NoFin!F52/Captura_NoFin!G52,""))</f>
        <v>1.3115020080871889</v>
      </c>
      <c r="G52" s="24">
        <f>IF(COUNT(Captura_NoFin!F52,Captura_NoFin!G52,Captura_NoFin!H52)&lt;3,"",IFERROR((Captura_NoFin!F52-Captura_NoFin!G52)/Captura_NoFin!H52,""))</f>
        <v>6.3021392659829908E-2</v>
      </c>
      <c r="H52" s="24">
        <f>IF(OR(E52="",COUNT(Captura_NoFin!K52)&lt;1),"",IFERROR(E52/Captura_NoFin!K52,""))</f>
        <v>0.25719377493792117</v>
      </c>
      <c r="I52" s="24">
        <f>IF(COUNT(Captura_NoFin!N52,Captura_NoFin!H52)&lt;2,"",IFERROR(Captura_NoFin!N52/Captura_NoFin!H52,""))</f>
        <v>8.1637006212190319E-2</v>
      </c>
      <c r="J52" s="24">
        <f>IF(COUNT(Captura_NoFin!I52,Captura_NoFin!H52)&lt;2,"",IFERROR(Captura_NoFin!I52/Captura_NoFin!H52,""))</f>
        <v>0.72217702818812002</v>
      </c>
      <c r="K52" s="23">
        <f>IF(OR(E52="",COUNT(Captura_NoFin!L52)&lt;1),"",IFERROR(E52/ABS(Captura_NoFin!L52),""))</f>
        <v>5.7473053210496587</v>
      </c>
      <c r="L52" s="23">
        <f>IF(COUNT(Captura_NoFin!K52,Captura_NoFin!H52)&lt;2,"",IFERROR(Captura_NoFin!K52/Captura_NoFin!H52,""))</f>
        <v>0.45407070530811866</v>
      </c>
      <c r="M52" s="24">
        <f>IF(COUNT(Captura_NoFin!R52)&lt;1,"",IFERROR(IF(D52=2017,Captura_NoFin!R52/INDEX(Empresas!$I$2:$I$23,MATCH($A52,Empresas!$B$2:$B$23,0))-1,IF(COUNT(Captura_NoFin!R51)&lt;1,"",Captura_NoFin!R52/Captura_NoFin!R51-1)),""))</f>
        <v>0.27582999734662339</v>
      </c>
      <c r="N52" s="24">
        <f>IF(COUNT(Captura_NoFin!P52,Captura_NoFin!O52)&lt;2,"",IF(Captura_NoFin!O52&lt;=0,"",Captura_NoFin!P52/Captura_NoFin!O52))</f>
        <v>0.293845414149081</v>
      </c>
      <c r="O52" s="25">
        <f t="shared" si="1"/>
        <v>8</v>
      </c>
      <c r="P52" s="26" t="str">
        <f>IF(COUNT(Captura_NoFin!H52,Captura_NoFin!I52,Captura_NoFin!J52)&lt;3,"",IF(ABS(Captura_NoFin!H52-Captura_NoFin!I52-Captura_NoFin!J52)&lt;=0.005*ABS(Captura_NoFin!H52),"OK","REVISAR"))</f>
        <v>OK</v>
      </c>
    </row>
    <row r="53" spans="1:16" ht="15" customHeight="1" x14ac:dyDescent="0.2">
      <c r="A53" s="20" t="str">
        <f>Captura_NoFin!A53</f>
        <v>ENTEL</v>
      </c>
      <c r="B53" s="20">
        <f>Captura_NoFin!B53</f>
        <v>1</v>
      </c>
      <c r="C53" s="20" t="str">
        <f>Captura_NoFin!C53</f>
        <v>Servicios básicos e infraestructura</v>
      </c>
      <c r="D53" s="21">
        <f>Captura_NoFin!D53</f>
        <v>2023</v>
      </c>
      <c r="E53" s="22">
        <f>IF(COUNT(Captura_NoFin!M53,Captura_NoFin!L53)&lt;2,"",Captura_NoFin!M53+ABS(Captura_NoFin!L53))</f>
        <v>233864831</v>
      </c>
      <c r="F53" s="23">
        <f>IF(COUNT(Captura_NoFin!F53,Captura_NoFin!G53)&lt;2,"",IFERROR(Captura_NoFin!F53/Captura_NoFin!G53,""))</f>
        <v>1.1937721004573087</v>
      </c>
      <c r="G53" s="24">
        <f>IF(COUNT(Captura_NoFin!F53,Captura_NoFin!G53,Captura_NoFin!H53)&lt;3,"",IFERROR((Captura_NoFin!F53-Captura_NoFin!G53)/Captura_NoFin!H53,""))</f>
        <v>4.5461673921847509E-2</v>
      </c>
      <c r="H53" s="24">
        <f>IF(OR(E53="",COUNT(Captura_NoFin!K53)&lt;1),"",IFERROR(E53/Captura_NoFin!K53,""))</f>
        <v>9.4540792342924812E-2</v>
      </c>
      <c r="I53" s="24">
        <f>IF(COUNT(Captura_NoFin!N53,Captura_NoFin!H53)&lt;2,"",IFERROR(Captura_NoFin!N53/Captura_NoFin!H53,""))</f>
        <v>1.5597339306180708E-2</v>
      </c>
      <c r="J53" s="24">
        <f>IF(COUNT(Captura_NoFin!I53,Captura_NoFin!H53)&lt;2,"",IFERROR(Captura_NoFin!I53/Captura_NoFin!H53,""))</f>
        <v>0.7059931967263533</v>
      </c>
      <c r="K53" s="23">
        <f>IF(OR(E53="",COUNT(Captura_NoFin!L53)&lt;1),"",IFERROR(E53/ABS(Captura_NoFin!L53),""))</f>
        <v>2.0646633536446481</v>
      </c>
      <c r="L53" s="23">
        <f>IF(COUNT(Captura_NoFin!K53,Captura_NoFin!H53)&lt;2,"",IFERROR(Captura_NoFin!K53/Captura_NoFin!H53,""))</f>
        <v>0.43408104298296907</v>
      </c>
      <c r="M53" s="24">
        <f>IF(COUNT(Captura_NoFin!R53)&lt;1,"",IFERROR(IF(D53=2017,Captura_NoFin!R53/INDEX(Empresas!$I$2:$I$23,MATCH($A53,Empresas!$B$2:$B$23,0))-1,IF(COUNT(Captura_NoFin!R52)&lt;1,"",Captura_NoFin!R53/Captura_NoFin!R52-1)),""))</f>
        <v>0.13265766368572618</v>
      </c>
      <c r="N53" s="24">
        <f>IF(COUNT(Captura_NoFin!P53,Captura_NoFin!O53)&lt;2,"",IF(Captura_NoFin!O53&lt;=0,"",Captura_NoFin!P53/Captura_NoFin!O53))</f>
        <v>5.3050946891400642E-2</v>
      </c>
      <c r="O53" s="25">
        <f t="shared" si="1"/>
        <v>8</v>
      </c>
      <c r="P53" s="26" t="str">
        <f>IF(COUNT(Captura_NoFin!H53,Captura_NoFin!I53,Captura_NoFin!J53)&lt;3,"",IF(ABS(Captura_NoFin!H53-Captura_NoFin!I53-Captura_NoFin!J53)&lt;=0.005*ABS(Captura_NoFin!H53),"OK","REVISAR"))</f>
        <v>OK</v>
      </c>
    </row>
    <row r="54" spans="1:16" ht="15" customHeight="1" x14ac:dyDescent="0.2">
      <c r="A54" s="20" t="str">
        <f>Captura_NoFin!A54</f>
        <v>ENTEL</v>
      </c>
      <c r="B54" s="20">
        <f>Captura_NoFin!B54</f>
        <v>1</v>
      </c>
      <c r="C54" s="20" t="str">
        <f>Captura_NoFin!C54</f>
        <v>Servicios básicos e infraestructura</v>
      </c>
      <c r="D54" s="21">
        <f>Captura_NoFin!D54</f>
        <v>2024</v>
      </c>
      <c r="E54" s="22">
        <f>IF(COUNT(Captura_NoFin!M54,Captura_NoFin!L54)&lt;2,"",Captura_NoFin!M54+ABS(Captura_NoFin!L54))</f>
        <v>243153754</v>
      </c>
      <c r="F54" s="23">
        <f>IF(COUNT(Captura_NoFin!F54,Captura_NoFin!G54)&lt;2,"",IFERROR(Captura_NoFin!F54/Captura_NoFin!G54,""))</f>
        <v>0.97375973433714247</v>
      </c>
      <c r="G54" s="24">
        <f>IF(COUNT(Captura_NoFin!F54,Captura_NoFin!G54,Captura_NoFin!H54)&lt;3,"",IFERROR((Captura_NoFin!F54-Captura_NoFin!G54)/Captura_NoFin!H54,""))</f>
        <v>-6.249081213223079E-3</v>
      </c>
      <c r="H54" s="24">
        <f>IF(OR(E54="",COUNT(Captura_NoFin!K54)&lt;1),"",IFERROR(E54/Captura_NoFin!K54,""))</f>
        <v>8.9949115991738632E-2</v>
      </c>
      <c r="I54" s="24">
        <f>IF(COUNT(Captura_NoFin!N54,Captura_NoFin!H54)&lt;2,"",IFERROR(Captura_NoFin!N54/Captura_NoFin!H54,""))</f>
        <v>1.1588886131835707E-2</v>
      </c>
      <c r="J54" s="24">
        <f>IF(COUNT(Captura_NoFin!I54,Captura_NoFin!H54)&lt;2,"",IFERROR(Captura_NoFin!I54/Captura_NoFin!H54,""))</f>
        <v>0.68558071360504513</v>
      </c>
      <c r="K54" s="23">
        <f>IF(OR(E54="",COUNT(Captura_NoFin!L54)&lt;1),"",IFERROR(E54/ABS(Captura_NoFin!L54),""))</f>
        <v>2.1712774353500852</v>
      </c>
      <c r="L54" s="23">
        <f>IF(COUNT(Captura_NoFin!K54,Captura_NoFin!H54)&lt;2,"",IFERROR(Captura_NoFin!K54/Captura_NoFin!H54,""))</f>
        <v>0.46293064945818585</v>
      </c>
      <c r="M54" s="24">
        <f>IF(COUNT(Captura_NoFin!R54)&lt;1,"",IFERROR(IF(D54=2017,Captura_NoFin!R54/INDEX(Empresas!$I$2:$I$23,MATCH($A54,Empresas!$B$2:$B$23,0))-1,IF(COUNT(Captura_NoFin!R53)&lt;1,"",Captura_NoFin!R54/Captura_NoFin!R53-1)),""))</f>
        <v>-7.8512060828039854E-4</v>
      </c>
      <c r="N54" s="24">
        <f>IF(COUNT(Captura_NoFin!P54,Captura_NoFin!O54)&lt;2,"",IF(Captura_NoFin!O54&lt;=0,"",Captura_NoFin!P54/Captura_NoFin!O54))</f>
        <v>3.6858063844335667E-2</v>
      </c>
      <c r="O54" s="25">
        <f t="shared" si="1"/>
        <v>8</v>
      </c>
      <c r="P54" s="26" t="str">
        <f>IF(COUNT(Captura_NoFin!H54,Captura_NoFin!I54,Captura_NoFin!J54)&lt;3,"",IF(ABS(Captura_NoFin!H54-Captura_NoFin!I54-Captura_NoFin!J54)&lt;=0.005*ABS(Captura_NoFin!H54),"OK","REVISAR"))</f>
        <v>OK</v>
      </c>
    </row>
    <row r="55" spans="1:16" ht="15" customHeight="1" x14ac:dyDescent="0.2">
      <c r="A55" s="20" t="str">
        <f>Captura_NoFin!A55</f>
        <v>ENTEL</v>
      </c>
      <c r="B55" s="20">
        <f>Captura_NoFin!B55</f>
        <v>1</v>
      </c>
      <c r="C55" s="20" t="str">
        <f>Captura_NoFin!C55</f>
        <v>Servicios básicos e infraestructura</v>
      </c>
      <c r="D55" s="21">
        <f>Captura_NoFin!D55</f>
        <v>2025</v>
      </c>
      <c r="E55" s="22">
        <f>IF(COUNT(Captura_NoFin!M55,Captura_NoFin!L55)&lt;2,"",Captura_NoFin!M55+ABS(Captura_NoFin!L55))</f>
        <v>254515981</v>
      </c>
      <c r="F55" s="23">
        <f>IF(COUNT(Captura_NoFin!F55,Captura_NoFin!G55)&lt;2,"",IFERROR(Captura_NoFin!F55/Captura_NoFin!G55,""))</f>
        <v>1.1577891212254323</v>
      </c>
      <c r="G55" s="24">
        <f>IF(COUNT(Captura_NoFin!F55,Captura_NoFin!G55,Captura_NoFin!H55)&lt;3,"",IFERROR((Captura_NoFin!F55-Captura_NoFin!G55)/Captura_NoFin!H55,""))</f>
        <v>3.218035785879058E-2</v>
      </c>
      <c r="H55" s="24">
        <f>IF(OR(E55="",COUNT(Captura_NoFin!K55)&lt;1),"",IFERROR(E55/Captura_NoFin!K55,""))</f>
        <v>8.6132651891964535E-2</v>
      </c>
      <c r="I55" s="24">
        <f>IF(COUNT(Captura_NoFin!N55,Captura_NoFin!H55)&lt;2,"",IFERROR(Captura_NoFin!N55/Captura_NoFin!H55,""))</f>
        <v>3.3479184206862113E-2</v>
      </c>
      <c r="J55" s="24">
        <f>IF(COUNT(Captura_NoFin!I55,Captura_NoFin!H55)&lt;2,"",IFERROR(Captura_NoFin!I55/Captura_NoFin!H55,""))</f>
        <v>0.66007735363383535</v>
      </c>
      <c r="K55" s="23">
        <f>IF(OR(E55="",COUNT(Captura_NoFin!L55)&lt;1),"",IFERROR(E55/ABS(Captura_NoFin!L55),""))</f>
        <v>1.5391394583298594</v>
      </c>
      <c r="L55" s="23">
        <f>IF(COUNT(Captura_NoFin!K55,Captura_NoFin!H55)&lt;2,"",IFERROR(Captura_NoFin!K55/Captura_NoFin!H55,""))</f>
        <v>0.51687816192469183</v>
      </c>
      <c r="M55" s="24">
        <f>IF(COUNT(Captura_NoFin!R55)&lt;1,"",IFERROR(IF(D55=2017,Captura_NoFin!R55/INDEX(Empresas!$I$2:$I$23,MATCH($A55,Empresas!$B$2:$B$23,0))-1,IF(COUNT(Captura_NoFin!R54)&lt;1,"",Captura_NoFin!R55/Captura_NoFin!R54-1)),""))</f>
        <v>0.70447472863346539</v>
      </c>
      <c r="N55" s="24">
        <f>IF(COUNT(Captura_NoFin!P55,Captura_NoFin!O55)&lt;2,"",IF(Captura_NoFin!O55&lt;=0,"",Captura_NoFin!P55/Captura_NoFin!O55))</f>
        <v>9.8490596507060421E-2</v>
      </c>
      <c r="O55" s="25">
        <f t="shared" si="1"/>
        <v>8</v>
      </c>
      <c r="P55" s="26" t="str">
        <f>IF(COUNT(Captura_NoFin!H55,Captura_NoFin!I55,Captura_NoFin!J55)&lt;3,"",IF(ABS(Captura_NoFin!H55-Captura_NoFin!I55-Captura_NoFin!J55)&lt;=0.005*ABS(Captura_NoFin!H55),"OK","REVISAR"))</f>
        <v>OK</v>
      </c>
    </row>
    <row r="56" spans="1:16" ht="15" customHeight="1" x14ac:dyDescent="0.2">
      <c r="A56" s="20" t="str">
        <f>Captura_NoFin!A56</f>
        <v>CENCOSUD</v>
      </c>
      <c r="B56" s="20">
        <f>Captura_NoFin!B56</f>
        <v>2</v>
      </c>
      <c r="C56" s="20" t="str">
        <f>Captura_NoFin!C56</f>
        <v>Consumo</v>
      </c>
      <c r="D56" s="21">
        <f>Captura_NoFin!D56</f>
        <v>2017</v>
      </c>
      <c r="E56" s="22">
        <f>IF(COUNT(Captura_NoFin!M56,Captura_NoFin!L56)&lt;2,"",Captura_NoFin!M56+ABS(Captura_NoFin!L56))</f>
        <v>935593172</v>
      </c>
      <c r="F56" s="23">
        <f>IF(COUNT(Captura_NoFin!F56,Captura_NoFin!G56)&lt;2,"",IFERROR(Captura_NoFin!F56/Captura_NoFin!G56,""))</f>
        <v>0.97068890005821895</v>
      </c>
      <c r="G56" s="24">
        <f>IF(COUNT(Captura_NoFin!F56,Captura_NoFin!G56,Captura_NoFin!H56)&lt;3,"",IFERROR((Captura_NoFin!F56-Captura_NoFin!G56)/Captura_NoFin!H56,""))</f>
        <v>-7.8819721260600696E-3</v>
      </c>
      <c r="H56" s="24">
        <f>IF(OR(E56="",COUNT(Captura_NoFin!K56)&lt;1),"",IFERROR(E56/Captura_NoFin!K56,""))</f>
        <v>8.9470624145277358E-2</v>
      </c>
      <c r="I56" s="24">
        <f>IF(COUNT(Captura_NoFin!N56,Captura_NoFin!H56)&lt;2,"",IFERROR(Captura_NoFin!N56/Captura_NoFin!H56,""))</f>
        <v>4.3905101850023109E-2</v>
      </c>
      <c r="J56" s="24">
        <f>IF(COUNT(Captura_NoFin!I56,Captura_NoFin!H56)&lt;2,"",IFERROR(Captura_NoFin!I56/Captura_NoFin!H56,""))</f>
        <v>0.60008609921659251</v>
      </c>
      <c r="K56" s="23">
        <f>IF(OR(E56="",COUNT(Captura_NoFin!L56)&lt;1),"",IFERROR(E56/ABS(Captura_NoFin!L56),""))</f>
        <v>3.1483094082673948</v>
      </c>
      <c r="L56" s="23">
        <f>IF(COUNT(Captura_NoFin!K56,Captura_NoFin!H56)&lt;2,"",IFERROR(Captura_NoFin!K56/Captura_NoFin!H56,""))</f>
        <v>1.0431210202272094</v>
      </c>
      <c r="M56" s="24">
        <f>IF(COUNT(Captura_NoFin!R56)&lt;1,"",IFERROR(IF(D56=2017,Captura_NoFin!R56/INDEX(Empresas!$I$2:$I$23,MATCH($A56,Empresas!$B$2:$B$23,0))-1,IF(COUNT(Captura_NoFin!R55)&lt;1,"",Captura_NoFin!R56/Captura_NoFin!R55-1)),""))</f>
        <v>8.404979963389847E-3</v>
      </c>
      <c r="N56" s="24">
        <f>IF(COUNT(Captura_NoFin!P56,Captura_NoFin!O56)&lt;2,"",IF(Captura_NoFin!O56&lt;=0,"",Captura_NoFin!P56/Captura_NoFin!O56))</f>
        <v>0.10971874662071622</v>
      </c>
      <c r="O56" s="25">
        <f t="shared" si="1"/>
        <v>8</v>
      </c>
      <c r="P56" s="26" t="str">
        <f>IF(COUNT(Captura_NoFin!H56,Captura_NoFin!I56,Captura_NoFin!J56)&lt;3,"",IF(ABS(Captura_NoFin!H56-Captura_NoFin!I56-Captura_NoFin!J56)&lt;=0.005*ABS(Captura_NoFin!H56),"OK","REVISAR"))</f>
        <v>OK</v>
      </c>
    </row>
    <row r="57" spans="1:16" ht="15" customHeight="1" x14ac:dyDescent="0.2">
      <c r="A57" s="20" t="str">
        <f>Captura_NoFin!A57</f>
        <v>CENCOSUD</v>
      </c>
      <c r="B57" s="20">
        <f>Captura_NoFin!B57</f>
        <v>2</v>
      </c>
      <c r="C57" s="20" t="str">
        <f>Captura_NoFin!C57</f>
        <v>Consumo</v>
      </c>
      <c r="D57" s="21">
        <f>Captura_NoFin!D57</f>
        <v>2018</v>
      </c>
      <c r="E57" s="22">
        <f>IF(COUNT(Captura_NoFin!M57,Captura_NoFin!L57)&lt;2,"",Captura_NoFin!M57+ABS(Captura_NoFin!L57))</f>
        <v>515358071</v>
      </c>
      <c r="F57" s="23">
        <f>IF(COUNT(Captura_NoFin!F57,Captura_NoFin!G57)&lt;2,"",IFERROR(Captura_NoFin!F57/Captura_NoFin!G57,""))</f>
        <v>1.0101873401274151</v>
      </c>
      <c r="G57" s="24">
        <f>IF(COUNT(Captura_NoFin!F57,Captura_NoFin!G57,Captura_NoFin!H57)&lt;3,"",IFERROR((Captura_NoFin!F57-Captura_NoFin!G57)/Captura_NoFin!H57,""))</f>
        <v>2.512544303270301E-3</v>
      </c>
      <c r="H57" s="24">
        <f>IF(OR(E57="",COUNT(Captura_NoFin!K57)&lt;1),"",IFERROR(E57/Captura_NoFin!K57,""))</f>
        <v>5.3427117734068559E-2</v>
      </c>
      <c r="I57" s="24">
        <f>IF(COUNT(Captura_NoFin!N57,Captura_NoFin!H57)&lt;2,"",IFERROR(Captura_NoFin!N57/Captura_NoFin!H57,""))</f>
        <v>1.7921943985241266E-2</v>
      </c>
      <c r="J57" s="24">
        <f>IF(COUNT(Captura_NoFin!I57,Captura_NoFin!H57)&lt;2,"",IFERROR(Captura_NoFin!I57/Captura_NoFin!H57,""))</f>
        <v>0.60092504866789198</v>
      </c>
      <c r="K57" s="23">
        <f>IF(OR(E57="",COUNT(Captura_NoFin!L57)&lt;1),"",IFERROR(E57/ABS(Captura_NoFin!L57),""))</f>
        <v>2.1744024592172071</v>
      </c>
      <c r="L57" s="23">
        <f>IF(COUNT(Captura_NoFin!K57,Captura_NoFin!H57)&lt;2,"",IFERROR(Captura_NoFin!K57/Captura_NoFin!H57,""))</f>
        <v>0.90703102058551988</v>
      </c>
      <c r="M57" s="24">
        <f>IF(COUNT(Captura_NoFin!R57)&lt;1,"",IFERROR(IF(D57=2017,Captura_NoFin!R57/INDEX(Empresas!$I$2:$I$23,MATCH($A57,Empresas!$B$2:$B$23,0))-1,IF(COUNT(Captura_NoFin!R56)&lt;1,"",Captura_NoFin!R57/Captura_NoFin!R56-1)),""))</f>
        <v>-0.28863971704456726</v>
      </c>
      <c r="N57" s="24">
        <f>IF(COUNT(Captura_NoFin!P57,Captura_NoFin!O57)&lt;2,"",IF(Captura_NoFin!O57&lt;=0,"",Captura_NoFin!P57/Captura_NoFin!O57))</f>
        <v>4.5055946546787552E-2</v>
      </c>
      <c r="O57" s="25">
        <f t="shared" si="1"/>
        <v>8</v>
      </c>
      <c r="P57" s="26" t="str">
        <f>IF(COUNT(Captura_NoFin!H57,Captura_NoFin!I57,Captura_NoFin!J57)&lt;3,"",IF(ABS(Captura_NoFin!H57-Captura_NoFin!I57-Captura_NoFin!J57)&lt;=0.005*ABS(Captura_NoFin!H57),"OK","REVISAR"))</f>
        <v>OK</v>
      </c>
    </row>
    <row r="58" spans="1:16" ht="15" customHeight="1" x14ac:dyDescent="0.2">
      <c r="A58" s="20" t="str">
        <f>Captura_NoFin!A58</f>
        <v>CENCOSUD</v>
      </c>
      <c r="B58" s="20">
        <f>Captura_NoFin!B58</f>
        <v>2</v>
      </c>
      <c r="C58" s="20" t="str">
        <f>Captura_NoFin!C58</f>
        <v>Consumo</v>
      </c>
      <c r="D58" s="21">
        <f>Captura_NoFin!D58</f>
        <v>2019</v>
      </c>
      <c r="E58" s="22">
        <f>IF(COUNT(Captura_NoFin!M58,Captura_NoFin!L58)&lt;2,"",Captura_NoFin!M58+ABS(Captura_NoFin!L58))</f>
        <v>611560661</v>
      </c>
      <c r="F58" s="23">
        <f>IF(COUNT(Captura_NoFin!F58,Captura_NoFin!G58)&lt;2,"",IFERROR(Captura_NoFin!F58/Captura_NoFin!G58,""))</f>
        <v>1.2658958543007015</v>
      </c>
      <c r="G58" s="24">
        <f>IF(COUNT(Captura_NoFin!F58,Captura_NoFin!G58,Captura_NoFin!H58)&lt;3,"",IFERROR((Captura_NoFin!F58-Captura_NoFin!G58)/Captura_NoFin!H58,""))</f>
        <v>5.5079511675875201E-2</v>
      </c>
      <c r="H58" s="24">
        <f>IF(OR(E58="",COUNT(Captura_NoFin!K58)&lt;1),"",IFERROR(E58/Captura_NoFin!K58,""))</f>
        <v>6.4049747507027244E-2</v>
      </c>
      <c r="I58" s="24">
        <f>IF(COUNT(Captura_NoFin!N58,Captura_NoFin!H58)&lt;2,"",IFERROR(Captura_NoFin!N58/Captura_NoFin!H58,""))</f>
        <v>1.2623554462674517E-2</v>
      </c>
      <c r="J58" s="24">
        <f>IF(COUNT(Captura_NoFin!I58,Captura_NoFin!H58)&lt;2,"",IFERROR(Captura_NoFin!I58/Captura_NoFin!H58,""))</f>
        <v>0.59260318970860537</v>
      </c>
      <c r="K58" s="23">
        <f>IF(OR(E58="",COUNT(Captura_NoFin!L58)&lt;1),"",IFERROR(E58/ABS(Captura_NoFin!L58),""))</f>
        <v>2.1679179955028478</v>
      </c>
      <c r="L58" s="23">
        <f>IF(COUNT(Captura_NoFin!K58,Captura_NoFin!H58)&lt;2,"",IFERROR(Captura_NoFin!K58/Captura_NoFin!H58,""))</f>
        <v>0.7795536708430244</v>
      </c>
      <c r="M58" s="24">
        <f>IF(COUNT(Captura_NoFin!R58)&lt;1,"",IFERROR(IF(D58=2017,Captura_NoFin!R58/INDEX(Empresas!$I$2:$I$23,MATCH($A58,Empresas!$B$2:$B$23,0))-1,IF(COUNT(Captura_NoFin!R57)&lt;1,"",Captura_NoFin!R58/Captura_NoFin!R57-1)),""))</f>
        <v>-0.20575086154297684</v>
      </c>
      <c r="N58" s="24">
        <f>IF(COUNT(Captura_NoFin!P58,Captura_NoFin!O58)&lt;2,"",IF(Captura_NoFin!O58&lt;=0,"",Captura_NoFin!P58/Captura_NoFin!O58))</f>
        <v>2.5685682998569322E-2</v>
      </c>
      <c r="O58" s="25">
        <f t="shared" si="1"/>
        <v>8</v>
      </c>
      <c r="P58" s="26" t="str">
        <f>IF(COUNT(Captura_NoFin!H58,Captura_NoFin!I58,Captura_NoFin!J58)&lt;3,"",IF(ABS(Captura_NoFin!H58-Captura_NoFin!I58-Captura_NoFin!J58)&lt;=0.005*ABS(Captura_NoFin!H58),"OK","REVISAR"))</f>
        <v>OK</v>
      </c>
    </row>
    <row r="59" spans="1:16" ht="15" customHeight="1" x14ac:dyDescent="0.2">
      <c r="A59" s="20" t="str">
        <f>Captura_NoFin!A59</f>
        <v>CENCOSUD</v>
      </c>
      <c r="B59" s="20">
        <f>Captura_NoFin!B59</f>
        <v>2</v>
      </c>
      <c r="C59" s="20" t="str">
        <f>Captura_NoFin!C59</f>
        <v>Consumo</v>
      </c>
      <c r="D59" s="21">
        <f>Captura_NoFin!D59</f>
        <v>2020</v>
      </c>
      <c r="E59" s="22">
        <f>IF(COUNT(Captura_NoFin!M59,Captura_NoFin!L59)&lt;2,"",Captura_NoFin!M59+ABS(Captura_NoFin!L59))</f>
        <v>467499544</v>
      </c>
      <c r="F59" s="23">
        <f>IF(COUNT(Captura_NoFin!F59,Captura_NoFin!G59)&lt;2,"",IFERROR(Captura_NoFin!F59/Captura_NoFin!G59,""))</f>
        <v>1.0901000365472984</v>
      </c>
      <c r="G59" s="24">
        <f>IF(COUNT(Captura_NoFin!F59,Captura_NoFin!G59,Captura_NoFin!H59)&lt;3,"",IFERROR((Captura_NoFin!F59-Captura_NoFin!G59)/Captura_NoFin!H59,""))</f>
        <v>2.0965052297543994E-2</v>
      </c>
      <c r="H59" s="24">
        <f>IF(OR(E59="",COUNT(Captura_NoFin!K59)&lt;1),"",IFERROR(E59/Captura_NoFin!K59,""))</f>
        <v>4.7528869910875821E-2</v>
      </c>
      <c r="I59" s="24">
        <f>IF(COUNT(Captura_NoFin!N59,Captura_NoFin!H59)&lt;2,"",IFERROR(Captura_NoFin!N59/Captura_NoFin!H59,""))</f>
        <v>5.9917195465822668E-3</v>
      </c>
      <c r="J59" s="24">
        <f>IF(COUNT(Captura_NoFin!I59,Captura_NoFin!H59)&lt;2,"",IFERROR(Captura_NoFin!I59/Captura_NoFin!H59,""))</f>
        <v>0.58335938208839566</v>
      </c>
      <c r="K59" s="23">
        <f>IF(OR(E59="",COUNT(Captura_NoFin!L59)&lt;1),"",IFERROR(E59/ABS(Captura_NoFin!L59),""))</f>
        <v>1.7645401248776267</v>
      </c>
      <c r="L59" s="23">
        <f>IF(COUNT(Captura_NoFin!K59,Captura_NoFin!H59)&lt;2,"",IFERROR(Captura_NoFin!K59/Captura_NoFin!H59,""))</f>
        <v>0.90696586523944722</v>
      </c>
      <c r="M59" s="24">
        <f>IF(COUNT(Captura_NoFin!R59)&lt;1,"",IFERROR(IF(D59=2017,Captura_NoFin!R59/INDEX(Empresas!$I$2:$I$23,MATCH($A59,Empresas!$B$2:$B$23,0))-1,IF(COUNT(Captura_NoFin!R58)&lt;1,"",Captura_NoFin!R59/Captura_NoFin!R58-1)),""))</f>
        <v>0.31786895666332948</v>
      </c>
      <c r="N59" s="24">
        <f>IF(COUNT(Captura_NoFin!P59,Captura_NoFin!O59)&lt;2,"",IF(Captura_NoFin!O59&lt;=0,"",Captura_NoFin!P59/Captura_NoFin!O59))</f>
        <v>5.7944575257690189E-3</v>
      </c>
      <c r="O59" s="25">
        <f t="shared" si="1"/>
        <v>8</v>
      </c>
      <c r="P59" s="26" t="str">
        <f>IF(COUNT(Captura_NoFin!H59,Captura_NoFin!I59,Captura_NoFin!J59)&lt;3,"",IF(ABS(Captura_NoFin!H59-Captura_NoFin!I59-Captura_NoFin!J59)&lt;=0.005*ABS(Captura_NoFin!H59),"OK","REVISAR"))</f>
        <v>OK</v>
      </c>
    </row>
    <row r="60" spans="1:16" ht="15" customHeight="1" x14ac:dyDescent="0.2">
      <c r="A60" s="20" t="str">
        <f>Captura_NoFin!A60</f>
        <v>CENCOSUD</v>
      </c>
      <c r="B60" s="20">
        <f>Captura_NoFin!B60</f>
        <v>2</v>
      </c>
      <c r="C60" s="20" t="str">
        <f>Captura_NoFin!C60</f>
        <v>Consumo</v>
      </c>
      <c r="D60" s="21">
        <f>Captura_NoFin!D60</f>
        <v>2021</v>
      </c>
      <c r="E60" s="22">
        <f>IF(COUNT(Captura_NoFin!M60,Captura_NoFin!L60)&lt;2,"",Captura_NoFin!M60+ABS(Captura_NoFin!L60))</f>
        <v>899341817</v>
      </c>
      <c r="F60" s="23">
        <f>IF(COUNT(Captura_NoFin!F60,Captura_NoFin!G60)&lt;2,"",IFERROR(Captura_NoFin!F60/Captura_NoFin!G60,""))</f>
        <v>1.0628198134871207</v>
      </c>
      <c r="G60" s="24">
        <f>IF(COUNT(Captura_NoFin!F60,Captura_NoFin!G60,Captura_NoFin!H60)&lt;3,"",IFERROR((Captura_NoFin!F60-Captura_NoFin!G60)/Captura_NoFin!H60,""))</f>
        <v>1.6618999428796827E-2</v>
      </c>
      <c r="H60" s="24">
        <f>IF(OR(E60="",COUNT(Captura_NoFin!K60)&lt;1),"",IFERROR(E60/Captura_NoFin!K60,""))</f>
        <v>7.6474179943176748E-2</v>
      </c>
      <c r="I60" s="24">
        <f>IF(COUNT(Captura_NoFin!N60,Captura_NoFin!H60)&lt;2,"",IFERROR(Captura_NoFin!N60/Captura_NoFin!H60,""))</f>
        <v>4.1428728617469039E-2</v>
      </c>
      <c r="J60" s="24">
        <f>IF(COUNT(Captura_NoFin!I60,Captura_NoFin!H60)&lt;2,"",IFERROR(Captura_NoFin!I60/Captura_NoFin!H60,""))</f>
        <v>0.60387778817640181</v>
      </c>
      <c r="K60" s="23">
        <f>IF(OR(E60="",COUNT(Captura_NoFin!L60)&lt;1),"",IFERROR(E60/ABS(Captura_NoFin!L60),""))</f>
        <v>6.2666446184125695</v>
      </c>
      <c r="L60" s="23">
        <f>IF(COUNT(Captura_NoFin!K60,Captura_NoFin!H60)&lt;2,"",IFERROR(Captura_NoFin!K60/Captura_NoFin!H60,""))</f>
        <v>0.98398226555902368</v>
      </c>
      <c r="M60" s="24">
        <f>IF(COUNT(Captura_NoFin!R60)&lt;1,"",IFERROR(IF(D60=2017,Captura_NoFin!R60/INDEX(Empresas!$I$2:$I$23,MATCH($A60,Empresas!$B$2:$B$23,0))-1,IF(COUNT(Captura_NoFin!R59)&lt;1,"",Captura_NoFin!R60/Captura_NoFin!R59-1)),""))</f>
        <v>0.34847373038167184</v>
      </c>
      <c r="N60" s="24">
        <f>IF(COUNT(Captura_NoFin!P60,Captura_NoFin!O60)&lt;2,"",IF(Captura_NoFin!O60&lt;=0,"",Captura_NoFin!P60/Captura_NoFin!O60))</f>
        <v>0.11299280635964533</v>
      </c>
      <c r="O60" s="25">
        <f t="shared" si="1"/>
        <v>8</v>
      </c>
      <c r="P60" s="26" t="str">
        <f>IF(COUNT(Captura_NoFin!H60,Captura_NoFin!I60,Captura_NoFin!J60)&lt;3,"",IF(ABS(Captura_NoFin!H60-Captura_NoFin!I60-Captura_NoFin!J60)&lt;=0.005*ABS(Captura_NoFin!H60),"OK","REVISAR"))</f>
        <v>OK</v>
      </c>
    </row>
    <row r="61" spans="1:16" ht="15" customHeight="1" x14ac:dyDescent="0.2">
      <c r="A61" s="20" t="str">
        <f>Captura_NoFin!A61</f>
        <v>CENCOSUD</v>
      </c>
      <c r="B61" s="20">
        <f>Captura_NoFin!B61</f>
        <v>2</v>
      </c>
      <c r="C61" s="20" t="str">
        <f>Captura_NoFin!C61</f>
        <v>Consumo</v>
      </c>
      <c r="D61" s="21">
        <f>Captura_NoFin!D61</f>
        <v>2022</v>
      </c>
      <c r="E61" s="22">
        <f>IF(COUNT(Captura_NoFin!M61,Captura_NoFin!L61)&lt;2,"",Captura_NoFin!M61+ABS(Captura_NoFin!L61))</f>
        <v>875804563</v>
      </c>
      <c r="F61" s="23">
        <f>IF(COUNT(Captura_NoFin!F61,Captura_NoFin!G61)&lt;2,"",IFERROR(Captura_NoFin!F61/Captura_NoFin!G61,""))</f>
        <v>0.82809525121344052</v>
      </c>
      <c r="G61" s="24">
        <f>IF(COUNT(Captura_NoFin!F61,Captura_NoFin!G61,Captura_NoFin!H61)&lt;3,"",IFERROR((Captura_NoFin!F61-Captura_NoFin!G61)/Captura_NoFin!H61,""))</f>
        <v>-4.8366900354468612E-2</v>
      </c>
      <c r="H61" s="24">
        <f>IF(OR(E61="",COUNT(Captura_NoFin!K61)&lt;1),"",IFERROR(E61/Captura_NoFin!K61,""))</f>
        <v>6.1667268504174776E-2</v>
      </c>
      <c r="I61" s="24">
        <f>IF(COUNT(Captura_NoFin!N61,Captura_NoFin!H61)&lt;2,"",IFERROR(Captura_NoFin!N61/Captura_NoFin!H61,""))</f>
        <v>3.0340486375103944E-2</v>
      </c>
      <c r="J61" s="24">
        <f>IF(COUNT(Captura_NoFin!I61,Captura_NoFin!H61)&lt;2,"",IFERROR(Captura_NoFin!I61/Captura_NoFin!H61,""))</f>
        <v>0.681697615588582</v>
      </c>
      <c r="K61" s="23">
        <f>IF(OR(E61="",COUNT(Captura_NoFin!L61)&lt;1),"",IFERROR(E61/ABS(Captura_NoFin!L61),""))</f>
        <v>3.7448167204827691</v>
      </c>
      <c r="L61" s="23">
        <f>IF(COUNT(Captura_NoFin!K61,Captura_NoFin!H61)&lt;2,"",IFERROR(Captura_NoFin!K61/Captura_NoFin!H61,""))</f>
        <v>1.0646090593471833</v>
      </c>
      <c r="M61" s="24">
        <f>IF(COUNT(Captura_NoFin!R61)&lt;1,"",IFERROR(IF(D61=2017,Captura_NoFin!R61/INDEX(Empresas!$I$2:$I$23,MATCH($A61,Empresas!$B$2:$B$23,0))-1,IF(COUNT(Captura_NoFin!R60)&lt;1,"",Captura_NoFin!R61/Captura_NoFin!R60-1)),""))</f>
        <v>7.0769068683352643E-2</v>
      </c>
      <c r="N61" s="24">
        <f>IF(COUNT(Captura_NoFin!P61,Captura_NoFin!O61)&lt;2,"",IF(Captura_NoFin!O61&lt;=0,"",Captura_NoFin!P61/Captura_NoFin!O61))</f>
        <v>9.2330879479334507E-2</v>
      </c>
      <c r="O61" s="25">
        <f t="shared" si="1"/>
        <v>8</v>
      </c>
      <c r="P61" s="26" t="str">
        <f>IF(COUNT(Captura_NoFin!H61,Captura_NoFin!I61,Captura_NoFin!J61)&lt;3,"",IF(ABS(Captura_NoFin!H61-Captura_NoFin!I61-Captura_NoFin!J61)&lt;=0.005*ABS(Captura_NoFin!H61),"OK","REVISAR"))</f>
        <v>OK</v>
      </c>
    </row>
    <row r="62" spans="1:16" ht="15" customHeight="1" x14ac:dyDescent="0.2">
      <c r="A62" s="20" t="str">
        <f>Captura_NoFin!A62</f>
        <v>CENCOSUD</v>
      </c>
      <c r="B62" s="20">
        <f>Captura_NoFin!B62</f>
        <v>2</v>
      </c>
      <c r="C62" s="20" t="str">
        <f>Captura_NoFin!C62</f>
        <v>Consumo</v>
      </c>
      <c r="D62" s="21">
        <f>Captura_NoFin!D62</f>
        <v>2023</v>
      </c>
      <c r="E62" s="22">
        <f>IF(COUNT(Captura_NoFin!M62,Captura_NoFin!L62)&lt;2,"",Captura_NoFin!M62+ABS(Captura_NoFin!L62))</f>
        <v>825275556</v>
      </c>
      <c r="F62" s="23">
        <f>IF(COUNT(Captura_NoFin!F62,Captura_NoFin!G62)&lt;2,"",IFERROR(Captura_NoFin!F62/Captura_NoFin!G62,""))</f>
        <v>0.78345178058614884</v>
      </c>
      <c r="G62" s="24">
        <f>IF(COUNT(Captura_NoFin!F62,Captura_NoFin!G62,Captura_NoFin!H62)&lt;3,"",IFERROR((Captura_NoFin!F62-Captura_NoFin!G62)/Captura_NoFin!H62,""))</f>
        <v>-6.0608837814758079E-2</v>
      </c>
      <c r="H62" s="24">
        <f>IF(OR(E62="",COUNT(Captura_NoFin!K62)&lt;1),"",IFERROR(E62/Captura_NoFin!K62,""))</f>
        <v>5.7992856697032448E-2</v>
      </c>
      <c r="I62" s="24">
        <f>IF(COUNT(Captura_NoFin!N62,Captura_NoFin!H62)&lt;2,"",IFERROR(Captura_NoFin!N62/Captura_NoFin!H62,""))</f>
        <v>2.152876675029388E-2</v>
      </c>
      <c r="J62" s="24">
        <f>IF(COUNT(Captura_NoFin!I62,Captura_NoFin!H62)&lt;2,"",IFERROR(Captura_NoFin!I62/Captura_NoFin!H62,""))</f>
        <v>0.6848457123362347</v>
      </c>
      <c r="K62" s="23">
        <f>IF(OR(E62="",COUNT(Captura_NoFin!L62)&lt;1),"",IFERROR(E62/ABS(Captura_NoFin!L62),""))</f>
        <v>2.6460410512099775</v>
      </c>
      <c r="L62" s="23">
        <f>IF(COUNT(Captura_NoFin!K62,Captura_NoFin!H62)&lt;2,"",IFERROR(Captura_NoFin!K62/Captura_NoFin!H62,""))</f>
        <v>1.0484427233007851</v>
      </c>
      <c r="M62" s="24">
        <f>IF(COUNT(Captura_NoFin!R62)&lt;1,"",IFERROR(IF(D62=2017,Captura_NoFin!R62/INDEX(Empresas!$I$2:$I$23,MATCH($A62,Empresas!$B$2:$B$23,0))-1,IF(COUNT(Captura_NoFin!R61)&lt;1,"",Captura_NoFin!R62/Captura_NoFin!R61-1)),""))</f>
        <v>0.26598707827597612</v>
      </c>
      <c r="N62" s="24">
        <f>IF(COUNT(Captura_NoFin!P62,Captura_NoFin!O62)&lt;2,"",IF(Captura_NoFin!O62&lt;=0,"",Captura_NoFin!P62/Captura_NoFin!O62))</f>
        <v>6.0011728829455789E-2</v>
      </c>
      <c r="O62" s="25">
        <f t="shared" si="1"/>
        <v>8</v>
      </c>
      <c r="P62" s="26" t="str">
        <f>IF(COUNT(Captura_NoFin!H62,Captura_NoFin!I62,Captura_NoFin!J62)&lt;3,"",IF(ABS(Captura_NoFin!H62-Captura_NoFin!I62-Captura_NoFin!J62)&lt;=0.005*ABS(Captura_NoFin!H62),"OK","REVISAR"))</f>
        <v>OK</v>
      </c>
    </row>
    <row r="63" spans="1:16" ht="15" customHeight="1" x14ac:dyDescent="0.2">
      <c r="A63" s="20" t="str">
        <f>Captura_NoFin!A63</f>
        <v>CENCOSUD</v>
      </c>
      <c r="B63" s="20">
        <f>Captura_NoFin!B63</f>
        <v>2</v>
      </c>
      <c r="C63" s="20" t="str">
        <f>Captura_NoFin!C63</f>
        <v>Consumo</v>
      </c>
      <c r="D63" s="21">
        <f>Captura_NoFin!D63</f>
        <v>2024</v>
      </c>
      <c r="E63" s="22">
        <f>IF(COUNT(Captura_NoFin!M63,Captura_NoFin!L63)&lt;2,"",Captura_NoFin!M63+ABS(Captura_NoFin!L63))</f>
        <v>895432037</v>
      </c>
      <c r="F63" s="23">
        <f>IF(COUNT(Captura_NoFin!F63,Captura_NoFin!G63)&lt;2,"",IFERROR(Captura_NoFin!F63/Captura_NoFin!G63,""))</f>
        <v>0.91758319031150459</v>
      </c>
      <c r="G63" s="24">
        <f>IF(COUNT(Captura_NoFin!F63,Captura_NoFin!G63,Captura_NoFin!H63)&lt;3,"",IFERROR((Captura_NoFin!F63-Captura_NoFin!G63)/Captura_NoFin!H63,""))</f>
        <v>-2.2853078519470792E-2</v>
      </c>
      <c r="H63" s="24">
        <f>IF(OR(E63="",COUNT(Captura_NoFin!K63)&lt;1),"",IFERROR(E63/Captura_NoFin!K63,""))</f>
        <v>5.4288958344683093E-2</v>
      </c>
      <c r="I63" s="24">
        <f>IF(COUNT(Captura_NoFin!N63,Captura_NoFin!H63)&lt;2,"",IFERROR(Captura_NoFin!N63/Captura_NoFin!H63,""))</f>
        <v>1.5251406028138636E-2</v>
      </c>
      <c r="J63" s="24">
        <f>IF(COUNT(Captura_NoFin!I63,Captura_NoFin!H63)&lt;2,"",IFERROR(Captura_NoFin!I63/Captura_NoFin!H63,""))</f>
        <v>0.65335660057091272</v>
      </c>
      <c r="K63" s="23">
        <f>IF(OR(E63="",COUNT(Captura_NoFin!L63)&lt;1),"",IFERROR(E63/ABS(Captura_NoFin!L63),""))</f>
        <v>2.1630871974645545</v>
      </c>
      <c r="L63" s="23">
        <f>IF(COUNT(Captura_NoFin!K63,Captura_NoFin!H63)&lt;2,"",IFERROR(Captura_NoFin!K63/Captura_NoFin!H63,""))</f>
        <v>1.076473895267924</v>
      </c>
      <c r="M63" s="24">
        <f>IF(COUNT(Captura_NoFin!R63)&lt;1,"",IFERROR(IF(D63=2017,Captura_NoFin!R63/INDEX(Empresas!$I$2:$I$23,MATCH($A63,Empresas!$B$2:$B$23,0))-1,IF(COUNT(Captura_NoFin!R62)&lt;1,"",Captura_NoFin!R63/Captura_NoFin!R62-1)),""))</f>
        <v>0.34597808262346685</v>
      </c>
      <c r="N63" s="24">
        <f>IF(COUNT(Captura_NoFin!P63,Captura_NoFin!O63)&lt;2,"",IF(Captura_NoFin!O63&lt;=0,"",Captura_NoFin!P63/Captura_NoFin!O63))</f>
        <v>3.3967280062640076E-2</v>
      </c>
      <c r="O63" s="25">
        <f t="shared" si="1"/>
        <v>8</v>
      </c>
      <c r="P63" s="26" t="str">
        <f>IF(COUNT(Captura_NoFin!H63,Captura_NoFin!I63,Captura_NoFin!J63)&lt;3,"",IF(ABS(Captura_NoFin!H63-Captura_NoFin!I63-Captura_NoFin!J63)&lt;=0.005*ABS(Captura_NoFin!H63),"OK","REVISAR"))</f>
        <v>OK</v>
      </c>
    </row>
    <row r="64" spans="1:16" ht="15" customHeight="1" x14ac:dyDescent="0.2">
      <c r="A64" s="20" t="str">
        <f>Captura_NoFin!A64</f>
        <v>CENCOSUD</v>
      </c>
      <c r="B64" s="20">
        <f>Captura_NoFin!B64</f>
        <v>2</v>
      </c>
      <c r="C64" s="20" t="str">
        <f>Captura_NoFin!C64</f>
        <v>Consumo</v>
      </c>
      <c r="D64" s="21">
        <f>Captura_NoFin!D64</f>
        <v>2025</v>
      </c>
      <c r="E64" s="22">
        <f>IF(COUNT(Captura_NoFin!M64,Captura_NoFin!L64)&lt;2,"",Captura_NoFin!M64+ABS(Captura_NoFin!L64))</f>
        <v>1061436642</v>
      </c>
      <c r="F64" s="23">
        <f>IF(COUNT(Captura_NoFin!F64,Captura_NoFin!G64)&lt;2,"",IFERROR(Captura_NoFin!F64/Captura_NoFin!G64,""))</f>
        <v>0.9183256036755445</v>
      </c>
      <c r="G64" s="24">
        <f>IF(COUNT(Captura_NoFin!F64,Captura_NoFin!G64,Captura_NoFin!H64)&lt;3,"",IFERROR((Captura_NoFin!F64-Captura_NoFin!G64)/Captura_NoFin!H64,""))</f>
        <v>-2.0732864777729954E-2</v>
      </c>
      <c r="H64" s="24">
        <f>IF(OR(E64="",COUNT(Captura_NoFin!K64)&lt;1),"",IFERROR(E64/Captura_NoFin!K64,""))</f>
        <v>6.3963099639535115E-2</v>
      </c>
      <c r="I64" s="24">
        <f>IF(COUNT(Captura_NoFin!N64,Captura_NoFin!H64)&lt;2,"",IFERROR(Captura_NoFin!N64/Captura_NoFin!H64,""))</f>
        <v>2.6784264652658686E-2</v>
      </c>
      <c r="J64" s="24">
        <f>IF(COUNT(Captura_NoFin!I64,Captura_NoFin!H64)&lt;2,"",IFERROR(Captura_NoFin!I64/Captura_NoFin!H64,""))</f>
        <v>0.64517475857421336</v>
      </c>
      <c r="K64" s="23">
        <f>IF(OR(E64="",COUNT(Captura_NoFin!L64)&lt;1),"",IFERROR(E64/ABS(Captura_NoFin!L64),""))</f>
        <v>2.7017676479700872</v>
      </c>
      <c r="L64" s="23">
        <f>IF(COUNT(Captura_NoFin!K64,Captura_NoFin!H64)&lt;2,"",IFERROR(Captura_NoFin!K64/Captura_NoFin!H64,""))</f>
        <v>1.1164300752071596</v>
      </c>
      <c r="M64" s="24">
        <f>IF(COUNT(Captura_NoFin!R64)&lt;1,"",IFERROR(IF(D64=2017,Captura_NoFin!R64/INDEX(Empresas!$I$2:$I$23,MATCH($A64,Empresas!$B$2:$B$23,0))-1,IF(COUNT(Captura_NoFin!R63)&lt;1,"",Captura_NoFin!R64/Captura_NoFin!R63-1)),""))</f>
        <v>0.32212602860846817</v>
      </c>
      <c r="N64" s="24">
        <f>IF(COUNT(Captura_NoFin!P64,Captura_NoFin!O64)&lt;2,"",IF(Captura_NoFin!O64&lt;=0,"",Captura_NoFin!P64/Captura_NoFin!O64))</f>
        <v>6.8106598507726379E-2</v>
      </c>
      <c r="O64" s="25">
        <f t="shared" si="1"/>
        <v>8</v>
      </c>
      <c r="P64" s="26" t="str">
        <f>IF(COUNT(Captura_NoFin!H64,Captura_NoFin!I64,Captura_NoFin!J64)&lt;3,"",IF(ABS(Captura_NoFin!H64-Captura_NoFin!I64-Captura_NoFin!J64)&lt;=0.005*ABS(Captura_NoFin!H64),"OK","REVISAR"))</f>
        <v>OK</v>
      </c>
    </row>
    <row r="65" spans="1:16" ht="15" customHeight="1" x14ac:dyDescent="0.2">
      <c r="A65" s="20" t="str">
        <f>Captura_NoFin!A65</f>
        <v>FALABELLA</v>
      </c>
      <c r="B65" s="20">
        <f>Captura_NoFin!B65</f>
        <v>2</v>
      </c>
      <c r="C65" s="20" t="str">
        <f>Captura_NoFin!C65</f>
        <v>Consumo</v>
      </c>
      <c r="D65" s="21">
        <f>Captura_NoFin!D65</f>
        <v>2017</v>
      </c>
      <c r="E65" s="22">
        <f>IF(COUNT(Captura_NoFin!M65,Captura_NoFin!L65)&lt;2,"",Captura_NoFin!M65+ABS(Captura_NoFin!L65))</f>
        <v>835702892</v>
      </c>
      <c r="F65" s="23">
        <f>IF(COUNT(Captura_NoFin!F65,Captura_NoFin!G65)&lt;2,"",IFERROR(Captura_NoFin!F65/Captura_NoFin!G65,""))</f>
        <v>1.6036773780048121</v>
      </c>
      <c r="G65" s="24">
        <f>IF(COUNT(Captura_NoFin!F65,Captura_NoFin!G65,Captura_NoFin!H65)&lt;3,"",IFERROR((Captura_NoFin!F65-Captura_NoFin!G65)/Captura_NoFin!H65,""))</f>
        <v>9.5989077342139018E-2</v>
      </c>
      <c r="H65" s="24">
        <f>IF(OR(E65="",COUNT(Captura_NoFin!K65)&lt;1),"",IFERROR(E65/Captura_NoFin!K65,""))</f>
        <v>0.10179269271582721</v>
      </c>
      <c r="I65" s="24">
        <f>IF(COUNT(Captura_NoFin!N65,Captura_NoFin!H65)&lt;2,"",IFERROR(Captura_NoFin!N65/Captura_NoFin!H65,""))</f>
        <v>3.8973534113604942E-2</v>
      </c>
      <c r="J65" s="24">
        <f>IF(COUNT(Captura_NoFin!I65,Captura_NoFin!H65)&lt;2,"",IFERROR(Captura_NoFin!I65/Captura_NoFin!H65,""))</f>
        <v>0.63087636695912486</v>
      </c>
      <c r="K65" s="23">
        <f>IF(OR(E65="",COUNT(Captura_NoFin!L65)&lt;1),"",IFERROR(E65/ABS(Captura_NoFin!L65),""))</f>
        <v>4.2774917479167618</v>
      </c>
      <c r="L65" s="23">
        <f>IF(COUNT(Captura_NoFin!K65,Captura_NoFin!H65)&lt;2,"",IFERROR(Captura_NoFin!K65/Captura_NoFin!H65,""))</f>
        <v>0.5724897600117419</v>
      </c>
      <c r="M65" s="24">
        <f>IF(COUNT(Captura_NoFin!R65)&lt;1,"",IFERROR(IF(D65=2017,Captura_NoFin!R65/INDEX(Empresas!$I$2:$I$23,MATCH($A65,Empresas!$B$2:$B$23,0))-1,IF(COUNT(Captura_NoFin!R64)&lt;1,"",Captura_NoFin!R65/Captura_NoFin!R64-1)),""))</f>
        <v>0.17457797640424033</v>
      </c>
      <c r="N65" s="24">
        <f>IF(COUNT(Captura_NoFin!P65,Captura_NoFin!O65)&lt;2,"",IF(Captura_NoFin!O65&lt;=0,"",Captura_NoFin!P65/Captura_NoFin!O65))</f>
        <v>0.11584264904610987</v>
      </c>
      <c r="O65" s="25">
        <f t="shared" si="1"/>
        <v>8</v>
      </c>
      <c r="P65" s="26" t="str">
        <f>IF(COUNT(Captura_NoFin!H65,Captura_NoFin!I65,Captura_NoFin!J65)&lt;3,"",IF(ABS(Captura_NoFin!H65-Captura_NoFin!I65-Captura_NoFin!J65)&lt;=0.005*ABS(Captura_NoFin!H65),"OK","REVISAR"))</f>
        <v>OK</v>
      </c>
    </row>
    <row r="66" spans="1:16" ht="15" customHeight="1" x14ac:dyDescent="0.2">
      <c r="A66" s="20" t="str">
        <f>Captura_NoFin!A66</f>
        <v>FALABELLA</v>
      </c>
      <c r="B66" s="20">
        <f>Captura_NoFin!B66</f>
        <v>2</v>
      </c>
      <c r="C66" s="20" t="str">
        <f>Captura_NoFin!C66</f>
        <v>Consumo</v>
      </c>
      <c r="D66" s="21">
        <f>Captura_NoFin!D66</f>
        <v>2018</v>
      </c>
      <c r="E66" s="22">
        <f>IF(COUNT(Captura_NoFin!M66,Captura_NoFin!L66)&lt;2,"",Captura_NoFin!M66+ABS(Captura_NoFin!L66))</f>
        <v>800031021</v>
      </c>
      <c r="F66" s="23">
        <f>IF(COUNT(Captura_NoFin!F66,Captura_NoFin!G66)&lt;2,"",IFERROR(Captura_NoFin!F66/Captura_NoFin!G66,""))</f>
        <v>1.631145943407337</v>
      </c>
      <c r="G66" s="24">
        <f>IF(COUNT(Captura_NoFin!F66,Captura_NoFin!G66,Captura_NoFin!H66)&lt;3,"",IFERROR((Captura_NoFin!F66-Captura_NoFin!G66)/Captura_NoFin!H66,""))</f>
        <v>0.10066756014715</v>
      </c>
      <c r="H66" s="24">
        <f>IF(OR(E66="",COUNT(Captura_NoFin!K66)&lt;1),"",IFERROR(E66/Captura_NoFin!K66,""))</f>
        <v>9.4303498347092868E-2</v>
      </c>
      <c r="I66" s="24">
        <f>IF(COUNT(Captura_NoFin!N66,Captura_NoFin!H66)&lt;2,"",IFERROR(Captura_NoFin!N66/Captura_NoFin!H66,""))</f>
        <v>3.4242481819305622E-2</v>
      </c>
      <c r="J66" s="24">
        <f>IF(COUNT(Captura_NoFin!I66,Captura_NoFin!H66)&lt;2,"",IFERROR(Captura_NoFin!I66/Captura_NoFin!H66,""))</f>
        <v>0.62293241217979334</v>
      </c>
      <c r="K66" s="23">
        <f>IF(OR(E66="",COUNT(Captura_NoFin!L66)&lt;1),"",IFERROR(E66/ABS(Captura_NoFin!L66),""))</f>
        <v>4.4077561875885927</v>
      </c>
      <c r="L66" s="23">
        <f>IF(COUNT(Captura_NoFin!K66,Captura_NoFin!H66)&lt;2,"",IFERROR(Captura_NoFin!K66/Captura_NoFin!H66,""))</f>
        <v>0.53427278879439788</v>
      </c>
      <c r="M66" s="24">
        <f>IF(COUNT(Captura_NoFin!R66)&lt;1,"",IFERROR(IF(D66=2017,Captura_NoFin!R66/INDEX(Empresas!$I$2:$I$23,MATCH($A66,Empresas!$B$2:$B$23,0))-1,IF(COUNT(Captura_NoFin!R65)&lt;1,"",Captura_NoFin!R66/Captura_NoFin!R65-1)),""))</f>
        <v>-0.16267490882170343</v>
      </c>
      <c r="N66" s="24">
        <f>IF(COUNT(Captura_NoFin!P66,Captura_NoFin!O66)&lt;2,"",IF(Captura_NoFin!O66&lt;=0,"",Captura_NoFin!P66/Captura_NoFin!O66))</f>
        <v>9.4412261569826642E-2</v>
      </c>
      <c r="O66" s="25">
        <f t="shared" ref="O66:O97" si="2">COUNT(F66:M66)</f>
        <v>8</v>
      </c>
      <c r="P66" s="26" t="str">
        <f>IF(COUNT(Captura_NoFin!H66,Captura_NoFin!I66,Captura_NoFin!J66)&lt;3,"",IF(ABS(Captura_NoFin!H66-Captura_NoFin!I66-Captura_NoFin!J66)&lt;=0.005*ABS(Captura_NoFin!H66),"OK","REVISAR"))</f>
        <v>OK</v>
      </c>
    </row>
    <row r="67" spans="1:16" ht="15" customHeight="1" x14ac:dyDescent="0.2">
      <c r="A67" s="20" t="str">
        <f>Captura_NoFin!A67</f>
        <v>FALABELLA</v>
      </c>
      <c r="B67" s="20">
        <f>Captura_NoFin!B67</f>
        <v>2</v>
      </c>
      <c r="C67" s="20" t="str">
        <f>Captura_NoFin!C67</f>
        <v>Consumo</v>
      </c>
      <c r="D67" s="21">
        <f>Captura_NoFin!D67</f>
        <v>2019</v>
      </c>
      <c r="E67" s="22">
        <f>IF(COUNT(Captura_NoFin!M67,Captura_NoFin!L67)&lt;2,"",Captura_NoFin!M67+ABS(Captura_NoFin!L67))</f>
        <v>394892761</v>
      </c>
      <c r="F67" s="23">
        <f>IF(COUNT(Captura_NoFin!F67,Captura_NoFin!G67)&lt;2,"",IFERROR(Captura_NoFin!F67/Captura_NoFin!G67,""))</f>
        <v>1.2000124674717989</v>
      </c>
      <c r="G67" s="24">
        <f>IF(COUNT(Captura_NoFin!F67,Captura_NoFin!G67,Captura_NoFin!H67)&lt;3,"",IFERROR((Captura_NoFin!F67-Captura_NoFin!G67)/Captura_NoFin!H67,""))</f>
        <v>2.2066651658295688E-2</v>
      </c>
      <c r="H67" s="24">
        <f>IF(OR(E67="",COUNT(Captura_NoFin!K67)&lt;1),"",IFERROR(E67/Captura_NoFin!K67,""))</f>
        <v>4.9033178038951651E-2</v>
      </c>
      <c r="I67" s="24">
        <f>IF(COUNT(Captura_NoFin!N67,Captura_NoFin!H67)&lt;2,"",IFERROR(Captura_NoFin!N67/Captura_NoFin!H67,""))</f>
        <v>1.9427450026088443E-2</v>
      </c>
      <c r="J67" s="24">
        <f>IF(COUNT(Captura_NoFin!I67,Captura_NoFin!H67)&lt;2,"",IFERROR(Captura_NoFin!I67/Captura_NoFin!H67,""))</f>
        <v>0.66004559964708576</v>
      </c>
      <c r="K67" s="23">
        <f>IF(OR(E67="",COUNT(Captura_NoFin!L67)&lt;1),"",IFERROR(E67/ABS(Captura_NoFin!L67),""))</f>
        <v>1.8812407984724939</v>
      </c>
      <c r="L67" s="23">
        <f>IF(COUNT(Captura_NoFin!K67,Captura_NoFin!H67)&lt;2,"",IFERROR(Captura_NoFin!K67/Captura_NoFin!H67,""))</f>
        <v>0.43927824962949735</v>
      </c>
      <c r="M67" s="24">
        <f>IF(COUNT(Captura_NoFin!R67)&lt;1,"",IFERROR(IF(D67=2017,Captura_NoFin!R67/INDEX(Empresas!$I$2:$I$23,MATCH($A67,Empresas!$B$2:$B$23,0))-1,IF(COUNT(Captura_NoFin!R66)&lt;1,"",Captura_NoFin!R67/Captura_NoFin!R66-1)),""))</f>
        <v>-0.35344873287918743</v>
      </c>
      <c r="N67" s="24">
        <f>IF(COUNT(Captura_NoFin!P67,Captura_NoFin!O67)&lt;2,"",IF(Captura_NoFin!O67&lt;=0,"",Captura_NoFin!P67/Captura_NoFin!O67))</f>
        <v>5.6184921278275769E-2</v>
      </c>
      <c r="O67" s="25">
        <f t="shared" si="2"/>
        <v>8</v>
      </c>
      <c r="P67" s="26" t="str">
        <f>IF(COUNT(Captura_NoFin!H67,Captura_NoFin!I67,Captura_NoFin!J67)&lt;3,"",IF(ABS(Captura_NoFin!H67-Captura_NoFin!I67-Captura_NoFin!J67)&lt;=0.005*ABS(Captura_NoFin!H67),"OK","REVISAR"))</f>
        <v>OK</v>
      </c>
    </row>
    <row r="68" spans="1:16" ht="15" customHeight="1" x14ac:dyDescent="0.2">
      <c r="A68" s="20" t="str">
        <f>Captura_NoFin!A68</f>
        <v>FALABELLA</v>
      </c>
      <c r="B68" s="20">
        <f>Captura_NoFin!B68</f>
        <v>2</v>
      </c>
      <c r="C68" s="20" t="str">
        <f>Captura_NoFin!C68</f>
        <v>Consumo</v>
      </c>
      <c r="D68" s="21">
        <f>Captura_NoFin!D68</f>
        <v>2020</v>
      </c>
      <c r="E68" s="22">
        <f>IF(COUNT(Captura_NoFin!M68,Captura_NoFin!L68)&lt;2,"",Captura_NoFin!M68+ABS(Captura_NoFin!L68))</f>
        <v>166716250</v>
      </c>
      <c r="F68" s="23">
        <f>IF(COUNT(Captura_NoFin!F68,Captura_NoFin!G68)&lt;2,"",IFERROR(Captura_NoFin!F68/Captura_NoFin!G68,""))</f>
        <v>1.4152169825809635</v>
      </c>
      <c r="G68" s="24">
        <f>IF(COUNT(Captura_NoFin!F68,Captura_NoFin!G68,Captura_NoFin!H68)&lt;3,"",IFERROR((Captura_NoFin!F68-Captura_NoFin!G68)/Captura_NoFin!H68,""))</f>
        <v>4.7469279846517644E-2</v>
      </c>
      <c r="H68" s="24">
        <f>IF(OR(E68="",COUNT(Captura_NoFin!K68)&lt;1),"",IFERROR(E68/Captura_NoFin!K68,""))</f>
        <v>2.0132259921959807E-2</v>
      </c>
      <c r="I68" s="24">
        <f>IF(COUNT(Captura_NoFin!N68,Captura_NoFin!H68)&lt;2,"",IFERROR(Captura_NoFin!N68/Captura_NoFin!H68,""))</f>
        <v>1.9380175228888212E-3</v>
      </c>
      <c r="J68" s="24">
        <f>IF(COUNT(Captura_NoFin!I68,Captura_NoFin!H68)&lt;2,"",IFERROR(Captura_NoFin!I68/Captura_NoFin!H68,""))</f>
        <v>0.68362997565521277</v>
      </c>
      <c r="K68" s="23">
        <f>IF(OR(E68="",COUNT(Captura_NoFin!L68)&lt;1),"",IFERROR(E68/ABS(Captura_NoFin!L68),""))</f>
        <v>0.65504549275795598</v>
      </c>
      <c r="L68" s="23">
        <f>IF(COUNT(Captura_NoFin!K68,Captura_NoFin!H68)&lt;2,"",IFERROR(Captura_NoFin!K68/Captura_NoFin!H68,""))</f>
        <v>0.43772164619550408</v>
      </c>
      <c r="M68" s="24">
        <f>IF(COUNT(Captura_NoFin!R68)&lt;1,"",IFERROR(IF(D68=2017,Captura_NoFin!R68/INDEX(Empresas!$I$2:$I$23,MATCH($A68,Empresas!$B$2:$B$23,0))-1,IF(COUNT(Captura_NoFin!R67)&lt;1,"",Captura_NoFin!R68/Captura_NoFin!R67-1)),""))</f>
        <v>-0.17822881547731351</v>
      </c>
      <c r="N68" s="24">
        <f>IF(COUNT(Captura_NoFin!P68,Captura_NoFin!O68)&lt;2,"",IF(Captura_NoFin!O68&lt;=0,"",Captura_NoFin!P68/Captura_NoFin!O68))</f>
        <v>6.1250325724272877E-3</v>
      </c>
      <c r="O68" s="25">
        <f t="shared" si="2"/>
        <v>8</v>
      </c>
      <c r="P68" s="26" t="str">
        <f>IF(COUNT(Captura_NoFin!H68,Captura_NoFin!I68,Captura_NoFin!J68)&lt;3,"",IF(ABS(Captura_NoFin!H68-Captura_NoFin!I68-Captura_NoFin!J68)&lt;=0.005*ABS(Captura_NoFin!H68),"OK","REVISAR"))</f>
        <v>OK</v>
      </c>
    </row>
    <row r="69" spans="1:16" ht="15" customHeight="1" x14ac:dyDescent="0.2">
      <c r="A69" s="20" t="str">
        <f>Captura_NoFin!A69</f>
        <v>FALABELLA</v>
      </c>
      <c r="B69" s="20">
        <f>Captura_NoFin!B69</f>
        <v>2</v>
      </c>
      <c r="C69" s="20" t="str">
        <f>Captura_NoFin!C69</f>
        <v>Consumo</v>
      </c>
      <c r="D69" s="21">
        <f>Captura_NoFin!D69</f>
        <v>2021</v>
      </c>
      <c r="E69" s="22">
        <f>IF(COUNT(Captura_NoFin!M69,Captura_NoFin!L69)&lt;2,"",Captura_NoFin!M69+ABS(Captura_NoFin!L69))</f>
        <v>826182765</v>
      </c>
      <c r="F69" s="23">
        <f>IF(COUNT(Captura_NoFin!F69,Captura_NoFin!G69)&lt;2,"",IFERROR(Captura_NoFin!F69/Captura_NoFin!G69,""))</f>
        <v>1.2552351353098283</v>
      </c>
      <c r="G69" s="24">
        <f>IF(COUNT(Captura_NoFin!F69,Captura_NoFin!G69,Captura_NoFin!H69)&lt;3,"",IFERROR((Captura_NoFin!F69-Captura_NoFin!G69)/Captura_NoFin!H69,""))</f>
        <v>2.9148453681491316E-2</v>
      </c>
      <c r="H69" s="24">
        <f>IF(OR(E69="",COUNT(Captura_NoFin!K69)&lt;1),"",IFERROR(E69/Captura_NoFin!K69,""))</f>
        <v>7.993730912984949E-2</v>
      </c>
      <c r="I69" s="24">
        <f>IF(COUNT(Captura_NoFin!N69,Captura_NoFin!H69)&lt;2,"",IFERROR(Captura_NoFin!N69/Captura_NoFin!H69,""))</f>
        <v>3.242818465819601E-2</v>
      </c>
      <c r="J69" s="24">
        <f>IF(COUNT(Captura_NoFin!I69,Captura_NoFin!H69)&lt;2,"",IFERROR(Captura_NoFin!I69/Captura_NoFin!H69,""))</f>
        <v>0.68995590224211678</v>
      </c>
      <c r="K69" s="23">
        <f>IF(OR(E69="",COUNT(Captura_NoFin!L69)&lt;1),"",IFERROR(E69/ABS(Captura_NoFin!L69),""))</f>
        <v>3.5237398800457584</v>
      </c>
      <c r="L69" s="23">
        <f>IF(COUNT(Captura_NoFin!K69,Captura_NoFin!H69)&lt;2,"",IFERROR(Captura_NoFin!K69/Captura_NoFin!H69,""))</f>
        <v>0.48222626217364123</v>
      </c>
      <c r="M69" s="24">
        <f>IF(COUNT(Captura_NoFin!R69)&lt;1,"",IFERROR(IF(D69=2017,Captura_NoFin!R69/INDEX(Empresas!$I$2:$I$23,MATCH($A69,Empresas!$B$2:$B$23,0))-1,IF(COUNT(Captura_NoFin!R68)&lt;1,"",Captura_NoFin!R69/Captura_NoFin!R68-1)),""))</f>
        <v>6.9699190491646856E-2</v>
      </c>
      <c r="N69" s="24">
        <f>IF(COUNT(Captura_NoFin!P69,Captura_NoFin!O69)&lt;2,"",IF(Captura_NoFin!O69&lt;=0,"",Captura_NoFin!P69/Captura_NoFin!O69))</f>
        <v>0.11537493370431862</v>
      </c>
      <c r="O69" s="25">
        <f t="shared" si="2"/>
        <v>8</v>
      </c>
      <c r="P69" s="26" t="str">
        <f>IF(COUNT(Captura_NoFin!H69,Captura_NoFin!I69,Captura_NoFin!J69)&lt;3,"",IF(ABS(Captura_NoFin!H69-Captura_NoFin!I69-Captura_NoFin!J69)&lt;=0.005*ABS(Captura_NoFin!H69),"OK","REVISAR"))</f>
        <v>OK</v>
      </c>
    </row>
    <row r="70" spans="1:16" ht="15" customHeight="1" x14ac:dyDescent="0.2">
      <c r="A70" s="20" t="str">
        <f>Captura_NoFin!A70</f>
        <v>FALABELLA</v>
      </c>
      <c r="B70" s="20">
        <f>Captura_NoFin!B70</f>
        <v>2</v>
      </c>
      <c r="C70" s="20" t="str">
        <f>Captura_NoFin!C70</f>
        <v>Consumo</v>
      </c>
      <c r="D70" s="21">
        <f>Captura_NoFin!D70</f>
        <v>2022</v>
      </c>
      <c r="E70" s="22">
        <f>IF(COUNT(Captura_NoFin!M70,Captura_NoFin!L70)&lt;2,"",Captura_NoFin!M70+ABS(Captura_NoFin!L70))</f>
        <v>220456772</v>
      </c>
      <c r="F70" s="23">
        <f>IF(COUNT(Captura_NoFin!F70,Captura_NoFin!G70)&lt;2,"",IFERROR(Captura_NoFin!F70/Captura_NoFin!G70,""))</f>
        <v>1.2952553512209262</v>
      </c>
      <c r="G70" s="24">
        <f>IF(COUNT(Captura_NoFin!F70,Captura_NoFin!G70,Captura_NoFin!H70)&lt;3,"",IFERROR((Captura_NoFin!F70-Captura_NoFin!G70)/Captura_NoFin!H70,""))</f>
        <v>3.4823650436911671E-2</v>
      </c>
      <c r="H70" s="24">
        <f>IF(OR(E70="",COUNT(Captura_NoFin!K70)&lt;1),"",IFERROR(E70/Captura_NoFin!K70,""))</f>
        <v>2.1074830571229157E-2</v>
      </c>
      <c r="I70" s="24">
        <f>IF(COUNT(Captura_NoFin!N70,Captura_NoFin!H70)&lt;2,"",IFERROR(Captura_NoFin!N70/Captura_NoFin!H70,""))</f>
        <v>5.874022316048463E-3</v>
      </c>
      <c r="J70" s="24">
        <f>IF(COUNT(Captura_NoFin!I70,Captura_NoFin!H70)&lt;2,"",IFERROR(Captura_NoFin!I70/Captura_NoFin!H70,""))</f>
        <v>0.71164171214689975</v>
      </c>
      <c r="K70" s="23">
        <f>IF(OR(E70="",COUNT(Captura_NoFin!L70)&lt;1),"",IFERROR(E70/ABS(Captura_NoFin!L70),""))</f>
        <v>0.71149585651355107</v>
      </c>
      <c r="L70" s="23">
        <f>IF(COUNT(Captura_NoFin!K70,Captura_NoFin!H70)&lt;2,"",IFERROR(Captura_NoFin!K70/Captura_NoFin!H70,""))</f>
        <v>0.46398595368553197</v>
      </c>
      <c r="M70" s="24">
        <f>IF(COUNT(Captura_NoFin!R70)&lt;1,"",IFERROR(IF(D70=2017,Captura_NoFin!R70/INDEX(Empresas!$I$2:$I$23,MATCH($A70,Empresas!$B$2:$B$23,0))-1,IF(COUNT(Captura_NoFin!R69)&lt;1,"",Captura_NoFin!R70/Captura_NoFin!R69-1)),""))</f>
        <v>-0.38229456462116707</v>
      </c>
      <c r="N70" s="24">
        <f>IF(COUNT(Captura_NoFin!P70,Captura_NoFin!O70)&lt;2,"",IF(Captura_NoFin!O70&lt;=0,"",Captura_NoFin!P70/Captura_NoFin!O70))</f>
        <v>1.6371302302756872E-2</v>
      </c>
      <c r="O70" s="25">
        <f t="shared" si="2"/>
        <v>8</v>
      </c>
      <c r="P70" s="26" t="str">
        <f>IF(COUNT(Captura_NoFin!H70,Captura_NoFin!I70,Captura_NoFin!J70)&lt;3,"",IF(ABS(Captura_NoFin!H70-Captura_NoFin!I70-Captura_NoFin!J70)&lt;=0.005*ABS(Captura_NoFin!H70),"OK","REVISAR"))</f>
        <v>OK</v>
      </c>
    </row>
    <row r="71" spans="1:16" ht="15" customHeight="1" x14ac:dyDescent="0.2">
      <c r="A71" s="20" t="str">
        <f>Captura_NoFin!A71</f>
        <v>FALABELLA</v>
      </c>
      <c r="B71" s="20">
        <f>Captura_NoFin!B71</f>
        <v>2</v>
      </c>
      <c r="C71" s="20" t="str">
        <f>Captura_NoFin!C71</f>
        <v>Consumo</v>
      </c>
      <c r="D71" s="21">
        <f>Captura_NoFin!D71</f>
        <v>2023</v>
      </c>
      <c r="E71" s="22">
        <f>IF(COUNT(Captura_NoFin!M71,Captura_NoFin!L71)&lt;2,"",Captura_NoFin!M71+ABS(Captura_NoFin!L71))</f>
        <v>526293777</v>
      </c>
      <c r="F71" s="23">
        <f>IF(COUNT(Captura_NoFin!F71,Captura_NoFin!G71)&lt;2,"",IFERROR(Captura_NoFin!F71/Captura_NoFin!G71,""))</f>
        <v>1.5531054149282513</v>
      </c>
      <c r="G71" s="24">
        <f>IF(COUNT(Captura_NoFin!F71,Captura_NoFin!G71,Captura_NoFin!H71)&lt;3,"",IFERROR((Captura_NoFin!F71-Captura_NoFin!G71)/Captura_NoFin!H71,""))</f>
        <v>5.1906857699384669E-2</v>
      </c>
      <c r="H71" s="24">
        <f>IF(OR(E71="",COUNT(Captura_NoFin!K71)&lt;1),"",IFERROR(E71/Captura_NoFin!K71,""))</f>
        <v>5.6257330486719229E-2</v>
      </c>
      <c r="I71" s="24">
        <f>IF(COUNT(Captura_NoFin!N71,Captura_NoFin!H71)&lt;2,"",IFERROR(Captura_NoFin!N71/Captura_NoFin!H71,""))</f>
        <v>7.9106283609998683E-3</v>
      </c>
      <c r="J71" s="24">
        <f>IF(COUNT(Captura_NoFin!I71,Captura_NoFin!H71)&lt;2,"",IFERROR(Captura_NoFin!I71/Captura_NoFin!H71,""))</f>
        <v>0.68721880175567118</v>
      </c>
      <c r="K71" s="23">
        <f>IF(OR(E71="",COUNT(Captura_NoFin!L71)&lt;1),"",IFERROR(E71/ABS(Captura_NoFin!L71),""))</f>
        <v>1.5018729873169394</v>
      </c>
      <c r="L71" s="23">
        <f>IF(COUNT(Captura_NoFin!K71,Captura_NoFin!H71)&lt;2,"",IFERROR(Captura_NoFin!K71/Captura_NoFin!H71,""))</f>
        <v>0.39242265938834053</v>
      </c>
      <c r="M71" s="24">
        <f>IF(COUNT(Captura_NoFin!R71)&lt;1,"",IFERROR(IF(D71=2017,Captura_NoFin!R71/INDEX(Empresas!$I$2:$I$23,MATCH($A71,Empresas!$B$2:$B$23,0))-1,IF(COUNT(Captura_NoFin!R70)&lt;1,"",Captura_NoFin!R71/Captura_NoFin!R70-1)),""))</f>
        <v>0.33333317924583095</v>
      </c>
      <c r="N71" s="24">
        <f>IF(COUNT(Captura_NoFin!P71,Captura_NoFin!O71)&lt;2,"",IF(Captura_NoFin!O71&lt;=0,"",Captura_NoFin!P71/Captura_NoFin!O71))</f>
        <v>9.6237154203370409E-3</v>
      </c>
      <c r="O71" s="25">
        <f t="shared" si="2"/>
        <v>8</v>
      </c>
      <c r="P71" s="26" t="str">
        <f>IF(COUNT(Captura_NoFin!H71,Captura_NoFin!I71,Captura_NoFin!J71)&lt;3,"",IF(ABS(Captura_NoFin!H71-Captura_NoFin!I71-Captura_NoFin!J71)&lt;=0.005*ABS(Captura_NoFin!H71),"OK","REVISAR"))</f>
        <v>OK</v>
      </c>
    </row>
    <row r="72" spans="1:16" ht="15" customHeight="1" x14ac:dyDescent="0.2">
      <c r="A72" s="20" t="str">
        <f>Captura_NoFin!A72</f>
        <v>FALABELLA</v>
      </c>
      <c r="B72" s="20">
        <f>Captura_NoFin!B72</f>
        <v>2</v>
      </c>
      <c r="C72" s="20" t="str">
        <f>Captura_NoFin!C72</f>
        <v>Consumo</v>
      </c>
      <c r="D72" s="21">
        <f>Captura_NoFin!D72</f>
        <v>2024</v>
      </c>
      <c r="E72" s="22">
        <f>IF(COUNT(Captura_NoFin!M72,Captura_NoFin!L72)&lt;2,"",Captura_NoFin!M72+ABS(Captura_NoFin!L72))</f>
        <v>982163520</v>
      </c>
      <c r="F72" s="23">
        <f>IF(COUNT(Captura_NoFin!F72,Captura_NoFin!G72)&lt;2,"",IFERROR(Captura_NoFin!F72/Captura_NoFin!G72,""))</f>
        <v>1.5437018727934118</v>
      </c>
      <c r="G72" s="24">
        <f>IF(COUNT(Captura_NoFin!F72,Captura_NoFin!G72,Captura_NoFin!H72)&lt;3,"",IFERROR((Captura_NoFin!F72-Captura_NoFin!G72)/Captura_NoFin!H72,""))</f>
        <v>6.2242300044424735E-2</v>
      </c>
      <c r="H72" s="24">
        <f>IF(OR(E72="",COUNT(Captura_NoFin!K72)&lt;1),"",IFERROR(E72/Captura_NoFin!K72,""))</f>
        <v>9.5151480213490625E-2</v>
      </c>
      <c r="I72" s="24">
        <f>IF(COUNT(Captura_NoFin!N72,Captura_NoFin!H72)&lt;2,"",IFERROR(Captura_NoFin!N72/Captura_NoFin!H72,""))</f>
        <v>2.515273580091839E-2</v>
      </c>
      <c r="J72" s="24">
        <f>IF(COUNT(Captura_NoFin!I72,Captura_NoFin!H72)&lt;2,"",IFERROR(Captura_NoFin!I72/Captura_NoFin!H72,""))</f>
        <v>0.66583773180103067</v>
      </c>
      <c r="K72" s="23">
        <f>IF(OR(E72="",COUNT(Captura_NoFin!L72)&lt;1),"",IFERROR(E72/ABS(Captura_NoFin!L72),""))</f>
        <v>2.8001168965357608</v>
      </c>
      <c r="L72" s="23">
        <f>IF(COUNT(Captura_NoFin!K72,Captura_NoFin!H72)&lt;2,"",IFERROR(Captura_NoFin!K72/Captura_NoFin!H72,""))</f>
        <v>0.40860461674370119</v>
      </c>
      <c r="M72" s="24">
        <f>IF(COUNT(Captura_NoFin!R72)&lt;1,"",IFERROR(IF(D72=2017,Captura_NoFin!R72/INDEX(Empresas!$I$2:$I$23,MATCH($A72,Empresas!$B$2:$B$23,0))-1,IF(COUNT(Captura_NoFin!R71)&lt;1,"",Captura_NoFin!R72/Captura_NoFin!R71-1)),""))</f>
        <v>0.59772733234863695</v>
      </c>
      <c r="N72" s="24">
        <f>IF(COUNT(Captura_NoFin!P72,Captura_NoFin!O72)&lt;2,"",IF(Captura_NoFin!O72&lt;=0,"",Captura_NoFin!P72/Captura_NoFin!O72))</f>
        <v>7.0433129260227559E-2</v>
      </c>
      <c r="O72" s="25">
        <f t="shared" si="2"/>
        <v>8</v>
      </c>
      <c r="P72" s="26" t="str">
        <f>IF(COUNT(Captura_NoFin!H72,Captura_NoFin!I72,Captura_NoFin!J72)&lt;3,"",IF(ABS(Captura_NoFin!H72-Captura_NoFin!I72-Captura_NoFin!J72)&lt;=0.005*ABS(Captura_NoFin!H72),"OK","REVISAR"))</f>
        <v>OK</v>
      </c>
    </row>
    <row r="73" spans="1:16" ht="15" customHeight="1" x14ac:dyDescent="0.2">
      <c r="A73" s="20" t="str">
        <f>Captura_NoFin!A73</f>
        <v>FALABELLA</v>
      </c>
      <c r="B73" s="20">
        <f>Captura_NoFin!B73</f>
        <v>2</v>
      </c>
      <c r="C73" s="20" t="str">
        <f>Captura_NoFin!C73</f>
        <v>Consumo</v>
      </c>
      <c r="D73" s="21">
        <f>Captura_NoFin!D73</f>
        <v>2025</v>
      </c>
      <c r="E73" s="22">
        <f>IF(COUNT(Captura_NoFin!M73,Captura_NoFin!L73)&lt;2,"",Captura_NoFin!M73+ABS(Captura_NoFin!L73))</f>
        <v>2552787807</v>
      </c>
      <c r="F73" s="23">
        <f>IF(COUNT(Captura_NoFin!F73,Captura_NoFin!G73)&lt;2,"",IFERROR(Captura_NoFin!F73/Captura_NoFin!G73,""))</f>
        <v>1.5461148349305998</v>
      </c>
      <c r="G73" s="24">
        <f>IF(COUNT(Captura_NoFin!F73,Captura_NoFin!G73,Captura_NoFin!H73)&lt;3,"",IFERROR((Captura_NoFin!F73-Captura_NoFin!G73)/Captura_NoFin!H73,""))</f>
        <v>5.3473244397808907E-2</v>
      </c>
      <c r="H73" s="24">
        <f>IF(OR(E73="",COUNT(Captura_NoFin!K73)&lt;1),"",IFERROR(E73/Captura_NoFin!K73,""))</f>
        <v>0.22506621009079447</v>
      </c>
      <c r="I73" s="24">
        <f>IF(COUNT(Captura_NoFin!N73,Captura_NoFin!H73)&lt;2,"",IFERROR(Captura_NoFin!N73/Captura_NoFin!H73,""))</f>
        <v>7.4005711262267904E-2</v>
      </c>
      <c r="J73" s="24">
        <f>IF(COUNT(Captura_NoFin!I73,Captura_NoFin!H73)&lt;2,"",IFERROR(Captura_NoFin!I73/Captura_NoFin!H73,""))</f>
        <v>0.62071159000204934</v>
      </c>
      <c r="K73" s="23">
        <f>IF(OR(E73="",COUNT(Captura_NoFin!L73)&lt;1),"",IFERROR(E73/ABS(Captura_NoFin!L73),""))</f>
        <v>7.6105030828319267</v>
      </c>
      <c r="L73" s="23">
        <f>IF(COUNT(Captura_NoFin!K73,Captura_NoFin!H73)&lt;2,"",IFERROR(Captura_NoFin!K73/Captura_NoFin!H73,""))</f>
        <v>0.4230181843373087</v>
      </c>
      <c r="M73" s="24">
        <f>IF(COUNT(Captura_NoFin!R73)&lt;1,"",IFERROR(IF(D73=2017,Captura_NoFin!R73/INDEX(Empresas!$I$2:$I$23,MATCH($A73,Empresas!$B$2:$B$23,0))-1,IF(COUNT(Captura_NoFin!R72)&lt;1,"",Captura_NoFin!R73/Captura_NoFin!R72-1)),""))</f>
        <v>0.833926546153134</v>
      </c>
      <c r="N73" s="24">
        <f>IF(COUNT(Captura_NoFin!P73,Captura_NoFin!O73)&lt;2,"",IF(Captura_NoFin!O73&lt;=0,"",Captura_NoFin!P73/Captura_NoFin!O73))</f>
        <v>0.16901988594336176</v>
      </c>
      <c r="O73" s="25">
        <f t="shared" si="2"/>
        <v>8</v>
      </c>
      <c r="P73" s="26" t="str">
        <f>IF(COUNT(Captura_NoFin!H73,Captura_NoFin!I73,Captura_NoFin!J73)&lt;3,"",IF(ABS(Captura_NoFin!H73-Captura_NoFin!I73-Captura_NoFin!J73)&lt;=0.005*ABS(Captura_NoFin!H73),"OK","REVISAR"))</f>
        <v>OK</v>
      </c>
    </row>
    <row r="74" spans="1:16" ht="15" customHeight="1" x14ac:dyDescent="0.2">
      <c r="A74" s="20" t="str">
        <f>Captura_NoFin!A74</f>
        <v>RIPLEY</v>
      </c>
      <c r="B74" s="20">
        <f>Captura_NoFin!B74</f>
        <v>2</v>
      </c>
      <c r="C74" s="20" t="str">
        <f>Captura_NoFin!C74</f>
        <v>Consumo</v>
      </c>
      <c r="D74" s="21">
        <f>Captura_NoFin!D74</f>
        <v>2017</v>
      </c>
      <c r="E74" s="22">
        <f>IF(COUNT(Captura_NoFin!M74,Captura_NoFin!L74)&lt;2,"",Captura_NoFin!M74+ABS(Captura_NoFin!L74))</f>
        <v>122834400</v>
      </c>
      <c r="F74" s="23">
        <f>IF(COUNT(Captura_NoFin!F74,Captura_NoFin!G74)&lt;2,"",IFERROR(Captura_NoFin!F74/Captura_NoFin!G74,""))</f>
        <v>1.1825900864583769</v>
      </c>
      <c r="G74" s="24">
        <f>IF(COUNT(Captura_NoFin!F74,Captura_NoFin!G74,Captura_NoFin!H74)&lt;3,"",IFERROR((Captura_NoFin!F74-Captura_NoFin!G74)/Captura_NoFin!H74,""))</f>
        <v>7.5169080331959987E-2</v>
      </c>
      <c r="H74" s="24">
        <f>IF(OR(E74="",COUNT(Captura_NoFin!K74)&lt;1),"",IFERROR(E74/Captura_NoFin!K74,""))</f>
        <v>7.3595941559824074E-2</v>
      </c>
      <c r="I74" s="24">
        <f>IF(COUNT(Captura_NoFin!N74,Captura_NoFin!H74)&lt;2,"",IFERROR(Captura_NoFin!N74/Captura_NoFin!H74,""))</f>
        <v>3.0888107220908477E-2</v>
      </c>
      <c r="J74" s="24">
        <f>IF(COUNT(Captura_NoFin!I74,Captura_NoFin!H74)&lt;2,"",IFERROR(Captura_NoFin!I74/Captura_NoFin!H74,""))</f>
        <v>0.66002866751016276</v>
      </c>
      <c r="K74" s="23">
        <f>IF(OR(E74="",COUNT(Captura_NoFin!L74)&lt;1),"",IFERROR(E74/ABS(Captura_NoFin!L74),""))</f>
        <v>5.4978588748434856</v>
      </c>
      <c r="L74" s="23">
        <f>IF(COUNT(Captura_NoFin!K74,Captura_NoFin!H74)&lt;2,"",IFERROR(Captura_NoFin!K74/Captura_NoFin!H74,""))</f>
        <v>0.60049562127220857</v>
      </c>
      <c r="M74" s="24">
        <f>IF(COUNT(Captura_NoFin!R74)&lt;1,"",IFERROR(IF(D74=2017,Captura_NoFin!R74/INDEX(Empresas!$I$2:$I$23,MATCH($A74,Empresas!$B$2:$B$23,0))-1,IF(COUNT(Captura_NoFin!R73)&lt;1,"",Captura_NoFin!R74/Captura_NoFin!R73-1)),""))</f>
        <v>0.7125136821218474</v>
      </c>
      <c r="N74" s="24">
        <f>IF(COUNT(Captura_NoFin!P74,Captura_NoFin!O74)&lt;2,"",IF(Captura_NoFin!O74&lt;=0,"",Captura_NoFin!P74/Captura_NoFin!O74))</f>
        <v>9.0874866089479464E-2</v>
      </c>
      <c r="O74" s="25">
        <f t="shared" si="2"/>
        <v>8</v>
      </c>
      <c r="P74" s="26" t="str">
        <f>IF(COUNT(Captura_NoFin!H74,Captura_NoFin!I74,Captura_NoFin!J74)&lt;3,"",IF(ABS(Captura_NoFin!H74-Captura_NoFin!I74-Captura_NoFin!J74)&lt;=0.005*ABS(Captura_NoFin!H74),"OK","REVISAR"))</f>
        <v>OK</v>
      </c>
    </row>
    <row r="75" spans="1:16" ht="15" customHeight="1" x14ac:dyDescent="0.2">
      <c r="A75" s="20" t="str">
        <f>Captura_NoFin!A75</f>
        <v>RIPLEY</v>
      </c>
      <c r="B75" s="20">
        <f>Captura_NoFin!B75</f>
        <v>2</v>
      </c>
      <c r="C75" s="20" t="str">
        <f>Captura_NoFin!C75</f>
        <v>Consumo</v>
      </c>
      <c r="D75" s="21">
        <f>Captura_NoFin!D75</f>
        <v>2018</v>
      </c>
      <c r="E75" s="22">
        <f>IF(COUNT(Captura_NoFin!M75,Captura_NoFin!L75)&lt;2,"",Captura_NoFin!M75+ABS(Captura_NoFin!L75))</f>
        <v>111124860</v>
      </c>
      <c r="F75" s="23">
        <f>IF(COUNT(Captura_NoFin!F75,Captura_NoFin!G75)&lt;2,"",IFERROR(Captura_NoFin!F75/Captura_NoFin!G75,""))</f>
        <v>1.1704646709531805</v>
      </c>
      <c r="G75" s="24">
        <f>IF(COUNT(Captura_NoFin!F75,Captura_NoFin!G75,Captura_NoFin!H75)&lt;3,"",IFERROR((Captura_NoFin!F75-Captura_NoFin!G75)/Captura_NoFin!H75,""))</f>
        <v>7.1587355551316387E-2</v>
      </c>
      <c r="H75" s="24">
        <f>IF(OR(E75="",COUNT(Captura_NoFin!K75)&lt;1),"",IFERROR(E75/Captura_NoFin!K75,""))</f>
        <v>6.5288325187320029E-2</v>
      </c>
      <c r="I75" s="24">
        <f>IF(COUNT(Captura_NoFin!N75,Captura_NoFin!H75)&lt;2,"",IFERROR(Captura_NoFin!N75/Captura_NoFin!H75,""))</f>
        <v>2.3438373993694261E-2</v>
      </c>
      <c r="J75" s="24">
        <f>IF(COUNT(Captura_NoFin!I75,Captura_NoFin!H75)&lt;2,"",IFERROR(Captura_NoFin!I75/Captura_NoFin!H75,""))</f>
        <v>0.6602301171579239</v>
      </c>
      <c r="K75" s="23">
        <f>IF(OR(E75="",COUNT(Captura_NoFin!L75)&lt;1),"",IFERROR(E75/ABS(Captura_NoFin!L75),""))</f>
        <v>5.2220137538969551</v>
      </c>
      <c r="L75" s="23">
        <f>IF(COUNT(Captura_NoFin!K75,Captura_NoFin!H75)&lt;2,"",IFERROR(Captura_NoFin!K75/Captura_NoFin!H75,""))</f>
        <v>0.57265860032137939</v>
      </c>
      <c r="M75" s="24">
        <f>IF(COUNT(Captura_NoFin!R75)&lt;1,"",IFERROR(IF(D75=2017,Captura_NoFin!R75/INDEX(Empresas!$I$2:$I$23,MATCH($A75,Empresas!$B$2:$B$23,0))-1,IF(COUNT(Captura_NoFin!R74)&lt;1,"",Captura_NoFin!R75/Captura_NoFin!R74-1)),""))</f>
        <v>-0.11998200934481884</v>
      </c>
      <c r="N75" s="24">
        <f>IF(COUNT(Captura_NoFin!P75,Captura_NoFin!O75)&lt;2,"",IF(Captura_NoFin!O75&lt;=0,"",Captura_NoFin!P75/Captura_NoFin!O75))</f>
        <v>6.899632679095058E-2</v>
      </c>
      <c r="O75" s="25">
        <f t="shared" si="2"/>
        <v>8</v>
      </c>
      <c r="P75" s="26" t="str">
        <f>IF(COUNT(Captura_NoFin!H75,Captura_NoFin!I75,Captura_NoFin!J75)&lt;3,"",IF(ABS(Captura_NoFin!H75-Captura_NoFin!I75-Captura_NoFin!J75)&lt;=0.005*ABS(Captura_NoFin!H75),"OK","REVISAR"))</f>
        <v>OK</v>
      </c>
    </row>
    <row r="76" spans="1:16" ht="15" customHeight="1" x14ac:dyDescent="0.2">
      <c r="A76" s="20" t="str">
        <f>Captura_NoFin!A76</f>
        <v>RIPLEY</v>
      </c>
      <c r="B76" s="20">
        <f>Captura_NoFin!B76</f>
        <v>2</v>
      </c>
      <c r="C76" s="20" t="str">
        <f>Captura_NoFin!C76</f>
        <v>Consumo</v>
      </c>
      <c r="D76" s="21">
        <f>Captura_NoFin!D76</f>
        <v>2019</v>
      </c>
      <c r="E76" s="22">
        <f>IF(COUNT(Captura_NoFin!M76,Captura_NoFin!L76)&lt;2,"",Captura_NoFin!M76+ABS(Captura_NoFin!L76))</f>
        <v>169924098</v>
      </c>
      <c r="F76" s="23">
        <f>IF(COUNT(Captura_NoFin!F76,Captura_NoFin!G76)&lt;2,"",IFERROR(Captura_NoFin!F76/Captura_NoFin!G76,""))</f>
        <v>1.1071208016298637</v>
      </c>
      <c r="G76" s="24">
        <f>IF(COUNT(Captura_NoFin!F76,Captura_NoFin!G76,Captura_NoFin!H76)&lt;3,"",IFERROR((Captura_NoFin!F76-Captura_NoFin!G76)/Captura_NoFin!H76,""))</f>
        <v>4.271811894792886E-2</v>
      </c>
      <c r="H76" s="24">
        <f>IF(OR(E76="",COUNT(Captura_NoFin!K76)&lt;1),"",IFERROR(E76/Captura_NoFin!K76,""))</f>
        <v>9.8368391402428326E-2</v>
      </c>
      <c r="I76" s="24">
        <f>IF(COUNT(Captura_NoFin!N76,Captura_NoFin!H76)&lt;2,"",IFERROR(Captura_NoFin!N76/Captura_NoFin!H76,""))</f>
        <v>2.784567598678582E-2</v>
      </c>
      <c r="J76" s="24">
        <f>IF(COUNT(Captura_NoFin!I76,Captura_NoFin!H76)&lt;2,"",IFERROR(Captura_NoFin!I76/Captura_NoFin!H76,""))</f>
        <v>0.71361645058859469</v>
      </c>
      <c r="K76" s="23">
        <f>IF(OR(E76="",COUNT(Captura_NoFin!L76)&lt;1),"",IFERROR(E76/ABS(Captura_NoFin!L76),""))</f>
        <v>4.5926609847371491</v>
      </c>
      <c r="L76" s="23">
        <f>IF(COUNT(Captura_NoFin!K76,Captura_NoFin!H76)&lt;2,"",IFERROR(Captura_NoFin!K76/Captura_NoFin!H76,""))</f>
        <v>0.47860162410361401</v>
      </c>
      <c r="M76" s="24">
        <f>IF(COUNT(Captura_NoFin!R76)&lt;1,"",IFERROR(IF(D76=2017,Captura_NoFin!R76/INDEX(Empresas!$I$2:$I$23,MATCH($A76,Empresas!$B$2:$B$23,0))-1,IF(COUNT(Captura_NoFin!R75)&lt;1,"",Captura_NoFin!R76/Captura_NoFin!R75-1)),""))</f>
        <v>-0.40327056466908451</v>
      </c>
      <c r="N76" s="24">
        <f>IF(COUNT(Captura_NoFin!P76,Captura_NoFin!O76)&lt;2,"",IF(Captura_NoFin!O76&lt;=0,"",Captura_NoFin!P76/Captura_NoFin!O76))</f>
        <v>9.7417080578164367E-2</v>
      </c>
      <c r="O76" s="25">
        <f t="shared" si="2"/>
        <v>8</v>
      </c>
      <c r="P76" s="26" t="str">
        <f>IF(COUNT(Captura_NoFin!H76,Captura_NoFin!I76,Captura_NoFin!J76)&lt;3,"",IF(ABS(Captura_NoFin!H76-Captura_NoFin!I76-Captura_NoFin!J76)&lt;=0.005*ABS(Captura_NoFin!H76),"OK","REVISAR"))</f>
        <v>OK</v>
      </c>
    </row>
    <row r="77" spans="1:16" ht="15" customHeight="1" x14ac:dyDescent="0.2">
      <c r="A77" s="20" t="str">
        <f>Captura_NoFin!A77</f>
        <v>RIPLEY</v>
      </c>
      <c r="B77" s="20">
        <f>Captura_NoFin!B77</f>
        <v>2</v>
      </c>
      <c r="C77" s="20" t="str">
        <f>Captura_NoFin!C77</f>
        <v>Consumo</v>
      </c>
      <c r="D77" s="21">
        <f>Captura_NoFin!D77</f>
        <v>2020</v>
      </c>
      <c r="E77" s="22">
        <f>IF(COUNT(Captura_NoFin!M77,Captura_NoFin!L77)&lt;2,"",Captura_NoFin!M77+ABS(Captura_NoFin!L77))</f>
        <v>-36743575</v>
      </c>
      <c r="F77" s="23">
        <f>IF(COUNT(Captura_NoFin!F77,Captura_NoFin!G77)&lt;2,"",IFERROR(Captura_NoFin!F77/Captura_NoFin!G77,""))</f>
        <v>1.182905341847768</v>
      </c>
      <c r="G77" s="24">
        <f>IF(COUNT(Captura_NoFin!F77,Captura_NoFin!G77,Captura_NoFin!H77)&lt;3,"",IFERROR((Captura_NoFin!F77-Captura_NoFin!G77)/Captura_NoFin!H77,""))</f>
        <v>8.1527451199974385E-2</v>
      </c>
      <c r="H77" s="24">
        <f>IF(OR(E77="",COUNT(Captura_NoFin!K77)&lt;1),"",IFERROR(E77/Captura_NoFin!K77,""))</f>
        <v>-2.4503213686261592E-2</v>
      </c>
      <c r="I77" s="24">
        <f>IF(COUNT(Captura_NoFin!N77,Captura_NoFin!H77)&lt;2,"",IFERROR(Captura_NoFin!N77/Captura_NoFin!H77,""))</f>
        <v>-2.2293230219244356E-2</v>
      </c>
      <c r="J77" s="24">
        <f>IF(COUNT(Captura_NoFin!I77,Captura_NoFin!H77)&lt;2,"",IFERROR(Captura_NoFin!I77/Captura_NoFin!H77,""))</f>
        <v>0.74575142365550795</v>
      </c>
      <c r="K77" s="23">
        <f>IF(OR(E77="",COUNT(Captura_NoFin!L77)&lt;1),"",IFERROR(E77/ABS(Captura_NoFin!L77),""))</f>
        <v>-0.88050025473073068</v>
      </c>
      <c r="L77" s="23">
        <f>IF(COUNT(Captura_NoFin!K77,Captura_NoFin!H77)&lt;2,"",IFERROR(Captura_NoFin!K77/Captura_NoFin!H77,""))</f>
        <v>0.42555475294194672</v>
      </c>
      <c r="M77" s="24">
        <f>IF(COUNT(Captura_NoFin!R77)&lt;1,"",IFERROR(IF(D77=2017,Captura_NoFin!R77/INDEX(Empresas!$I$2:$I$23,MATCH($A77,Empresas!$B$2:$B$23,0))-1,IF(COUNT(Captura_NoFin!R76)&lt;1,"",Captura_NoFin!R77/Captura_NoFin!R76-1)),""))</f>
        <v>-0.31022844958799656</v>
      </c>
      <c r="N77" s="24">
        <f>IF(COUNT(Captura_NoFin!P77,Captura_NoFin!O77)&lt;2,"",IF(Captura_NoFin!O77&lt;=0,"",Captura_NoFin!P77/Captura_NoFin!O77))</f>
        <v>-8.7785879739051165E-2</v>
      </c>
      <c r="O77" s="25">
        <f t="shared" si="2"/>
        <v>8</v>
      </c>
      <c r="P77" s="26" t="str">
        <f>IF(COUNT(Captura_NoFin!H77,Captura_NoFin!I77,Captura_NoFin!J77)&lt;3,"",IF(ABS(Captura_NoFin!H77-Captura_NoFin!I77-Captura_NoFin!J77)&lt;=0.005*ABS(Captura_NoFin!H77),"OK","REVISAR"))</f>
        <v>OK</v>
      </c>
    </row>
    <row r="78" spans="1:16" ht="15" customHeight="1" x14ac:dyDescent="0.2">
      <c r="A78" s="20" t="str">
        <f>Captura_NoFin!A78</f>
        <v>RIPLEY</v>
      </c>
      <c r="B78" s="20">
        <f>Captura_NoFin!B78</f>
        <v>2</v>
      </c>
      <c r="C78" s="20" t="str">
        <f>Captura_NoFin!C78</f>
        <v>Consumo</v>
      </c>
      <c r="D78" s="21">
        <f>Captura_NoFin!D78</f>
        <v>2021</v>
      </c>
      <c r="E78" s="22">
        <f>IF(COUNT(Captura_NoFin!M78,Captura_NoFin!L78)&lt;2,"",Captura_NoFin!M78+ABS(Captura_NoFin!L78))</f>
        <v>139995110</v>
      </c>
      <c r="F78" s="23">
        <f>IF(COUNT(Captura_NoFin!F78,Captura_NoFin!G78)&lt;2,"",IFERROR(Captura_NoFin!F78/Captura_NoFin!G78,""))</f>
        <v>1.0365658361981145</v>
      </c>
      <c r="G78" s="24">
        <f>IF(COUNT(Captura_NoFin!F78,Captura_NoFin!G78,Captura_NoFin!H78)&lt;3,"",IFERROR((Captura_NoFin!F78-Captura_NoFin!G78)/Captura_NoFin!H78,""))</f>
        <v>1.6092779491732483E-2</v>
      </c>
      <c r="H78" s="24">
        <f>IF(OR(E78="",COUNT(Captura_NoFin!K78)&lt;1),"",IFERROR(E78/Captura_NoFin!K78,""))</f>
        <v>6.7886420284699961E-2</v>
      </c>
      <c r="I78" s="24">
        <f>IF(COUNT(Captura_NoFin!N78,Captura_NoFin!H78)&lt;2,"",IFERROR(Captura_NoFin!N78/Captura_NoFin!H78,""))</f>
        <v>2.2219791530392902E-2</v>
      </c>
      <c r="J78" s="24">
        <f>IF(COUNT(Captura_NoFin!I78,Captura_NoFin!H78)&lt;2,"",IFERROR(Captura_NoFin!I78/Captura_NoFin!H78,""))</f>
        <v>0.7251283111419301</v>
      </c>
      <c r="K78" s="23">
        <f>IF(OR(E78="",COUNT(Captura_NoFin!L78)&lt;1),"",IFERROR(E78/ABS(Captura_NoFin!L78),""))</f>
        <v>3.2698203051862587</v>
      </c>
      <c r="L78" s="23">
        <f>IF(COUNT(Captura_NoFin!K78,Captura_NoFin!H78)&lt;2,"",IFERROR(Captura_NoFin!K78/Captura_NoFin!H78,""))</f>
        <v>0.58302943412951858</v>
      </c>
      <c r="M78" s="24">
        <f>IF(COUNT(Captura_NoFin!R78)&lt;1,"",IFERROR(IF(D78=2017,Captura_NoFin!R78/INDEX(Empresas!$I$2:$I$23,MATCH($A78,Empresas!$B$2:$B$23,0))-1,IF(COUNT(Captura_NoFin!R77)&lt;1,"",Captura_NoFin!R78/Captura_NoFin!R77-1)),""))</f>
        <v>-0.31107134238991896</v>
      </c>
      <c r="N78" s="24">
        <f>IF(COUNT(Captura_NoFin!P78,Captura_NoFin!O78)&lt;2,"",IF(Captura_NoFin!O78&lt;=0,"",Captura_NoFin!P78/Captura_NoFin!O78))</f>
        <v>8.0830069973916258E-2</v>
      </c>
      <c r="O78" s="25">
        <f t="shared" si="2"/>
        <v>8</v>
      </c>
      <c r="P78" s="26" t="str">
        <f>IF(COUNT(Captura_NoFin!H78,Captura_NoFin!I78,Captura_NoFin!J78)&lt;3,"",IF(ABS(Captura_NoFin!H78-Captura_NoFin!I78-Captura_NoFin!J78)&lt;=0.005*ABS(Captura_NoFin!H78),"OK","REVISAR"))</f>
        <v>OK</v>
      </c>
    </row>
    <row r="79" spans="1:16" ht="15" customHeight="1" x14ac:dyDescent="0.2">
      <c r="A79" s="20" t="str">
        <f>Captura_NoFin!A79</f>
        <v>RIPLEY</v>
      </c>
      <c r="B79" s="20">
        <f>Captura_NoFin!B79</f>
        <v>2</v>
      </c>
      <c r="C79" s="20" t="str">
        <f>Captura_NoFin!C79</f>
        <v>Consumo</v>
      </c>
      <c r="D79" s="21">
        <f>Captura_NoFin!D79</f>
        <v>2022</v>
      </c>
      <c r="E79" s="22">
        <f>IF(COUNT(Captura_NoFin!M79,Captura_NoFin!L79)&lt;2,"",Captura_NoFin!M79+ABS(Captura_NoFin!L79))</f>
        <v>33212705</v>
      </c>
      <c r="F79" s="23">
        <f>IF(COUNT(Captura_NoFin!F79,Captura_NoFin!G79)&lt;2,"",IFERROR(Captura_NoFin!F79/Captura_NoFin!G79,""))</f>
        <v>1.0677144902214097</v>
      </c>
      <c r="G79" s="24">
        <f>IF(COUNT(Captura_NoFin!F79,Captura_NoFin!G79,Captura_NoFin!H79)&lt;3,"",IFERROR((Captura_NoFin!F79-Captura_NoFin!G79)/Captura_NoFin!H79,""))</f>
        <v>2.9686782397958501E-2</v>
      </c>
      <c r="H79" s="24">
        <f>IF(OR(E79="",COUNT(Captura_NoFin!K79)&lt;1),"",IFERROR(E79/Captura_NoFin!K79,""))</f>
        <v>1.6008426114481479E-2</v>
      </c>
      <c r="I79" s="24">
        <f>IF(COUNT(Captura_NoFin!N79,Captura_NoFin!H79)&lt;2,"",IFERROR(Captura_NoFin!N79/Captura_NoFin!H79,""))</f>
        <v>5.437576074421047E-3</v>
      </c>
      <c r="J79" s="24">
        <f>IF(COUNT(Captura_NoFin!I79,Captura_NoFin!H79)&lt;2,"",IFERROR(Captura_NoFin!I79/Captura_NoFin!H79,""))</f>
        <v>0.73813685933314832</v>
      </c>
      <c r="K79" s="23">
        <f>IF(OR(E79="",COUNT(Captura_NoFin!L79)&lt;1),"",IFERROR(E79/ABS(Captura_NoFin!L79),""))</f>
        <v>0.75467546542198904</v>
      </c>
      <c r="L79" s="23">
        <f>IF(COUNT(Captura_NoFin!K79,Captura_NoFin!H79)&lt;2,"",IFERROR(Captura_NoFin!K79/Captura_NoFin!H79,""))</f>
        <v>0.53675321395365383</v>
      </c>
      <c r="M79" s="24">
        <f>IF(COUNT(Captura_NoFin!R79)&lt;1,"",IFERROR(IF(D79=2017,Captura_NoFin!R79/INDEX(Empresas!$I$2:$I$23,MATCH($A79,Empresas!$B$2:$B$23,0))-1,IF(COUNT(Captura_NoFin!R78)&lt;1,"",Captura_NoFin!R79/Captura_NoFin!R78-1)),""))</f>
        <v>5.0355525389959022E-2</v>
      </c>
      <c r="N79" s="24">
        <f>IF(COUNT(Captura_NoFin!P79,Captura_NoFin!O79)&lt;2,"",IF(Captura_NoFin!O79&lt;=0,"",Captura_NoFin!P79/Captura_NoFin!O79))</f>
        <v>2.0583813287199968E-2</v>
      </c>
      <c r="O79" s="25">
        <f t="shared" si="2"/>
        <v>8</v>
      </c>
      <c r="P79" s="26" t="str">
        <f>IF(COUNT(Captura_NoFin!H79,Captura_NoFin!I79,Captura_NoFin!J79)&lt;3,"",IF(ABS(Captura_NoFin!H79-Captura_NoFin!I79-Captura_NoFin!J79)&lt;=0.005*ABS(Captura_NoFin!H79),"OK","REVISAR"))</f>
        <v>OK</v>
      </c>
    </row>
    <row r="80" spans="1:16" ht="15" customHeight="1" x14ac:dyDescent="0.2">
      <c r="A80" s="20" t="str">
        <f>Captura_NoFin!A80</f>
        <v>RIPLEY</v>
      </c>
      <c r="B80" s="20">
        <f>Captura_NoFin!B80</f>
        <v>2</v>
      </c>
      <c r="C80" s="20" t="str">
        <f>Captura_NoFin!C80</f>
        <v>Consumo</v>
      </c>
      <c r="D80" s="21">
        <f>Captura_NoFin!D80</f>
        <v>2023</v>
      </c>
      <c r="E80" s="22">
        <f>IF(COUNT(Captura_NoFin!M80,Captura_NoFin!L80)&lt;2,"",Captura_NoFin!M80+ABS(Captura_NoFin!L80))</f>
        <v>-40225281</v>
      </c>
      <c r="F80" s="23">
        <f>IF(COUNT(Captura_NoFin!F80,Captura_NoFin!G80)&lt;2,"",IFERROR(Captura_NoFin!F80/Captura_NoFin!G80,""))</f>
        <v>0.84331978880499525</v>
      </c>
      <c r="G80" s="24">
        <f>IF(COUNT(Captura_NoFin!F80,Captura_NoFin!G80,Captura_NoFin!H80)&lt;3,"",IFERROR((Captura_NoFin!F80-Captura_NoFin!G80)/Captura_NoFin!H80,""))</f>
        <v>-7.5351777981979548E-2</v>
      </c>
      <c r="H80" s="24">
        <f>IF(OR(E80="",COUNT(Captura_NoFin!K80)&lt;1),"",IFERROR(E80/Captura_NoFin!K80,""))</f>
        <v>-2.0880871027264249E-2</v>
      </c>
      <c r="I80" s="24">
        <f>IF(COUNT(Captura_NoFin!N80,Captura_NoFin!H80)&lt;2,"",IFERROR(Captura_NoFin!N80/Captura_NoFin!H80,""))</f>
        <v>-1.3344889570095683E-2</v>
      </c>
      <c r="J80" s="24">
        <f>IF(COUNT(Captura_NoFin!I80,Captura_NoFin!H80)&lt;2,"",IFERROR(Captura_NoFin!I80/Captura_NoFin!H80,""))</f>
        <v>0.74540682466962938</v>
      </c>
      <c r="K80" s="23">
        <f>IF(OR(E80="",COUNT(Captura_NoFin!L80)&lt;1),"",IFERROR(E80/ABS(Captura_NoFin!L80),""))</f>
        <v>-0.94242360324836216</v>
      </c>
      <c r="L80" s="23">
        <f>IF(COUNT(Captura_NoFin!K80,Captura_NoFin!H80)&lt;2,"",IFERROR(Captura_NoFin!K80/Captura_NoFin!H80,""))</f>
        <v>0.51559847802632208</v>
      </c>
      <c r="M80" s="24">
        <f>IF(COUNT(Captura_NoFin!R80)&lt;1,"",IFERROR(IF(D80=2017,Captura_NoFin!R80/INDEX(Empresas!$I$2:$I$23,MATCH($A80,Empresas!$B$2:$B$23,0))-1,IF(COUNT(Captura_NoFin!R79)&lt;1,"",Captura_NoFin!R80/Captura_NoFin!R79-1)),""))</f>
        <v>0.4263533380760407</v>
      </c>
      <c r="N80" s="24">
        <f>IF(COUNT(Captura_NoFin!P80,Captura_NoFin!O80)&lt;2,"",IF(Captura_NoFin!O80&lt;=0,"",Captura_NoFin!P80/Captura_NoFin!O80))</f>
        <v>-5.3452417312648166E-2</v>
      </c>
      <c r="O80" s="25">
        <f t="shared" si="2"/>
        <v>8</v>
      </c>
      <c r="P80" s="26" t="str">
        <f>IF(COUNT(Captura_NoFin!H80,Captura_NoFin!I80,Captura_NoFin!J80)&lt;3,"",IF(ABS(Captura_NoFin!H80-Captura_NoFin!I80-Captura_NoFin!J80)&lt;=0.005*ABS(Captura_NoFin!H80),"OK","REVISAR"))</f>
        <v>OK</v>
      </c>
    </row>
    <row r="81" spans="1:16" ht="15" customHeight="1" x14ac:dyDescent="0.2">
      <c r="A81" s="20" t="str">
        <f>Captura_NoFin!A81</f>
        <v>RIPLEY</v>
      </c>
      <c r="B81" s="20">
        <f>Captura_NoFin!B81</f>
        <v>2</v>
      </c>
      <c r="C81" s="20" t="str">
        <f>Captura_NoFin!C81</f>
        <v>Consumo</v>
      </c>
      <c r="D81" s="21">
        <f>Captura_NoFin!D81</f>
        <v>2024</v>
      </c>
      <c r="E81" s="22">
        <f>IF(COUNT(Captura_NoFin!M81,Captura_NoFin!L81)&lt;2,"",Captura_NoFin!M81+ABS(Captura_NoFin!L81))</f>
        <v>121997739</v>
      </c>
      <c r="F81" s="23">
        <f>IF(COUNT(Captura_NoFin!F81,Captura_NoFin!G81)&lt;2,"",IFERROR(Captura_NoFin!F81/Captura_NoFin!G81,""))</f>
        <v>0.85509857506090592</v>
      </c>
      <c r="G81" s="24">
        <f>IF(COUNT(Captura_NoFin!F81,Captura_NoFin!G81,Captura_NoFin!H81)&lt;3,"",IFERROR((Captura_NoFin!F81-Captura_NoFin!G81)/Captura_NoFin!H81,""))</f>
        <v>-6.7807753839353363E-2</v>
      </c>
      <c r="H81" s="24">
        <f>IF(OR(E81="",COUNT(Captura_NoFin!K81)&lt;1),"",IFERROR(E81/Captura_NoFin!K81,""))</f>
        <v>5.8447003847743449E-2</v>
      </c>
      <c r="I81" s="24">
        <f>IF(COUNT(Captura_NoFin!N81,Captura_NoFin!H81)&lt;2,"",IFERROR(Captura_NoFin!N81/Captura_NoFin!H81,""))</f>
        <v>1.3704140473701913E-2</v>
      </c>
      <c r="J81" s="24">
        <f>IF(COUNT(Captura_NoFin!I81,Captura_NoFin!H81)&lt;2,"",IFERROR(Captura_NoFin!I81/Captura_NoFin!H81,""))</f>
        <v>0.73255038707013553</v>
      </c>
      <c r="K81" s="23">
        <f>IF(OR(E81="",COUNT(Captura_NoFin!L81)&lt;1),"",IFERROR(E81/ABS(Captura_NoFin!L81),""))</f>
        <v>2.3905767947543817</v>
      </c>
      <c r="L81" s="23">
        <f>IF(COUNT(Captura_NoFin!K81,Captura_NoFin!H81)&lt;2,"",IFERROR(Captura_NoFin!K81/Captura_NoFin!H81,""))</f>
        <v>0.52921962681664092</v>
      </c>
      <c r="M81" s="24">
        <f>IF(COUNT(Captura_NoFin!R81)&lt;1,"",IFERROR(IF(D81=2017,Captura_NoFin!R81/INDEX(Empresas!$I$2:$I$23,MATCH($A81,Empresas!$B$2:$B$23,0))-1,IF(COUNT(Captura_NoFin!R80)&lt;1,"",Captura_NoFin!R81/Captura_NoFin!R80-1)),""))</f>
        <v>0.55309297224856557</v>
      </c>
      <c r="N81" s="24">
        <f>IF(COUNT(Captura_NoFin!P81,Captura_NoFin!O81)&lt;2,"",IF(Captura_NoFin!O81&lt;=0,"",Captura_NoFin!P81/Captura_NoFin!O81))</f>
        <v>5.1236477189428593E-2</v>
      </c>
      <c r="O81" s="25">
        <f t="shared" si="2"/>
        <v>8</v>
      </c>
      <c r="P81" s="26" t="str">
        <f>IF(COUNT(Captura_NoFin!H81,Captura_NoFin!I81,Captura_NoFin!J81)&lt;3,"",IF(ABS(Captura_NoFin!H81-Captura_NoFin!I81-Captura_NoFin!J81)&lt;=0.005*ABS(Captura_NoFin!H81),"OK","REVISAR"))</f>
        <v>OK</v>
      </c>
    </row>
    <row r="82" spans="1:16" ht="15" customHeight="1" x14ac:dyDescent="0.2">
      <c r="A82" s="20" t="str">
        <f>Captura_NoFin!A82</f>
        <v>RIPLEY</v>
      </c>
      <c r="B82" s="20">
        <f>Captura_NoFin!B82</f>
        <v>2</v>
      </c>
      <c r="C82" s="20" t="str">
        <f>Captura_NoFin!C82</f>
        <v>Consumo</v>
      </c>
      <c r="D82" s="21">
        <f>Captura_NoFin!D82</f>
        <v>2025</v>
      </c>
      <c r="E82" s="22">
        <f>IF(COUNT(Captura_NoFin!M82,Captura_NoFin!L82)&lt;2,"",Captura_NoFin!M82+ABS(Captura_NoFin!L82))</f>
        <v>195829054</v>
      </c>
      <c r="F82" s="23">
        <f>IF(COUNT(Captura_NoFin!F82,Captura_NoFin!G82)&lt;2,"",IFERROR(Captura_NoFin!F82/Captura_NoFin!G82,""))</f>
        <v>0.83262168554590987</v>
      </c>
      <c r="G82" s="24">
        <f>IF(COUNT(Captura_NoFin!F82,Captura_NoFin!G82,Captura_NoFin!H82)&lt;3,"",IFERROR((Captura_NoFin!F82-Captura_NoFin!G82)/Captura_NoFin!H82,""))</f>
        <v>-7.6697436203425909E-2</v>
      </c>
      <c r="H82" s="24">
        <f>IF(OR(E82="",COUNT(Captura_NoFin!K82)&lt;1),"",IFERROR(E82/Captura_NoFin!K82,""))</f>
        <v>8.8219020486243943E-2</v>
      </c>
      <c r="I82" s="24">
        <f>IF(COUNT(Captura_NoFin!N82,Captura_NoFin!H82)&lt;2,"",IFERROR(Captura_NoFin!N82/Captura_NoFin!H82,""))</f>
        <v>2.8885760870777221E-2</v>
      </c>
      <c r="J82" s="24">
        <f>IF(COUNT(Captura_NoFin!I82,Captura_NoFin!H82)&lt;2,"",IFERROR(Captura_NoFin!I82/Captura_NoFin!H82,""))</f>
        <v>0.71929680675066399</v>
      </c>
      <c r="K82" s="23">
        <f>IF(OR(E82="",COUNT(Captura_NoFin!L82)&lt;1),"",IFERROR(E82/ABS(Captura_NoFin!L82),""))</f>
        <v>3.6956523232466432</v>
      </c>
      <c r="L82" s="23">
        <f>IF(COUNT(Captura_NoFin!K82,Captura_NoFin!H82)&lt;2,"",IFERROR(Captura_NoFin!K82/Captura_NoFin!H82,""))</f>
        <v>0.53803563219467188</v>
      </c>
      <c r="M82" s="24">
        <f>IF(COUNT(Captura_NoFin!R82)&lt;1,"",IFERROR(IF(D82=2017,Captura_NoFin!R82/INDEX(Empresas!$I$2:$I$23,MATCH($A82,Empresas!$B$2:$B$23,0))-1,IF(COUNT(Captura_NoFin!R81)&lt;1,"",Captura_NoFin!R82/Captura_NoFin!R81-1)),""))</f>
        <v>0.56378709778645453</v>
      </c>
      <c r="N82" s="24">
        <f>IF(COUNT(Captura_NoFin!P82,Captura_NoFin!O82)&lt;2,"",IF(Captura_NoFin!O82&lt;=0,"",Captura_NoFin!P82/Captura_NoFin!O82))</f>
        <v>0.10305293556450182</v>
      </c>
      <c r="O82" s="25">
        <f t="shared" si="2"/>
        <v>8</v>
      </c>
      <c r="P82" s="26" t="str">
        <f>IF(COUNT(Captura_NoFin!H82,Captura_NoFin!I82,Captura_NoFin!J82)&lt;3,"",IF(ABS(Captura_NoFin!H82-Captura_NoFin!I82-Captura_NoFin!J82)&lt;=0.005*ABS(Captura_NoFin!H82),"OK","REVISAR"))</f>
        <v>OK</v>
      </c>
    </row>
    <row r="83" spans="1:16" ht="15" customHeight="1" x14ac:dyDescent="0.2">
      <c r="A83" s="20" t="str">
        <f>Captura_NoFin!A83</f>
        <v>CCU</v>
      </c>
      <c r="B83" s="20">
        <f>Captura_NoFin!B83</f>
        <v>2</v>
      </c>
      <c r="C83" s="20" t="str">
        <f>Captura_NoFin!C83</f>
        <v>Consumo</v>
      </c>
      <c r="D83" s="21">
        <f>Captura_NoFin!D83</f>
        <v>2017</v>
      </c>
      <c r="E83" s="22">
        <f>IF(COUNT(Captura_NoFin!M83,Captura_NoFin!L83)&lt;2,"",Captura_NoFin!M83+ABS(Captura_NoFin!L83))</f>
        <v>220640708</v>
      </c>
      <c r="F83" s="23">
        <f>IF(COUNT(Captura_NoFin!F83,Captura_NoFin!G83)&lt;2,"",IFERROR(Captura_NoFin!F83/Captura_NoFin!G83,""))</f>
        <v>1.5554291215122587</v>
      </c>
      <c r="G83" s="24">
        <f>IF(COUNT(Captura_NoFin!F83,Captura_NoFin!G83,Captura_NoFin!H83)&lt;3,"",IFERROR((Captura_NoFin!F83-Captura_NoFin!G83)/Captura_NoFin!H83,""))</f>
        <v>0.13174439123109619</v>
      </c>
      <c r="H83" s="24">
        <f>IF(OR(E83="",COUNT(Captura_NoFin!K83)&lt;1),"",IFERROR(E83/Captura_NoFin!K83,""))</f>
        <v>0.12991391980990347</v>
      </c>
      <c r="I83" s="24">
        <f>IF(COUNT(Captura_NoFin!N83,Captura_NoFin!H83)&lt;2,"",IFERROR(Captura_NoFin!N83/Captura_NoFin!H83,""))</f>
        <v>7.4944964616847576E-2</v>
      </c>
      <c r="J83" s="24">
        <f>IF(COUNT(Captura_NoFin!I83,Captura_NoFin!H83)&lt;2,"",IFERROR(Captura_NoFin!I83/Captura_NoFin!H83,""))</f>
        <v>0.37920729126481073</v>
      </c>
      <c r="K83" s="23">
        <f>IF(OR(E83="",COUNT(Captura_NoFin!L83)&lt;1),"",IFERROR(E83/ABS(Captura_NoFin!L83),""))</f>
        <v>9.1300939452369096</v>
      </c>
      <c r="L83" s="23">
        <f>IF(COUNT(Captura_NoFin!K83,Captura_NoFin!H83)&lt;2,"",IFERROR(Captura_NoFin!K83/Captura_NoFin!H83,""))</f>
        <v>0.8593946952669258</v>
      </c>
      <c r="M83" s="24">
        <f>IF(COUNT(Captura_NoFin!R83)&lt;1,"",IFERROR(IF(D83=2017,Captura_NoFin!R83/INDEX(Empresas!$I$2:$I$23,MATCH($A83,Empresas!$B$2:$B$23,0))-1,IF(COUNT(Captura_NoFin!R82)&lt;1,"",Captura_NoFin!R83/Captura_NoFin!R82-1)),""))</f>
        <v>0.34894183283606917</v>
      </c>
      <c r="N83" s="24">
        <f>IF(COUNT(Captura_NoFin!P83,Captura_NoFin!O83)&lt;2,"",IF(Captura_NoFin!O83&lt;=0,"",Captura_NoFin!P83/Captura_NoFin!O83))</f>
        <v>0.11770961185326015</v>
      </c>
      <c r="O83" s="25">
        <f t="shared" si="2"/>
        <v>8</v>
      </c>
      <c r="P83" s="26" t="str">
        <f>IF(COUNT(Captura_NoFin!H83,Captura_NoFin!I83,Captura_NoFin!J83)&lt;3,"",IF(ABS(Captura_NoFin!H83-Captura_NoFin!I83-Captura_NoFin!J83)&lt;=0.005*ABS(Captura_NoFin!H83),"OK","REVISAR"))</f>
        <v>OK</v>
      </c>
    </row>
    <row r="84" spans="1:16" ht="15" customHeight="1" x14ac:dyDescent="0.2">
      <c r="A84" s="20" t="str">
        <f>Captura_NoFin!A84</f>
        <v>CCU</v>
      </c>
      <c r="B84" s="20">
        <f>Captura_NoFin!B84</f>
        <v>2</v>
      </c>
      <c r="C84" s="20" t="str">
        <f>Captura_NoFin!C84</f>
        <v>Consumo</v>
      </c>
      <c r="D84" s="21">
        <f>Captura_NoFin!D84</f>
        <v>2018</v>
      </c>
      <c r="E84" s="22">
        <f>IF(COUNT(Captura_NoFin!M84,Captura_NoFin!L84)&lt;2,"",Captura_NoFin!M84+ABS(Captura_NoFin!L84))</f>
        <v>481772010</v>
      </c>
      <c r="F84" s="23">
        <f>IF(COUNT(Captura_NoFin!F84,Captura_NoFin!G84)&lt;2,"",IFERROR(Captura_NoFin!F84/Captura_NoFin!G84,""))</f>
        <v>1.4572896500115153</v>
      </c>
      <c r="G84" s="24">
        <f>IF(COUNT(Captura_NoFin!F84,Captura_NoFin!G84,Captura_NoFin!H84)&lt;3,"",IFERROR((Captura_NoFin!F84-Captura_NoFin!G84)/Captura_NoFin!H84,""))</f>
        <v>0.12273466063545191</v>
      </c>
      <c r="H84" s="24">
        <f>IF(OR(E84="",COUNT(Captura_NoFin!K84)&lt;1),"",IFERROR(E84/Captura_NoFin!K84,""))</f>
        <v>0.27016025449479902</v>
      </c>
      <c r="I84" s="24">
        <f>IF(COUNT(Captura_NoFin!N84,Captura_NoFin!H84)&lt;2,"",IFERROR(Captura_NoFin!N84/Captura_NoFin!H84,""))</f>
        <v>0.13387473621565543</v>
      </c>
      <c r="J84" s="24">
        <f>IF(COUNT(Captura_NoFin!I84,Captura_NoFin!H84)&lt;2,"",IFERROR(Captura_NoFin!I84/Captura_NoFin!H84,""))</f>
        <v>0.42261266051896657</v>
      </c>
      <c r="K84" s="23">
        <f>IF(OR(E84="",COUNT(Captura_NoFin!L84)&lt;1),"",IFERROR(E84/ABS(Captura_NoFin!L84),""))</f>
        <v>20.448152517955567</v>
      </c>
      <c r="L84" s="23">
        <f>IF(COUNT(Captura_NoFin!K84,Captura_NoFin!H84)&lt;2,"",IFERROR(Captura_NoFin!K84/Captura_NoFin!H84,""))</f>
        <v>0.74122296939467902</v>
      </c>
      <c r="M84" s="24">
        <f>IF(COUNT(Captura_NoFin!R84)&lt;1,"",IFERROR(IF(D84=2017,Captura_NoFin!R84/INDEX(Empresas!$I$2:$I$23,MATCH($A84,Empresas!$B$2:$B$23,0))-1,IF(COUNT(Captura_NoFin!R83)&lt;1,"",Captura_NoFin!R84/Captura_NoFin!R83-1)),""))</f>
        <v>-1.3889199339904068E-2</v>
      </c>
      <c r="N84" s="24">
        <f>IF(COUNT(Captura_NoFin!P84,Captura_NoFin!O84)&lt;2,"",IF(Captura_NoFin!O84&lt;=0,"",Captura_NoFin!P84/Captura_NoFin!O84))</f>
        <v>0.23973469976223635</v>
      </c>
      <c r="O84" s="25">
        <f t="shared" si="2"/>
        <v>8</v>
      </c>
      <c r="P84" s="26" t="str">
        <f>IF(COUNT(Captura_NoFin!H84,Captura_NoFin!I84,Captura_NoFin!J84)&lt;3,"",IF(ABS(Captura_NoFin!H84-Captura_NoFin!I84-Captura_NoFin!J84)&lt;=0.005*ABS(Captura_NoFin!H84),"OK","REVISAR"))</f>
        <v>OK</v>
      </c>
    </row>
    <row r="85" spans="1:16" ht="15" customHeight="1" x14ac:dyDescent="0.2">
      <c r="A85" s="20" t="str">
        <f>Captura_NoFin!A85</f>
        <v>CCU</v>
      </c>
      <c r="B85" s="20">
        <f>Captura_NoFin!B85</f>
        <v>2</v>
      </c>
      <c r="C85" s="20" t="str">
        <f>Captura_NoFin!C85</f>
        <v>Consumo</v>
      </c>
      <c r="D85" s="21">
        <f>Captura_NoFin!D85</f>
        <v>2019</v>
      </c>
      <c r="E85" s="22">
        <f>IF(COUNT(Captura_NoFin!M85,Captura_NoFin!L85)&lt;2,"",Captura_NoFin!M85+ABS(Captura_NoFin!L85))</f>
        <v>213341777</v>
      </c>
      <c r="F85" s="23">
        <f>IF(COUNT(Captura_NoFin!F85,Captura_NoFin!G85)&lt;2,"",IFERROR(Captura_NoFin!F85/Captura_NoFin!G85,""))</f>
        <v>1.6331702081448944</v>
      </c>
      <c r="G85" s="24">
        <f>IF(COUNT(Captura_NoFin!F85,Captura_NoFin!G85,Captura_NoFin!H85)&lt;3,"",IFERROR((Captura_NoFin!F85-Captura_NoFin!G85)/Captura_NoFin!H85,""))</f>
        <v>0.13000848419882918</v>
      </c>
      <c r="H85" s="24">
        <f>IF(OR(E85="",COUNT(Captura_NoFin!K85)&lt;1),"",IFERROR(E85/Captura_NoFin!K85,""))</f>
        <v>0.11705734601766207</v>
      </c>
      <c r="I85" s="24">
        <f>IF(COUNT(Captura_NoFin!N85,Captura_NoFin!H85)&lt;2,"",IFERROR(Captura_NoFin!N85/Captura_NoFin!H85,""))</f>
        <v>6.1879693510147403E-2</v>
      </c>
      <c r="J85" s="24">
        <f>IF(COUNT(Captura_NoFin!I85,Captura_NoFin!H85)&lt;2,"",IFERROR(Captura_NoFin!I85/Captura_NoFin!H85,""))</f>
        <v>0.38695121902919655</v>
      </c>
      <c r="K85" s="23">
        <f>IF(OR(E85="",COUNT(Captura_NoFin!L85)&lt;1),"",IFERROR(E85/ABS(Captura_NoFin!L85),""))</f>
        <v>7.696255940117033</v>
      </c>
      <c r="L85" s="23">
        <f>IF(COUNT(Captura_NoFin!K85,Captura_NoFin!H85)&lt;2,"",IFERROR(Captura_NoFin!K85/Captura_NoFin!H85,""))</f>
        <v>0.77433312973507362</v>
      </c>
      <c r="M85" s="24">
        <f>IF(COUNT(Captura_NoFin!R85)&lt;1,"",IFERROR(IF(D85=2017,Captura_NoFin!R85/INDEX(Empresas!$I$2:$I$23,MATCH($A85,Empresas!$B$2:$B$23,0))-1,IF(COUNT(Captura_NoFin!R84)&lt;1,"",Captura_NoFin!R85/Captura_NoFin!R84-1)),""))</f>
        <v>-0.11896119166708552</v>
      </c>
      <c r="N85" s="24">
        <f>IF(COUNT(Captura_NoFin!P85,Captura_NoFin!O85)&lt;2,"",IF(Captura_NoFin!O85&lt;=0,"",Captura_NoFin!P85/Captura_NoFin!O85))</f>
        <v>9.7994264797195738E-2</v>
      </c>
      <c r="O85" s="25">
        <f t="shared" si="2"/>
        <v>8</v>
      </c>
      <c r="P85" s="26" t="str">
        <f>IF(COUNT(Captura_NoFin!H85,Captura_NoFin!I85,Captura_NoFin!J85)&lt;3,"",IF(ABS(Captura_NoFin!H85-Captura_NoFin!I85-Captura_NoFin!J85)&lt;=0.005*ABS(Captura_NoFin!H85),"OK","REVISAR"))</f>
        <v>OK</v>
      </c>
    </row>
    <row r="86" spans="1:16" ht="15" customHeight="1" x14ac:dyDescent="0.2">
      <c r="A86" s="20" t="str">
        <f>Captura_NoFin!A86</f>
        <v>CCU</v>
      </c>
      <c r="B86" s="20">
        <f>Captura_NoFin!B86</f>
        <v>2</v>
      </c>
      <c r="C86" s="20" t="str">
        <f>Captura_NoFin!C86</f>
        <v>Consumo</v>
      </c>
      <c r="D86" s="21">
        <f>Captura_NoFin!D86</f>
        <v>2020</v>
      </c>
      <c r="E86" s="22">
        <f>IF(COUNT(Captura_NoFin!M86,Captura_NoFin!L86)&lt;2,"",Captura_NoFin!M86+ABS(Captura_NoFin!L86))</f>
        <v>172317339</v>
      </c>
      <c r="F86" s="23">
        <f>IF(COUNT(Captura_NoFin!F86,Captura_NoFin!G86)&lt;2,"",IFERROR(Captura_NoFin!F86/Captura_NoFin!G86,""))</f>
        <v>1.8407704529297617</v>
      </c>
      <c r="G86" s="24">
        <f>IF(COUNT(Captura_NoFin!F86,Captura_NoFin!G86,Captura_NoFin!H86)&lt;3,"",IFERROR((Captura_NoFin!F86-Captura_NoFin!G86)/Captura_NoFin!H86,""))</f>
        <v>0.17363311243620025</v>
      </c>
      <c r="H86" s="24">
        <f>IF(OR(E86="",COUNT(Captura_NoFin!K86)&lt;1),"",IFERROR(E86/Captura_NoFin!K86,""))</f>
        <v>9.2763741091931085E-2</v>
      </c>
      <c r="I86" s="24">
        <f>IF(COUNT(Captura_NoFin!N86,Captura_NoFin!H86)&lt;2,"",IFERROR(Captura_NoFin!N86/Captura_NoFin!H86,""))</f>
        <v>4.2843737707430433E-2</v>
      </c>
      <c r="J86" s="24">
        <f>IF(COUNT(Captura_NoFin!I86,Captura_NoFin!H86)&lt;2,"",IFERROR(Captura_NoFin!I86/Captura_NoFin!H86,""))</f>
        <v>0.44212636329928956</v>
      </c>
      <c r="K86" s="23">
        <f>IF(OR(E86="",COUNT(Captura_NoFin!L86)&lt;1),"",IFERROR(E86/ABS(Captura_NoFin!L86),""))</f>
        <v>6.0011479044257863</v>
      </c>
      <c r="L86" s="23">
        <f>IF(COUNT(Captura_NoFin!K86,Captura_NoFin!H86)&lt;2,"",IFERROR(Captura_NoFin!K86/Captura_NoFin!H86,""))</f>
        <v>0.73558262610204861</v>
      </c>
      <c r="M86" s="24">
        <f>IF(COUNT(Captura_NoFin!R86)&lt;1,"",IFERROR(IF(D86=2017,Captura_NoFin!R86/INDEX(Empresas!$I$2:$I$23,MATCH($A86,Empresas!$B$2:$B$23,0))-1,IF(COUNT(Captura_NoFin!R85)&lt;1,"",Captura_NoFin!R86/Captura_NoFin!R85-1)),""))</f>
        <v>-0.26066169885937707</v>
      </c>
      <c r="N86" s="24">
        <f>IF(COUNT(Captura_NoFin!P86,Captura_NoFin!O86)&lt;2,"",IF(Captura_NoFin!O86&lt;=0,"",Captura_NoFin!P86/Captura_NoFin!O86))</f>
        <v>7.4158696887175676E-2</v>
      </c>
      <c r="O86" s="25">
        <f t="shared" si="2"/>
        <v>8</v>
      </c>
      <c r="P86" s="26" t="str">
        <f>IF(COUNT(Captura_NoFin!H86,Captura_NoFin!I86,Captura_NoFin!J86)&lt;3,"",IF(ABS(Captura_NoFin!H86-Captura_NoFin!I86-Captura_NoFin!J86)&lt;=0.005*ABS(Captura_NoFin!H86),"OK","REVISAR"))</f>
        <v>OK</v>
      </c>
    </row>
    <row r="87" spans="1:16" ht="15" customHeight="1" x14ac:dyDescent="0.2">
      <c r="A87" s="20" t="str">
        <f>Captura_NoFin!A87</f>
        <v>CCU</v>
      </c>
      <c r="B87" s="20">
        <f>Captura_NoFin!B87</f>
        <v>2</v>
      </c>
      <c r="C87" s="20" t="str">
        <f>Captura_NoFin!C87</f>
        <v>Consumo</v>
      </c>
      <c r="D87" s="21">
        <f>Captura_NoFin!D87</f>
        <v>2021</v>
      </c>
      <c r="E87" s="22">
        <f>IF(COUNT(Captura_NoFin!M87,Captura_NoFin!L87)&lt;2,"",Captura_NoFin!M87+ABS(Captura_NoFin!L87))</f>
        <v>337340947</v>
      </c>
      <c r="F87" s="23">
        <f>IF(COUNT(Captura_NoFin!F87,Captura_NoFin!G87)&lt;2,"",IFERROR(Captura_NoFin!F87/Captura_NoFin!G87,""))</f>
        <v>1.3971976023246679</v>
      </c>
      <c r="G87" s="24">
        <f>IF(COUNT(Captura_NoFin!F87,Captura_NoFin!G87,Captura_NoFin!H87)&lt;3,"",IFERROR((Captura_NoFin!F87-Captura_NoFin!G87)/Captura_NoFin!H87,""))</f>
        <v>0.10898640223962827</v>
      </c>
      <c r="H87" s="24">
        <f>IF(OR(E87="",COUNT(Captura_NoFin!K87)&lt;1),"",IFERROR(E87/Captura_NoFin!K87,""))</f>
        <v>0.13576660352803505</v>
      </c>
      <c r="I87" s="24">
        <f>IF(COUNT(Captura_NoFin!N87,Captura_NoFin!H87)&lt;2,"",IFERROR(Captura_NoFin!N87/Captura_NoFin!H87,""))</f>
        <v>7.6947618155569414E-2</v>
      </c>
      <c r="J87" s="24">
        <f>IF(COUNT(Captura_NoFin!I87,Captura_NoFin!H87)&lt;2,"",IFERROR(Captura_NoFin!I87/Captura_NoFin!H87,""))</f>
        <v>0.4992482711790116</v>
      </c>
      <c r="K87" s="23">
        <f>IF(OR(E87="",COUNT(Captura_NoFin!L87)&lt;1),"",IFERROR(E87/ABS(Captura_NoFin!L87),""))</f>
        <v>9.4597948211203917</v>
      </c>
      <c r="L87" s="23">
        <f>IF(COUNT(Captura_NoFin!K87,Captura_NoFin!H87)&lt;2,"",IFERROR(Captura_NoFin!K87/Captura_NoFin!H87,""))</f>
        <v>0.87282400070645882</v>
      </c>
      <c r="M87" s="24">
        <f>IF(COUNT(Captura_NoFin!R87)&lt;1,"",IFERROR(IF(D87=2017,Captura_NoFin!R87/INDEX(Empresas!$I$2:$I$23,MATCH($A87,Empresas!$B$2:$B$23,0))-1,IF(COUNT(Captura_NoFin!R86)&lt;1,"",Captura_NoFin!R87/Captura_NoFin!R86-1)),""))</f>
        <v>0.48132533779813458</v>
      </c>
      <c r="N87" s="24">
        <f>IF(COUNT(Captura_NoFin!P87,Captura_NoFin!O87)&lt;2,"",IF(Captura_NoFin!O87&lt;=0,"",Captura_NoFin!P87/Captura_NoFin!O87))</f>
        <v>0.15230953968528024</v>
      </c>
      <c r="O87" s="25">
        <f t="shared" si="2"/>
        <v>8</v>
      </c>
      <c r="P87" s="26" t="str">
        <f>IF(COUNT(Captura_NoFin!H87,Captura_NoFin!I87,Captura_NoFin!J87)&lt;3,"",IF(ABS(Captura_NoFin!H87-Captura_NoFin!I87-Captura_NoFin!J87)&lt;=0.005*ABS(Captura_NoFin!H87),"OK","REVISAR"))</f>
        <v>OK</v>
      </c>
    </row>
    <row r="88" spans="1:16" ht="15" customHeight="1" x14ac:dyDescent="0.2">
      <c r="A88" s="20" t="str">
        <f>Captura_NoFin!A88</f>
        <v>CCU</v>
      </c>
      <c r="B88" s="20">
        <f>Captura_NoFin!B88</f>
        <v>2</v>
      </c>
      <c r="C88" s="20" t="str">
        <f>Captura_NoFin!C88</f>
        <v>Consumo</v>
      </c>
      <c r="D88" s="21">
        <f>Captura_NoFin!D88</f>
        <v>2022</v>
      </c>
      <c r="E88" s="22">
        <f>IF(COUNT(Captura_NoFin!M88,Captura_NoFin!L88)&lt;2,"",Captura_NoFin!M88+ABS(Captura_NoFin!L88))</f>
        <v>211679270</v>
      </c>
      <c r="F88" s="23">
        <f>IF(COUNT(Captura_NoFin!F88,Captura_NoFin!G88)&lt;2,"",IFERROR(Captura_NoFin!F88/Captura_NoFin!G88,""))</f>
        <v>2.084856534713901</v>
      </c>
      <c r="G88" s="24">
        <f>IF(COUNT(Captura_NoFin!F88,Captura_NoFin!G88,Captura_NoFin!H88)&lt;3,"",IFERROR((Captura_NoFin!F88-Captura_NoFin!G88)/Captura_NoFin!H88,""))</f>
        <v>0.24054993424387855</v>
      </c>
      <c r="H88" s="24">
        <f>IF(OR(E88="",COUNT(Captura_NoFin!K88)&lt;1),"",IFERROR(E88/Captura_NoFin!K88,""))</f>
        <v>7.8069094062587857E-2</v>
      </c>
      <c r="I88" s="24">
        <f>IF(COUNT(Captura_NoFin!N88,Captura_NoFin!H88)&lt;2,"",IFERROR(Captura_NoFin!N88/Captura_NoFin!H88,""))</f>
        <v>3.7686085004365072E-2</v>
      </c>
      <c r="J88" s="24">
        <f>IF(COUNT(Captura_NoFin!I88,Captura_NoFin!H88)&lt;2,"",IFERROR(Captura_NoFin!I88/Captura_NoFin!H88,""))</f>
        <v>0.60057371162415285</v>
      </c>
      <c r="K88" s="23">
        <f>IF(OR(E88="",COUNT(Captura_NoFin!L88)&lt;1),"",IFERROR(E88/ABS(Captura_NoFin!L88),""))</f>
        <v>2.7877891569141013</v>
      </c>
      <c r="L88" s="23">
        <f>IF(COUNT(Captura_NoFin!K88,Captura_NoFin!H88)&lt;2,"",IFERROR(Captura_NoFin!K88/Captura_NoFin!H88,""))</f>
        <v>0.75420733837513843</v>
      </c>
      <c r="M88" s="24">
        <f>IF(COUNT(Captura_NoFin!R88)&lt;1,"",IFERROR(IF(D88=2017,Captura_NoFin!R88/INDEX(Empresas!$I$2:$I$23,MATCH($A88,Empresas!$B$2:$B$23,0))-1,IF(COUNT(Captura_NoFin!R87)&lt;1,"",Captura_NoFin!R88/Captura_NoFin!R87-1)),""))</f>
        <v>-0.13287794398236208</v>
      </c>
      <c r="N88" s="24">
        <f>IF(COUNT(Captura_NoFin!P88,Captura_NoFin!O88)&lt;2,"",IF(Captura_NoFin!O88&lt;=0,"",Captura_NoFin!P88/Captura_NoFin!O88))</f>
        <v>8.9860082666984947E-2</v>
      </c>
      <c r="O88" s="25">
        <f t="shared" si="2"/>
        <v>8</v>
      </c>
      <c r="P88" s="26" t="str">
        <f>IF(COUNT(Captura_NoFin!H88,Captura_NoFin!I88,Captura_NoFin!J88)&lt;3,"",IF(ABS(Captura_NoFin!H88-Captura_NoFin!I88-Captura_NoFin!J88)&lt;=0.005*ABS(Captura_NoFin!H88),"OK","REVISAR"))</f>
        <v>OK</v>
      </c>
    </row>
    <row r="89" spans="1:16" ht="15" customHeight="1" x14ac:dyDescent="0.2">
      <c r="A89" s="20" t="str">
        <f>Captura_NoFin!A89</f>
        <v>CCU</v>
      </c>
      <c r="B89" s="20">
        <f>Captura_NoFin!B89</f>
        <v>2</v>
      </c>
      <c r="C89" s="20" t="str">
        <f>Captura_NoFin!C89</f>
        <v>Consumo</v>
      </c>
      <c r="D89" s="21">
        <f>Captura_NoFin!D89</f>
        <v>2023</v>
      </c>
      <c r="E89" s="22">
        <f>IF(COUNT(Captura_NoFin!M89,Captura_NoFin!L89)&lt;2,"",Captura_NoFin!M89+ABS(Captura_NoFin!L89))</f>
        <v>180181236</v>
      </c>
      <c r="F89" s="23">
        <f>IF(COUNT(Captura_NoFin!F89,Captura_NoFin!G89)&lt;2,"",IFERROR(Captura_NoFin!F89/Captura_NoFin!G89,""))</f>
        <v>2.3297797032062921</v>
      </c>
      <c r="G89" s="24">
        <f>IF(COUNT(Captura_NoFin!F89,Captura_NoFin!G89,Captura_NoFin!H89)&lt;3,"",IFERROR((Captura_NoFin!F89-Captura_NoFin!G89)/Captura_NoFin!H89,""))</f>
        <v>0.26700198491431937</v>
      </c>
      <c r="H89" s="24">
        <f>IF(OR(E89="",COUNT(Captura_NoFin!K89)&lt;1),"",IFERROR(E89/Captura_NoFin!K89,""))</f>
        <v>7.0230870538211476E-2</v>
      </c>
      <c r="I89" s="24">
        <f>IF(COUNT(Captura_NoFin!N89,Captura_NoFin!H89)&lt;2,"",IFERROR(Captura_NoFin!N89/Captura_NoFin!H89,""))</f>
        <v>3.4587412685692022E-2</v>
      </c>
      <c r="J89" s="24">
        <f>IF(COUNT(Captura_NoFin!I89,Captura_NoFin!H89)&lt;2,"",IFERROR(Captura_NoFin!I89/Captura_NoFin!H89,""))</f>
        <v>0.60940316475993306</v>
      </c>
      <c r="K89" s="23">
        <f>IF(OR(E89="",COUNT(Captura_NoFin!L89)&lt;1),"",IFERROR(E89/ABS(Captura_NoFin!L89),""))</f>
        <v>2.3393158369946616</v>
      </c>
      <c r="L89" s="23">
        <f>IF(COUNT(Captura_NoFin!K89,Captura_NoFin!H89)&lt;2,"",IFERROR(Captura_NoFin!K89/Captura_NoFin!H89,""))</f>
        <v>0.74929799044627532</v>
      </c>
      <c r="M89" s="24">
        <f>IF(COUNT(Captura_NoFin!R89)&lt;1,"",IFERROR(IF(D89=2017,Captura_NoFin!R89/INDEX(Empresas!$I$2:$I$23,MATCH($A89,Empresas!$B$2:$B$23,0))-1,IF(COUNT(Captura_NoFin!R88)&lt;1,"",Captura_NoFin!R89/Captura_NoFin!R88-1)),""))</f>
        <v>1.0647002706094977E-2</v>
      </c>
      <c r="N89" s="24">
        <f>IF(COUNT(Captura_NoFin!P89,Captura_NoFin!O89)&lt;2,"",IF(Captura_NoFin!O89&lt;=0,"",Captura_NoFin!P89/Captura_NoFin!O89))</f>
        <v>8.6716826980640677E-2</v>
      </c>
      <c r="O89" s="25">
        <f t="shared" si="2"/>
        <v>8</v>
      </c>
      <c r="P89" s="26" t="str">
        <f>IF(COUNT(Captura_NoFin!H89,Captura_NoFin!I89,Captura_NoFin!J89)&lt;3,"",IF(ABS(Captura_NoFin!H89-Captura_NoFin!I89-Captura_NoFin!J89)&lt;=0.005*ABS(Captura_NoFin!H89),"OK","REVISAR"))</f>
        <v>OK</v>
      </c>
    </row>
    <row r="90" spans="1:16" ht="15" customHeight="1" x14ac:dyDescent="0.2">
      <c r="A90" s="20" t="str">
        <f>Captura_NoFin!A90</f>
        <v>CCU</v>
      </c>
      <c r="B90" s="20">
        <f>Captura_NoFin!B90</f>
        <v>2</v>
      </c>
      <c r="C90" s="20" t="str">
        <f>Captura_NoFin!C90</f>
        <v>Consumo</v>
      </c>
      <c r="D90" s="21">
        <f>Captura_NoFin!D90</f>
        <v>2024</v>
      </c>
      <c r="E90" s="22">
        <f>IF(COUNT(Captura_NoFin!M90,Captura_NoFin!L90)&lt;2,"",Captura_NoFin!M90+ABS(Captura_NoFin!L90))</f>
        <v>262695001</v>
      </c>
      <c r="F90" s="23">
        <f>IF(COUNT(Captura_NoFin!F90,Captura_NoFin!G90)&lt;2,"",IFERROR(Captura_NoFin!F90/Captura_NoFin!G90,""))</f>
        <v>2.0595977300447661</v>
      </c>
      <c r="G90" s="24">
        <f>IF(COUNT(Captura_NoFin!F90,Captura_NoFin!G90,Captura_NoFin!H90)&lt;3,"",IFERROR((Captura_NoFin!F90-Captura_NoFin!G90)/Captura_NoFin!H90,""))</f>
        <v>0.22840232309309738</v>
      </c>
      <c r="H90" s="24">
        <f>IF(OR(E90="",COUNT(Captura_NoFin!K90)&lt;1),"",IFERROR(E90/Captura_NoFin!K90,""))</f>
        <v>9.0442069465558869E-2</v>
      </c>
      <c r="I90" s="24">
        <f>IF(COUNT(Captura_NoFin!N90,Captura_NoFin!H90)&lt;2,"",IFERROR(Captura_NoFin!N90/Captura_NoFin!H90,""))</f>
        <v>4.4249954932267015E-2</v>
      </c>
      <c r="J90" s="24">
        <f>IF(COUNT(Captura_NoFin!I90,Captura_NoFin!H90)&lt;2,"",IFERROR(Captura_NoFin!I90/Captura_NoFin!H90,""))</f>
        <v>0.58079349633268096</v>
      </c>
      <c r="K90" s="23">
        <f>IF(OR(E90="",COUNT(Captura_NoFin!L90)&lt;1),"",IFERROR(E90/ABS(Captura_NoFin!L90),""))</f>
        <v>2.703589249237778</v>
      </c>
      <c r="L90" s="23">
        <f>IF(COUNT(Captura_NoFin!K90,Captura_NoFin!H90)&lt;2,"",IFERROR(Captura_NoFin!K90/Captura_NoFin!H90,""))</f>
        <v>0.72801315513860543</v>
      </c>
      <c r="M90" s="24">
        <f>IF(COUNT(Captura_NoFin!R90)&lt;1,"",IFERROR(IF(D90=2017,Captura_NoFin!R90/INDEX(Empresas!$I$2:$I$23,MATCH($A90,Empresas!$B$2:$B$23,0))-1,IF(COUNT(Captura_NoFin!R89)&lt;1,"",Captura_NoFin!R90/Captura_NoFin!R89-1)),""))</f>
        <v>6.1008400895337989E-2</v>
      </c>
      <c r="N90" s="24">
        <f>IF(COUNT(Captura_NoFin!P90,Captura_NoFin!O90)&lt;2,"",IF(Captura_NoFin!O90&lt;=0,"",Captura_NoFin!P90/Captura_NoFin!O90))</f>
        <v>0.10552446393513051</v>
      </c>
      <c r="O90" s="25">
        <f t="shared" si="2"/>
        <v>8</v>
      </c>
      <c r="P90" s="26" t="str">
        <f>IF(COUNT(Captura_NoFin!H90,Captura_NoFin!I90,Captura_NoFin!J90)&lt;3,"",IF(ABS(Captura_NoFin!H90-Captura_NoFin!I90-Captura_NoFin!J90)&lt;=0.005*ABS(Captura_NoFin!H90),"OK","REVISAR"))</f>
        <v>OK</v>
      </c>
    </row>
    <row r="91" spans="1:16" ht="15" customHeight="1" x14ac:dyDescent="0.2">
      <c r="A91" s="20" t="str">
        <f>Captura_NoFin!A91</f>
        <v>CCU</v>
      </c>
      <c r="B91" s="20">
        <f>Captura_NoFin!B91</f>
        <v>2</v>
      </c>
      <c r="C91" s="20" t="str">
        <f>Captura_NoFin!C91</f>
        <v>Consumo</v>
      </c>
      <c r="D91" s="21">
        <f>Captura_NoFin!D91</f>
        <v>2025</v>
      </c>
      <c r="E91" s="22">
        <f>IF(COUNT(Captura_NoFin!M91,Captura_NoFin!L91)&lt;2,"",Captura_NoFin!M91+ABS(Captura_NoFin!L91))</f>
        <v>190188531</v>
      </c>
      <c r="F91" s="23">
        <f>IF(COUNT(Captura_NoFin!F91,Captura_NoFin!G91)&lt;2,"",IFERROR(Captura_NoFin!F91/Captura_NoFin!G91,""))</f>
        <v>1.8991972038211722</v>
      </c>
      <c r="G91" s="24">
        <f>IF(COUNT(Captura_NoFin!F91,Captura_NoFin!G91,Captura_NoFin!H91)&lt;3,"",IFERROR((Captura_NoFin!F91-Captura_NoFin!G91)/Captura_NoFin!H91,""))</f>
        <v>0.19626081403266243</v>
      </c>
      <c r="H91" s="24">
        <f>IF(OR(E91="",COUNT(Captura_NoFin!K91)&lt;1),"",IFERROR(E91/Captura_NoFin!K91,""))</f>
        <v>6.5365296805033987E-2</v>
      </c>
      <c r="I91" s="24">
        <f>IF(COUNT(Captura_NoFin!N91,Captura_NoFin!H91)&lt;2,"",IFERROR(Captura_NoFin!N91/Captura_NoFin!H91,""))</f>
        <v>3.7662032911052523E-2</v>
      </c>
      <c r="J91" s="24">
        <f>IF(COUNT(Captura_NoFin!I91,Captura_NoFin!H91)&lt;2,"",IFERROR(Captura_NoFin!I91/Captura_NoFin!H91,""))</f>
        <v>0.55657368703344368</v>
      </c>
      <c r="K91" s="23">
        <f>IF(OR(E91="",COUNT(Captura_NoFin!L91)&lt;1),"",IFERROR(E91/ABS(Captura_NoFin!L91),""))</f>
        <v>2.37891143454083</v>
      </c>
      <c r="L91" s="23">
        <f>IF(COUNT(Captura_NoFin!K91,Captura_NoFin!H91)&lt;2,"",IFERROR(Captura_NoFin!K91/Captura_NoFin!H91,""))</f>
        <v>0.79816641490825502</v>
      </c>
      <c r="M91" s="24">
        <f>IF(COUNT(Captura_NoFin!R91)&lt;1,"",IFERROR(IF(D91=2017,Captura_NoFin!R91/INDEX(Empresas!$I$2:$I$23,MATCH($A91,Empresas!$B$2:$B$23,0))-1,IF(COUNT(Captura_NoFin!R90)&lt;1,"",Captura_NoFin!R91/Captura_NoFin!R90-1)),""))</f>
        <v>5.0580372446467958E-2</v>
      </c>
      <c r="N91" s="24">
        <f>IF(COUNT(Captura_NoFin!P91,Captura_NoFin!O91)&lt;2,"",IF(Captura_NoFin!O91&lt;=0,"",Captura_NoFin!P91/Captura_NoFin!O91))</f>
        <v>7.959090658813367E-2</v>
      </c>
      <c r="O91" s="25">
        <f t="shared" si="2"/>
        <v>8</v>
      </c>
      <c r="P91" s="26" t="str">
        <f>IF(COUNT(Captura_NoFin!H91,Captura_NoFin!I91,Captura_NoFin!J91)&lt;3,"",IF(ABS(Captura_NoFin!H91-Captura_NoFin!I91-Captura_NoFin!J91)&lt;=0.005*ABS(Captura_NoFin!H91),"OK","REVISAR"))</f>
        <v>OK</v>
      </c>
    </row>
    <row r="92" spans="1:16" ht="15" customHeight="1" x14ac:dyDescent="0.2">
      <c r="A92" s="20" t="str">
        <f>Captura_NoFin!A92</f>
        <v>ANDINA-B</v>
      </c>
      <c r="B92" s="20">
        <f>Captura_NoFin!B92</f>
        <v>2</v>
      </c>
      <c r="C92" s="20" t="str">
        <f>Captura_NoFin!C92</f>
        <v>Consumo</v>
      </c>
      <c r="D92" s="21">
        <f>Captura_NoFin!D92</f>
        <v>2017</v>
      </c>
      <c r="E92" s="22">
        <f>IF(COUNT(Captura_NoFin!M92,Captura_NoFin!L92)&lt;2,"",Captura_NoFin!M92+ABS(Captura_NoFin!L92))</f>
        <v>226018728</v>
      </c>
      <c r="F92" s="23">
        <f>IF(COUNT(Captura_NoFin!F92,Captura_NoFin!G92)&lt;2,"",IFERROR(Captura_NoFin!F92/Captura_NoFin!G92,""))</f>
        <v>1.1301059478944837</v>
      </c>
      <c r="G92" s="24">
        <f>IF(COUNT(Captura_NoFin!F92,Captura_NoFin!G92,Captura_NoFin!H92)&lt;3,"",IFERROR((Captura_NoFin!F92-Captura_NoFin!G92)/Captura_NoFin!H92,""))</f>
        <v>2.6348194227318839E-2</v>
      </c>
      <c r="H92" s="24">
        <f>IF(OR(E92="",COUNT(Captura_NoFin!K92)&lt;1),"",IFERROR(E92/Captura_NoFin!K92,""))</f>
        <v>0.12224638528312172</v>
      </c>
      <c r="I92" s="24">
        <f>IF(COUNT(Captura_NoFin!N92,Captura_NoFin!H92)&lt;2,"",IFERROR(Captura_NoFin!N92/Captura_NoFin!H92,""))</f>
        <v>5.6268857036068959E-2</v>
      </c>
      <c r="J92" s="24">
        <f>IF(COUNT(Captura_NoFin!I92,Captura_NoFin!H92)&lt;2,"",IFERROR(Captura_NoFin!I92/Captura_NoFin!H92,""))</f>
        <v>0.61546695575304622</v>
      </c>
      <c r="K92" s="23">
        <f>IF(OR(E92="",COUNT(Captura_NoFin!L92)&lt;1),"",IFERROR(E92/ABS(Captura_NoFin!L92),""))</f>
        <v>4.0930318303378233</v>
      </c>
      <c r="L92" s="23">
        <f>IF(COUNT(Captura_NoFin!K92,Captura_NoFin!H92)&lt;2,"",IFERROR(Captura_NoFin!K92/Captura_NoFin!H92,""))</f>
        <v>0.87423237706791801</v>
      </c>
      <c r="M92" s="24">
        <f>IF(COUNT(Captura_NoFin!R92)&lt;1,"",IFERROR(IF(D92=2017,Captura_NoFin!R92/INDEX(Empresas!$I$2:$I$23,MATCH($A92,Empresas!$B$2:$B$23,0))-1,IF(COUNT(Captura_NoFin!R91)&lt;1,"",Captura_NoFin!R92/Captura_NoFin!R91-1)),""))</f>
        <v>0.2697499079702923</v>
      </c>
      <c r="N92" s="24">
        <f>IF(COUNT(Captura_NoFin!P92,Captura_NoFin!O92)&lt;2,"",IF(Captura_NoFin!O92&lt;=0,"",Captura_NoFin!P92/Captura_NoFin!O92))</f>
        <v>0.14891228679141164</v>
      </c>
      <c r="O92" s="25">
        <f t="shared" si="2"/>
        <v>8</v>
      </c>
      <c r="P92" s="26" t="str">
        <f>IF(COUNT(Captura_NoFin!H92,Captura_NoFin!I92,Captura_NoFin!J92)&lt;3,"",IF(ABS(Captura_NoFin!H92-Captura_NoFin!I92-Captura_NoFin!J92)&lt;=0.005*ABS(Captura_NoFin!H92),"OK","REVISAR"))</f>
        <v>OK</v>
      </c>
    </row>
    <row r="93" spans="1:16" ht="15" customHeight="1" x14ac:dyDescent="0.2">
      <c r="A93" s="20" t="str">
        <f>Captura_NoFin!A93</f>
        <v>ANDINA-B</v>
      </c>
      <c r="B93" s="20">
        <f>Captura_NoFin!B93</f>
        <v>2</v>
      </c>
      <c r="C93" s="20" t="str">
        <f>Captura_NoFin!C93</f>
        <v>Consumo</v>
      </c>
      <c r="D93" s="21">
        <f>Captura_NoFin!D93</f>
        <v>2018</v>
      </c>
      <c r="E93" s="22">
        <f>IF(COUNT(Captura_NoFin!M93,Captura_NoFin!L93)&lt;2,"",Captura_NoFin!M93+ABS(Captura_NoFin!L93))</f>
        <v>208030261</v>
      </c>
      <c r="F93" s="23">
        <f>IF(COUNT(Captura_NoFin!F93,Captura_NoFin!G93)&lt;2,"",IFERROR(Captura_NoFin!F93/Captura_NoFin!G93,""))</f>
        <v>1.1470110135041696</v>
      </c>
      <c r="G93" s="24">
        <f>IF(COUNT(Captura_NoFin!F93,Captura_NoFin!G93,Captura_NoFin!H93)&lt;3,"",IFERROR((Captura_NoFin!F93-Captura_NoFin!G93)/Captura_NoFin!H93,""))</f>
        <v>2.7872757870687895E-2</v>
      </c>
      <c r="H93" s="24">
        <f>IF(OR(E93="",COUNT(Captura_NoFin!K93)&lt;1),"",IFERROR(E93/Captura_NoFin!K93,""))</f>
        <v>0.12435190170620178</v>
      </c>
      <c r="I93" s="24">
        <f>IF(COUNT(Captura_NoFin!N93,Captura_NoFin!H93)&lt;2,"",IFERROR(Captura_NoFin!N93/Captura_NoFin!H93,""))</f>
        <v>4.4005662523119632E-2</v>
      </c>
      <c r="J93" s="24">
        <f>IF(COUNT(Captura_NoFin!I93,Captura_NoFin!H93)&lt;2,"",IFERROR(Captura_NoFin!I93/Captura_NoFin!H93,""))</f>
        <v>0.60997384774559849</v>
      </c>
      <c r="K93" s="23">
        <f>IF(OR(E93="",COUNT(Captura_NoFin!L93)&lt;1),"",IFERROR(E93/ABS(Captura_NoFin!L93),""))</f>
        <v>3.7813604773709408</v>
      </c>
      <c r="L93" s="23">
        <f>IF(COUNT(Captura_NoFin!K93,Captura_NoFin!H93)&lt;2,"",IFERROR(Captura_NoFin!K93/Captura_NoFin!H93,""))</f>
        <v>0.75543565444218397</v>
      </c>
      <c r="M93" s="24">
        <f>IF(COUNT(Captura_NoFin!R93)&lt;1,"",IFERROR(IF(D93=2017,Captura_NoFin!R93/INDEX(Empresas!$I$2:$I$23,MATCH($A93,Empresas!$B$2:$B$23,0))-1,IF(COUNT(Captura_NoFin!R92)&lt;1,"",Captura_NoFin!R93/Captura_NoFin!R92-1)),""))</f>
        <v>-0.12498555341619444</v>
      </c>
      <c r="N93" s="24">
        <f>IF(COUNT(Captura_NoFin!P93,Captura_NoFin!O93)&lt;2,"",IF(Captura_NoFin!O93&lt;=0,"",Captura_NoFin!P93/Captura_NoFin!O93))</f>
        <v>0.11448431888934613</v>
      </c>
      <c r="O93" s="25">
        <f t="shared" si="2"/>
        <v>8</v>
      </c>
      <c r="P93" s="26" t="str">
        <f>IF(COUNT(Captura_NoFin!H93,Captura_NoFin!I93,Captura_NoFin!J93)&lt;3,"",IF(ABS(Captura_NoFin!H93-Captura_NoFin!I93-Captura_NoFin!J93)&lt;=0.005*ABS(Captura_NoFin!H93),"OK","REVISAR"))</f>
        <v>OK</v>
      </c>
    </row>
    <row r="94" spans="1:16" ht="15" customHeight="1" x14ac:dyDescent="0.2">
      <c r="A94" s="20" t="str">
        <f>Captura_NoFin!A94</f>
        <v>ANDINA-B</v>
      </c>
      <c r="B94" s="20">
        <f>Captura_NoFin!B94</f>
        <v>2</v>
      </c>
      <c r="C94" s="20" t="str">
        <f>Captura_NoFin!C94</f>
        <v>Consumo</v>
      </c>
      <c r="D94" s="21">
        <f>Captura_NoFin!D94</f>
        <v>2019</v>
      </c>
      <c r="E94" s="22">
        <f>IF(COUNT(Captura_NoFin!M94,Captura_NoFin!L94)&lt;2,"",Captura_NoFin!M94+ABS(Captura_NoFin!L94))</f>
        <v>282622136</v>
      </c>
      <c r="F94" s="23">
        <f>IF(COUNT(Captura_NoFin!F94,Captura_NoFin!G94)&lt;2,"",IFERROR(Captura_NoFin!F94/Captura_NoFin!G94,""))</f>
        <v>1.2959146836403794</v>
      </c>
      <c r="G94" s="24">
        <f>IF(COUNT(Captura_NoFin!F94,Captura_NoFin!G94,Captura_NoFin!H94)&lt;3,"",IFERROR((Captura_NoFin!F94-Captura_NoFin!G94)/Captura_NoFin!H94,""))</f>
        <v>5.0948715508950151E-2</v>
      </c>
      <c r="H94" s="24">
        <f>IF(OR(E94="",COUNT(Captura_NoFin!K94)&lt;1),"",IFERROR(E94/Captura_NoFin!K94,""))</f>
        <v>0.15886348855732707</v>
      </c>
      <c r="I94" s="24">
        <f>IF(COUNT(Captura_NoFin!N94,Captura_NoFin!H94)&lt;2,"",IFERROR(Captura_NoFin!N94/Captura_NoFin!H94,""))</f>
        <v>7.3295694425776409E-2</v>
      </c>
      <c r="J94" s="24">
        <f>IF(COUNT(Captura_NoFin!I94,Captura_NoFin!H94)&lt;2,"",IFERROR(Captura_NoFin!I94/Captura_NoFin!H94,""))</f>
        <v>0.59476166918553386</v>
      </c>
      <c r="K94" s="23">
        <f>IF(OR(E94="",COUNT(Captura_NoFin!L94)&lt;1),"",IFERROR(E94/ABS(Captura_NoFin!L94),""))</f>
        <v>6.1161681420640388</v>
      </c>
      <c r="L94" s="23">
        <f>IF(COUNT(Captura_NoFin!K94,Captura_NoFin!H94)&lt;2,"",IFERROR(Captura_NoFin!K94/Captura_NoFin!H94,""))</f>
        <v>0.74406670503071748</v>
      </c>
      <c r="M94" s="24">
        <f>IF(COUNT(Captura_NoFin!R94)&lt;1,"",IFERROR(IF(D94=2017,Captura_NoFin!R94/INDEX(Empresas!$I$2:$I$23,MATCH($A94,Empresas!$B$2:$B$23,0))-1,IF(COUNT(Captura_NoFin!R93)&lt;1,"",Captura_NoFin!R94/Captura_NoFin!R93-1)),""))</f>
        <v>-0.12647986358232377</v>
      </c>
      <c r="N94" s="24">
        <f>IF(COUNT(Captura_NoFin!P94,Captura_NoFin!O94)&lt;2,"",IF(Captura_NoFin!O94&lt;=0,"",Captura_NoFin!P94/Captura_NoFin!O94))</f>
        <v>0.18312547806767321</v>
      </c>
      <c r="O94" s="25">
        <f t="shared" si="2"/>
        <v>8</v>
      </c>
      <c r="P94" s="26" t="str">
        <f>IF(COUNT(Captura_NoFin!H94,Captura_NoFin!I94,Captura_NoFin!J94)&lt;3,"",IF(ABS(Captura_NoFin!H94-Captura_NoFin!I94-Captura_NoFin!J94)&lt;=0.005*ABS(Captura_NoFin!H94),"OK","REVISAR"))</f>
        <v>OK</v>
      </c>
    </row>
    <row r="95" spans="1:16" ht="15" customHeight="1" x14ac:dyDescent="0.2">
      <c r="A95" s="20" t="str">
        <f>Captura_NoFin!A95</f>
        <v>ANDINA-B</v>
      </c>
      <c r="B95" s="20">
        <f>Captura_NoFin!B95</f>
        <v>2</v>
      </c>
      <c r="C95" s="20" t="str">
        <f>Captura_NoFin!C95</f>
        <v>Consumo</v>
      </c>
      <c r="D95" s="21">
        <f>Captura_NoFin!D95</f>
        <v>2020</v>
      </c>
      <c r="E95" s="22">
        <f>IF(COUNT(Captura_NoFin!M95,Captura_NoFin!L95)&lt;2,"",Captura_NoFin!M95+ABS(Captura_NoFin!L95))</f>
        <v>232795556</v>
      </c>
      <c r="F95" s="23">
        <f>IF(COUNT(Captura_NoFin!F95,Captura_NoFin!G95)&lt;2,"",IFERROR(Captura_NoFin!F95/Captura_NoFin!G95,""))</f>
        <v>2.1089397436813795</v>
      </c>
      <c r="G95" s="24">
        <f>IF(COUNT(Captura_NoFin!F95,Captura_NoFin!G95,Captura_NoFin!H95)&lt;3,"",IFERROR((Captura_NoFin!F95-Captura_NoFin!G95)/Captura_NoFin!H95,""))</f>
        <v>0.17125428971558102</v>
      </c>
      <c r="H95" s="24">
        <f>IF(OR(E95="",COUNT(Captura_NoFin!K95)&lt;1),"",IFERROR(E95/Captura_NoFin!K95,""))</f>
        <v>0.13707715243396992</v>
      </c>
      <c r="I95" s="24">
        <f>IF(COUNT(Captura_NoFin!N95,Captura_NoFin!H95)&lt;2,"",IFERROR(Captura_NoFin!N95/Captura_NoFin!H95,""))</f>
        <v>5.029169984253682E-2</v>
      </c>
      <c r="J95" s="24">
        <f>IF(COUNT(Captura_NoFin!I95,Captura_NoFin!H95)&lt;2,"",IFERROR(Captura_NoFin!I95/Captura_NoFin!H95,""))</f>
        <v>0.66031915214321979</v>
      </c>
      <c r="K95" s="23">
        <f>IF(OR(E95="",COUNT(Captura_NoFin!L95)&lt;1),"",IFERROR(E95/ABS(Captura_NoFin!L95),""))</f>
        <v>4.2502008066516623</v>
      </c>
      <c r="L95" s="23">
        <f>IF(COUNT(Captura_NoFin!K95,Captura_NoFin!H95)&lt;2,"",IFERROR(Captura_NoFin!K95/Captura_NoFin!H95,""))</f>
        <v>0.69372408544481101</v>
      </c>
      <c r="M95" s="24">
        <f>IF(COUNT(Captura_NoFin!R95)&lt;1,"",IFERROR(IF(D95=2017,Captura_NoFin!R95/INDEX(Empresas!$I$2:$I$23,MATCH($A95,Empresas!$B$2:$B$23,0))-1,IF(COUNT(Captura_NoFin!R94)&lt;1,"",Captura_NoFin!R95/Captura_NoFin!R94-1)),""))</f>
        <v>-0.10965186951977202</v>
      </c>
      <c r="N95" s="24">
        <f>IF(COUNT(Captura_NoFin!P95,Captura_NoFin!O95)&lt;2,"",IF(Captura_NoFin!O95&lt;=0,"",Captura_NoFin!P95/Captura_NoFin!O95))</f>
        <v>0.15039773842663698</v>
      </c>
      <c r="O95" s="25">
        <f t="shared" si="2"/>
        <v>8</v>
      </c>
      <c r="P95" s="26" t="str">
        <f>IF(COUNT(Captura_NoFin!H95,Captura_NoFin!I95,Captura_NoFin!J95)&lt;3,"",IF(ABS(Captura_NoFin!H95-Captura_NoFin!I95-Captura_NoFin!J95)&lt;=0.005*ABS(Captura_NoFin!H95),"OK","REVISAR"))</f>
        <v>OK</v>
      </c>
    </row>
    <row r="96" spans="1:16" ht="15" customHeight="1" x14ac:dyDescent="0.2">
      <c r="A96" s="20" t="str">
        <f>Captura_NoFin!A96</f>
        <v>ANDINA-B</v>
      </c>
      <c r="B96" s="20">
        <f>Captura_NoFin!B96</f>
        <v>2</v>
      </c>
      <c r="C96" s="20" t="str">
        <f>Captura_NoFin!C96</f>
        <v>Consumo</v>
      </c>
      <c r="D96" s="21">
        <f>Captura_NoFin!D96</f>
        <v>2021</v>
      </c>
      <c r="E96" s="22">
        <f>IF(COUNT(Captura_NoFin!M96,Captura_NoFin!L96)&lt;2,"",Captura_NoFin!M96+ABS(Captura_NoFin!L96))</f>
        <v>256201444</v>
      </c>
      <c r="F96" s="23">
        <f>IF(COUNT(Captura_NoFin!F96,Captura_NoFin!G96)&lt;2,"",IFERROR(Captura_NoFin!F96/Captura_NoFin!G96,""))</f>
        <v>1.8713129800453552</v>
      </c>
      <c r="G96" s="24">
        <f>IF(COUNT(Captura_NoFin!F96,Captura_NoFin!G96,Captura_NoFin!H96)&lt;3,"",IFERROR((Captura_NoFin!F96-Captura_NoFin!G96)/Captura_NoFin!H96,""))</f>
        <v>0.15661987133760402</v>
      </c>
      <c r="H96" s="24">
        <f>IF(OR(E96="",COUNT(Captura_NoFin!K96)&lt;1),"",IFERROR(E96/Captura_NoFin!K96,""))</f>
        <v>0.11557616142291277</v>
      </c>
      <c r="I96" s="24">
        <f>IF(COUNT(Captura_NoFin!N96,Captura_NoFin!H96)&lt;2,"",IFERROR(Captura_NoFin!N96/Captura_NoFin!H96,""))</f>
        <v>5.3301420082638308E-2</v>
      </c>
      <c r="J96" s="24">
        <f>IF(COUNT(Captura_NoFin!I96,Captura_NoFin!H96)&lt;2,"",IFERROR(Captura_NoFin!I96/Captura_NoFin!H96,""))</f>
        <v>0.62614606632738101</v>
      </c>
      <c r="K96" s="23">
        <f>IF(OR(E96="",COUNT(Captura_NoFin!L96)&lt;1),"",IFERROR(E96/ABS(Captura_NoFin!L96),""))</f>
        <v>4.834677675629905</v>
      </c>
      <c r="L96" s="23">
        <f>IF(COUNT(Captura_NoFin!K96,Captura_NoFin!H96)&lt;2,"",IFERROR(Captura_NoFin!K96/Captura_NoFin!H96,""))</f>
        <v>0.75242781698255334</v>
      </c>
      <c r="M96" s="24">
        <f>IF(COUNT(Captura_NoFin!R96)&lt;1,"",IFERROR(IF(D96=2017,Captura_NoFin!R96/INDEX(Empresas!$I$2:$I$23,MATCH($A96,Empresas!$B$2:$B$23,0))-1,IF(COUNT(Captura_NoFin!R95)&lt;1,"",Captura_NoFin!R96/Captura_NoFin!R95-1)),""))</f>
        <v>8.2968078173637938E-2</v>
      </c>
      <c r="N96" s="24">
        <f>IF(COUNT(Captura_NoFin!P96,Captura_NoFin!O96)&lt;2,"",IF(Captura_NoFin!O96&lt;=0,"",Captura_NoFin!P96/Captura_NoFin!O96))</f>
        <v>0.14375230282885129</v>
      </c>
      <c r="O96" s="25">
        <f t="shared" si="2"/>
        <v>8</v>
      </c>
      <c r="P96" s="26" t="str">
        <f>IF(COUNT(Captura_NoFin!H96,Captura_NoFin!I96,Captura_NoFin!J96)&lt;3,"",IF(ABS(Captura_NoFin!H96-Captura_NoFin!I96-Captura_NoFin!J96)&lt;=0.005*ABS(Captura_NoFin!H96),"OK","REVISAR"))</f>
        <v>OK</v>
      </c>
    </row>
    <row r="97" spans="1:16" ht="15" customHeight="1" x14ac:dyDescent="0.2">
      <c r="A97" s="20" t="str">
        <f>Captura_NoFin!A97</f>
        <v>ANDINA-B</v>
      </c>
      <c r="B97" s="20">
        <f>Captura_NoFin!B97</f>
        <v>2</v>
      </c>
      <c r="C97" s="20" t="str">
        <f>Captura_NoFin!C97</f>
        <v>Consumo</v>
      </c>
      <c r="D97" s="21">
        <f>Captura_NoFin!D97</f>
        <v>2022</v>
      </c>
      <c r="E97" s="22">
        <f>IF(COUNT(Captura_NoFin!M97,Captura_NoFin!L97)&lt;2,"",Captura_NoFin!M97+ABS(Captura_NoFin!L97))</f>
        <v>292351578</v>
      </c>
      <c r="F97" s="23">
        <f>IF(COUNT(Captura_NoFin!F97,Captura_NoFin!G97)&lt;2,"",IFERROR(Captura_NoFin!F97/Captura_NoFin!G97,""))</f>
        <v>1.2238455066971141</v>
      </c>
      <c r="G97" s="24">
        <f>IF(COUNT(Captura_NoFin!F97,Captura_NoFin!G97,Captura_NoFin!H97)&lt;3,"",IFERROR((Captura_NoFin!F97-Captura_NoFin!G97)/Captura_NoFin!H97,""))</f>
        <v>7.0576349407166408E-2</v>
      </c>
      <c r="H97" s="24">
        <f>IF(OR(E97="",COUNT(Captura_NoFin!K97)&lt;1),"",IFERROR(E97/Captura_NoFin!K97,""))</f>
        <v>0.11003573914040578</v>
      </c>
      <c r="I97" s="24">
        <f>IF(COUNT(Captura_NoFin!N97,Captura_NoFin!H97)&lt;2,"",IFERROR(Captura_NoFin!N97/Captura_NoFin!H97,""))</f>
        <v>4.2667473046415737E-2</v>
      </c>
      <c r="J97" s="24">
        <f>IF(COUNT(Captura_NoFin!I97,Captura_NoFin!H97)&lt;2,"",IFERROR(Captura_NoFin!I97/Captura_NoFin!H97,""))</f>
        <v>0.70657904344721179</v>
      </c>
      <c r="K97" s="23">
        <f>IF(OR(E97="",COUNT(Captura_NoFin!L97)&lt;1),"",IFERROR(E97/ABS(Captura_NoFin!L97),""))</f>
        <v>4.9095151599921492</v>
      </c>
      <c r="L97" s="23">
        <f>IF(COUNT(Captura_NoFin!K97,Captura_NoFin!H97)&lt;2,"",IFERROR(Captura_NoFin!K97/Captura_NoFin!H97,""))</f>
        <v>0.88247844665213504</v>
      </c>
      <c r="M97" s="24">
        <f>IF(COUNT(Captura_NoFin!R97)&lt;1,"",IFERROR(IF(D97=2017,Captura_NoFin!R97/INDEX(Empresas!$I$2:$I$23,MATCH($A97,Empresas!$B$2:$B$23,0))-1,IF(COUNT(Captura_NoFin!R96)&lt;1,"",Captura_NoFin!R97/Captura_NoFin!R96-1)),""))</f>
        <v>0.21178269050904186</v>
      </c>
      <c r="N97" s="24">
        <f>IF(COUNT(Captura_NoFin!P97,Captura_NoFin!O97)&lt;2,"",IF(Captura_NoFin!O97&lt;=0,"",Captura_NoFin!P97/Captura_NoFin!O97))</f>
        <v>0.14673622158172261</v>
      </c>
      <c r="O97" s="25">
        <f t="shared" si="2"/>
        <v>8</v>
      </c>
      <c r="P97" s="26" t="str">
        <f>IF(COUNT(Captura_NoFin!H97,Captura_NoFin!I97,Captura_NoFin!J97)&lt;3,"",IF(ABS(Captura_NoFin!H97-Captura_NoFin!I97-Captura_NoFin!J97)&lt;=0.005*ABS(Captura_NoFin!H97),"OK","REVISAR"))</f>
        <v>OK</v>
      </c>
    </row>
    <row r="98" spans="1:16" ht="15" customHeight="1" x14ac:dyDescent="0.2">
      <c r="A98" s="20" t="str">
        <f>Captura_NoFin!A98</f>
        <v>ANDINA-B</v>
      </c>
      <c r="B98" s="20">
        <f>Captura_NoFin!B98</f>
        <v>2</v>
      </c>
      <c r="C98" s="20" t="str">
        <f>Captura_NoFin!C98</f>
        <v>Consumo</v>
      </c>
      <c r="D98" s="21">
        <f>Captura_NoFin!D98</f>
        <v>2023</v>
      </c>
      <c r="E98" s="22">
        <f>IF(COUNT(Captura_NoFin!M98,Captura_NoFin!L98)&lt;2,"",Captura_NoFin!M98+ABS(Captura_NoFin!L98))</f>
        <v>325794146</v>
      </c>
      <c r="F98" s="23">
        <f>IF(COUNT(Captura_NoFin!F98,Captura_NoFin!G98)&lt;2,"",IFERROR(Captura_NoFin!F98/Captura_NoFin!G98,""))</f>
        <v>1.4169601665819334</v>
      </c>
      <c r="G98" s="24">
        <f>IF(COUNT(Captura_NoFin!F98,Captura_NoFin!G98,Captura_NoFin!H98)&lt;3,"",IFERROR((Captura_NoFin!F98-Captura_NoFin!G98)/Captura_NoFin!H98,""))</f>
        <v>9.8886758635803138E-2</v>
      </c>
      <c r="H98" s="24">
        <f>IF(OR(E98="",COUNT(Captura_NoFin!K98)&lt;1),"",IFERROR(E98/Captura_NoFin!K98,""))</f>
        <v>0.12442313469065591</v>
      </c>
      <c r="I98" s="24">
        <f>IF(COUNT(Captura_NoFin!N98,Captura_NoFin!H98)&lt;2,"",IFERROR(Captura_NoFin!N98/Captura_NoFin!H98,""))</f>
        <v>5.9733095750594857E-2</v>
      </c>
      <c r="J98" s="24">
        <f>IF(COUNT(Captura_NoFin!I98,Captura_NoFin!H98)&lt;2,"",IFERROR(Captura_NoFin!I98/Captura_NoFin!H98,""))</f>
        <v>0.68475823073260933</v>
      </c>
      <c r="K98" s="23">
        <f>IF(OR(E98="",COUNT(Captura_NoFin!L98)&lt;1),"",IFERROR(E98/ABS(Captura_NoFin!L98),""))</f>
        <v>4.9900807114874031</v>
      </c>
      <c r="L98" s="23">
        <f>IF(COUNT(Captura_NoFin!K98,Captura_NoFin!H98)&lt;2,"",IFERROR(Captura_NoFin!K98/Captura_NoFin!H98,""))</f>
        <v>0.89625819957640562</v>
      </c>
      <c r="M98" s="24">
        <f>IF(COUNT(Captura_NoFin!R98)&lt;1,"",IFERROR(IF(D98=2017,Captura_NoFin!R98/INDEX(Empresas!$I$2:$I$23,MATCH($A98,Empresas!$B$2:$B$23,0))-1,IF(COUNT(Captura_NoFin!R97)&lt;1,"",Captura_NoFin!R98/Captura_NoFin!R97-1)),""))</f>
        <v>0.13238976756804277</v>
      </c>
      <c r="N98" s="24">
        <f>IF(COUNT(Captura_NoFin!P98,Captura_NoFin!O98)&lt;2,"",IF(Captura_NoFin!O98&lt;=0,"",Captura_NoFin!P98/Captura_NoFin!O98))</f>
        <v>0.19343703309152033</v>
      </c>
      <c r="O98" s="25">
        <f t="shared" ref="O98:O129" si="3">COUNT(F98:M98)</f>
        <v>8</v>
      </c>
      <c r="P98" s="26" t="str">
        <f>IF(COUNT(Captura_NoFin!H98,Captura_NoFin!I98,Captura_NoFin!J98)&lt;3,"",IF(ABS(Captura_NoFin!H98-Captura_NoFin!I98-Captura_NoFin!J98)&lt;=0.005*ABS(Captura_NoFin!H98),"OK","REVISAR"))</f>
        <v>OK</v>
      </c>
    </row>
    <row r="99" spans="1:16" ht="15" customHeight="1" x14ac:dyDescent="0.2">
      <c r="A99" s="20" t="str">
        <f>Captura_NoFin!A99</f>
        <v>ANDINA-B</v>
      </c>
      <c r="B99" s="20">
        <f>Captura_NoFin!B99</f>
        <v>2</v>
      </c>
      <c r="C99" s="20" t="str">
        <f>Captura_NoFin!C99</f>
        <v>Consumo</v>
      </c>
      <c r="D99" s="21">
        <f>Captura_NoFin!D99</f>
        <v>2024</v>
      </c>
      <c r="E99" s="22">
        <f>IF(COUNT(Captura_NoFin!M99,Captura_NoFin!L99)&lt;2,"",Captura_NoFin!M99+ABS(Captura_NoFin!L99))</f>
        <v>438450654</v>
      </c>
      <c r="F99" s="23">
        <f>IF(COUNT(Captura_NoFin!F99,Captura_NoFin!G99)&lt;2,"",IFERROR(Captura_NoFin!F99/Captura_NoFin!G99,""))</f>
        <v>1.1181398836264869</v>
      </c>
      <c r="G99" s="24">
        <f>IF(COUNT(Captura_NoFin!F99,Captura_NoFin!G99,Captura_NoFin!H99)&lt;3,"",IFERROR((Captura_NoFin!F99-Captura_NoFin!G99)/Captura_NoFin!H99,""))</f>
        <v>3.2527606882056394E-2</v>
      </c>
      <c r="H99" s="24">
        <f>IF(OR(E99="",COUNT(Captura_NoFin!K99)&lt;1),"",IFERROR(E99/Captura_NoFin!K99,""))</f>
        <v>0.13598603243626309</v>
      </c>
      <c r="I99" s="24">
        <f>IF(COUNT(Captura_NoFin!N99,Captura_NoFin!H99)&lt;2,"",IFERROR(Captura_NoFin!N99/Captura_NoFin!H99,""))</f>
        <v>7.1296472410492959E-2</v>
      </c>
      <c r="J99" s="24">
        <f>IF(COUNT(Captura_NoFin!I99,Captura_NoFin!H99)&lt;2,"",IFERROR(Captura_NoFin!I99/Captura_NoFin!H99,""))</f>
        <v>0.69177609220040659</v>
      </c>
      <c r="K99" s="23">
        <f>IF(OR(E99="",COUNT(Captura_NoFin!L99)&lt;1),"",IFERROR(E99/ABS(Captura_NoFin!L99),""))</f>
        <v>6.2267643157813071</v>
      </c>
      <c r="L99" s="23">
        <f>IF(COUNT(Captura_NoFin!K99,Captura_NoFin!H99)&lt;2,"",IFERROR(Captura_NoFin!K99/Captura_NoFin!H99,""))</f>
        <v>0.97968120653344004</v>
      </c>
      <c r="M99" s="24">
        <f>IF(COUNT(Captura_NoFin!R99)&lt;1,"",IFERROR(IF(D99=2017,Captura_NoFin!R99/INDEX(Empresas!$I$2:$I$23,MATCH($A99,Empresas!$B$2:$B$23,0))-1,IF(COUNT(Captura_NoFin!R98)&lt;1,"",Captura_NoFin!R99/Captura_NoFin!R98-1)),""))</f>
        <v>0.44945095318005546</v>
      </c>
      <c r="N99" s="24">
        <f>IF(COUNT(Captura_NoFin!P99,Captura_NoFin!O99)&lt;2,"",IF(Captura_NoFin!O99&lt;=0,"",Captura_NoFin!P99/Captura_NoFin!O99))</f>
        <v>0.2382842008312433</v>
      </c>
      <c r="O99" s="25">
        <f t="shared" si="3"/>
        <v>8</v>
      </c>
      <c r="P99" s="26" t="str">
        <f>IF(COUNT(Captura_NoFin!H99,Captura_NoFin!I99,Captura_NoFin!J99)&lt;3,"",IF(ABS(Captura_NoFin!H99-Captura_NoFin!I99-Captura_NoFin!J99)&lt;=0.005*ABS(Captura_NoFin!H99),"OK","REVISAR"))</f>
        <v>OK</v>
      </c>
    </row>
    <row r="100" spans="1:16" ht="15" customHeight="1" x14ac:dyDescent="0.2">
      <c r="A100" s="20" t="str">
        <f>Captura_NoFin!A100</f>
        <v>ANDINA-B</v>
      </c>
      <c r="B100" s="20">
        <f>Captura_NoFin!B100</f>
        <v>2</v>
      </c>
      <c r="C100" s="20" t="str">
        <f>Captura_NoFin!C100</f>
        <v>Consumo</v>
      </c>
      <c r="D100" s="21">
        <f>Captura_NoFin!D100</f>
        <v>2025</v>
      </c>
      <c r="E100" s="22">
        <f>IF(COUNT(Captura_NoFin!M100,Captura_NoFin!L100)&lt;2,"",Captura_NoFin!M100+ABS(Captura_NoFin!L100))</f>
        <v>448852755</v>
      </c>
      <c r="F100" s="23">
        <f>IF(COUNT(Captura_NoFin!F100,Captura_NoFin!G100)&lt;2,"",IFERROR(Captura_NoFin!F100/Captura_NoFin!G100,""))</f>
        <v>1.4143415630978295</v>
      </c>
      <c r="G100" s="24">
        <f>IF(COUNT(Captura_NoFin!F100,Captura_NoFin!G100,Captura_NoFin!H100)&lt;3,"",IFERROR((Captura_NoFin!F100-Captura_NoFin!G100)/Captura_NoFin!H100,""))</f>
        <v>8.8480816457413292E-2</v>
      </c>
      <c r="H100" s="24">
        <f>IF(OR(E100="",COUNT(Captura_NoFin!K100)&lt;1),"",IFERROR(E100/Captura_NoFin!K100,""))</f>
        <v>0.1341927601217881</v>
      </c>
      <c r="I100" s="24">
        <f>IF(COUNT(Captura_NoFin!N100,Captura_NoFin!H100)&lt;2,"",IFERROR(Captura_NoFin!N100/Captura_NoFin!H100,""))</f>
        <v>7.9077589333885215E-2</v>
      </c>
      <c r="J100" s="24">
        <f>IF(COUNT(Captura_NoFin!I100,Captura_NoFin!H100)&lt;2,"",IFERROR(Captura_NoFin!I100/Captura_NoFin!H100,""))</f>
        <v>0.65017192356698572</v>
      </c>
      <c r="K100" s="23">
        <f>IF(OR(E100="",COUNT(Captura_NoFin!L100)&lt;1),"",IFERROR(E100/ABS(Captura_NoFin!L100),""))</f>
        <v>6.5796422880725762</v>
      </c>
      <c r="L100" s="23">
        <f>IF(COUNT(Captura_NoFin!K100,Captura_NoFin!H100)&lt;2,"",IFERROR(Captura_NoFin!K100/Captura_NoFin!H100,""))</f>
        <v>0.97790625444506885</v>
      </c>
      <c r="M100" s="24">
        <f>IF(COUNT(Captura_NoFin!R100)&lt;1,"",IFERROR(IF(D100=2017,Captura_NoFin!R100/INDEX(Empresas!$I$2:$I$23,MATCH($A100,Empresas!$B$2:$B$23,0))-1,IF(COUNT(Captura_NoFin!R99)&lt;1,"",Captura_NoFin!R100/Captura_NoFin!R99-1)),""))</f>
        <v>0.4886336270218461</v>
      </c>
      <c r="N100" s="24">
        <f>IF(COUNT(Captura_NoFin!P100,Captura_NoFin!O100)&lt;2,"",IF(Captura_NoFin!O100&lt;=0,"",Captura_NoFin!P100/Captura_NoFin!O100))</f>
        <v>0.23215587980259494</v>
      </c>
      <c r="O100" s="25">
        <f t="shared" si="3"/>
        <v>8</v>
      </c>
      <c r="P100" s="26" t="str">
        <f>IF(COUNT(Captura_NoFin!H100,Captura_NoFin!I100,Captura_NoFin!J100)&lt;3,"",IF(ABS(Captura_NoFin!H100-Captura_NoFin!I100-Captura_NoFin!J100)&lt;=0.005*ABS(Captura_NoFin!H100),"OK","REVISAR"))</f>
        <v>OK</v>
      </c>
    </row>
    <row r="101" spans="1:16" ht="15" customHeight="1" x14ac:dyDescent="0.2">
      <c r="A101" s="20" t="str">
        <f>Captura_NoFin!A101</f>
        <v>CONCHATORO</v>
      </c>
      <c r="B101" s="20">
        <f>Captura_NoFin!B101</f>
        <v>2</v>
      </c>
      <c r="C101" s="20" t="str">
        <f>Captura_NoFin!C101</f>
        <v>Consumo</v>
      </c>
      <c r="D101" s="21">
        <f>Captura_NoFin!D101</f>
        <v>2017</v>
      </c>
      <c r="E101" s="22">
        <f>IF(COUNT(Captura_NoFin!M101,Captura_NoFin!L101)&lt;2,"",Captura_NoFin!M101+ABS(Captura_NoFin!L101))</f>
        <v>73695885</v>
      </c>
      <c r="F101" s="23">
        <f>IF(COUNT(Captura_NoFin!F101,Captura_NoFin!G101)&lt;2,"",IFERROR(Captura_NoFin!F101/Captura_NoFin!G101,""))</f>
        <v>1.6586230894215244</v>
      </c>
      <c r="G101" s="24">
        <f>IF(COUNT(Captura_NoFin!F101,Captura_NoFin!G101,Captura_NoFin!H101)&lt;3,"",IFERROR((Captura_NoFin!F101-Captura_NoFin!G101)/Captura_NoFin!H101,""))</f>
        <v>0.19985799997667925</v>
      </c>
      <c r="H101" s="24">
        <f>IF(OR(E101="",COUNT(Captura_NoFin!K101)&lt;1),"",IFERROR(E101/Captura_NoFin!K101,""))</f>
        <v>0.12012068509639605</v>
      </c>
      <c r="I101" s="24">
        <f>IF(COUNT(Captura_NoFin!N101,Captura_NoFin!H101)&lt;2,"",IFERROR(Captura_NoFin!N101/Captura_NoFin!H101,""))</f>
        <v>4.7302386801137505E-2</v>
      </c>
      <c r="J101" s="24">
        <f>IF(COUNT(Captura_NoFin!I101,Captura_NoFin!H101)&lt;2,"",IFERROR(Captura_NoFin!I101/Captura_NoFin!H101,""))</f>
        <v>0.47840710786357232</v>
      </c>
      <c r="K101" s="23">
        <f>IF(OR(E101="",COUNT(Captura_NoFin!L101)&lt;1),"",IFERROR(E101/ABS(Captura_NoFin!L101),""))</f>
        <v>7.3801591018816248</v>
      </c>
      <c r="L101" s="23">
        <f>IF(COUNT(Captura_NoFin!K101,Captura_NoFin!H101)&lt;2,"",IFERROR(Captura_NoFin!K101/Captura_NoFin!H101,""))</f>
        <v>0.58052604329493462</v>
      </c>
      <c r="M101" s="24">
        <f>IF(COUNT(Captura_NoFin!R101)&lt;1,"",IFERROR(IF(D101=2017,Captura_NoFin!R101/INDEX(Empresas!$I$2:$I$23,MATCH($A101,Empresas!$B$2:$B$23,0))-1,IF(COUNT(Captura_NoFin!R100)&lt;1,"",Captura_NoFin!R101/Captura_NoFin!R100-1)),""))</f>
        <v>0.11106609730338524</v>
      </c>
      <c r="N101" s="24">
        <f>IF(COUNT(Captura_NoFin!P101,Captura_NoFin!O101)&lt;2,"",IF(Captura_NoFin!O101&lt;=0,"",Captura_NoFin!P101/Captura_NoFin!O101))</f>
        <v>9.040421368903169E-2</v>
      </c>
      <c r="O101" s="25">
        <f t="shared" si="3"/>
        <v>8</v>
      </c>
      <c r="P101" s="26" t="str">
        <f>IF(COUNT(Captura_NoFin!H101,Captura_NoFin!I101,Captura_NoFin!J101)&lt;3,"",IF(ABS(Captura_NoFin!H101-Captura_NoFin!I101-Captura_NoFin!J101)&lt;=0.005*ABS(Captura_NoFin!H101),"OK","REVISAR"))</f>
        <v>OK</v>
      </c>
    </row>
    <row r="102" spans="1:16" ht="15" customHeight="1" x14ac:dyDescent="0.2">
      <c r="A102" s="20" t="str">
        <f>Captura_NoFin!A102</f>
        <v>CONCHATORO</v>
      </c>
      <c r="B102" s="20">
        <f>Captura_NoFin!B102</f>
        <v>2</v>
      </c>
      <c r="C102" s="20" t="str">
        <f>Captura_NoFin!C102</f>
        <v>Consumo</v>
      </c>
      <c r="D102" s="21">
        <f>Captura_NoFin!D102</f>
        <v>2018</v>
      </c>
      <c r="E102" s="22">
        <f>IF(COUNT(Captura_NoFin!M102,Captura_NoFin!L102)&lt;2,"",Captura_NoFin!M102+ABS(Captura_NoFin!L102))</f>
        <v>73143241</v>
      </c>
      <c r="F102" s="23">
        <f>IF(COUNT(Captura_NoFin!F102,Captura_NoFin!G102)&lt;2,"",IFERROR(Captura_NoFin!F102/Captura_NoFin!G102,""))</f>
        <v>1.8126538646203587</v>
      </c>
      <c r="G102" s="24">
        <f>IF(COUNT(Captura_NoFin!F102,Captura_NoFin!G102,Captura_NoFin!H102)&lt;3,"",IFERROR((Captura_NoFin!F102-Captura_NoFin!G102)/Captura_NoFin!H102,""))</f>
        <v>0.22211243572841799</v>
      </c>
      <c r="H102" s="24">
        <f>IF(OR(E102="",COUNT(Captura_NoFin!K102)&lt;1),"",IFERROR(E102/Captura_NoFin!K102,""))</f>
        <v>0.11910079529638815</v>
      </c>
      <c r="I102" s="24">
        <f>IF(COUNT(Captura_NoFin!N102,Captura_NoFin!H102)&lt;2,"",IFERROR(Captura_NoFin!N102/Captura_NoFin!H102,""))</f>
        <v>4.3712028535793139E-2</v>
      </c>
      <c r="J102" s="24">
        <f>IF(COUNT(Captura_NoFin!I102,Captura_NoFin!H102)&lt;2,"",IFERROR(Captura_NoFin!I102/Captura_NoFin!H102,""))</f>
        <v>0.50081210556664002</v>
      </c>
      <c r="K102" s="23">
        <f>IF(OR(E102="",COUNT(Captura_NoFin!L102)&lt;1),"",IFERROR(E102/ABS(Captura_NoFin!L102),""))</f>
        <v>6.2795810192319745</v>
      </c>
      <c r="L102" s="23">
        <f>IF(COUNT(Captura_NoFin!K102,Captura_NoFin!H102)&lt;2,"",IFERROR(Captura_NoFin!K102/Captura_NoFin!H102,""))</f>
        <v>0.53581049869502262</v>
      </c>
      <c r="M102" s="24">
        <f>IF(COUNT(Captura_NoFin!R102)&lt;1,"",IFERROR(IF(D102=2017,Captura_NoFin!R102/INDEX(Empresas!$I$2:$I$23,MATCH($A102,Empresas!$B$2:$B$23,0))-1,IF(COUNT(Captura_NoFin!R101)&lt;1,"",Captura_NoFin!R102/Captura_NoFin!R101-1)),""))</f>
        <v>0.18372083691231422</v>
      </c>
      <c r="N102" s="24">
        <f>IF(COUNT(Captura_NoFin!P102,Captura_NoFin!O102)&lt;2,"",IF(Captura_NoFin!O102&lt;=0,"",Captura_NoFin!P102/Captura_NoFin!O102))</f>
        <v>8.6414252422493024E-2</v>
      </c>
      <c r="O102" s="25">
        <f t="shared" si="3"/>
        <v>8</v>
      </c>
      <c r="P102" s="26" t="str">
        <f>IF(COUNT(Captura_NoFin!H102,Captura_NoFin!I102,Captura_NoFin!J102)&lt;3,"",IF(ABS(Captura_NoFin!H102-Captura_NoFin!I102-Captura_NoFin!J102)&lt;=0.005*ABS(Captura_NoFin!H102),"OK","REVISAR"))</f>
        <v>OK</v>
      </c>
    </row>
    <row r="103" spans="1:16" ht="15" customHeight="1" x14ac:dyDescent="0.2">
      <c r="A103" s="20" t="str">
        <f>Captura_NoFin!A103</f>
        <v>CONCHATORO</v>
      </c>
      <c r="B103" s="20">
        <f>Captura_NoFin!B103</f>
        <v>2</v>
      </c>
      <c r="C103" s="20" t="str">
        <f>Captura_NoFin!C103</f>
        <v>Consumo</v>
      </c>
      <c r="D103" s="21">
        <f>Captura_NoFin!D103</f>
        <v>2019</v>
      </c>
      <c r="E103" s="22">
        <f>IF(COUNT(Captura_NoFin!M103,Captura_NoFin!L103)&lt;2,"",Captura_NoFin!M103+ABS(Captura_NoFin!L103))</f>
        <v>82894786</v>
      </c>
      <c r="F103" s="23">
        <f>IF(COUNT(Captura_NoFin!F103,Captura_NoFin!G103)&lt;2,"",IFERROR(Captura_NoFin!F103/Captura_NoFin!G103,""))</f>
        <v>1.8955365684148398</v>
      </c>
      <c r="G103" s="24">
        <f>IF(COUNT(Captura_NoFin!F103,Captura_NoFin!G103,Captura_NoFin!H103)&lt;3,"",IFERROR((Captura_NoFin!F103-Captura_NoFin!G103)/Captura_NoFin!H103,""))</f>
        <v>0.24209298187390288</v>
      </c>
      <c r="H103" s="24">
        <f>IF(OR(E103="",COUNT(Captura_NoFin!K103)&lt;1),"",IFERROR(E103/Captura_NoFin!K103,""))</f>
        <v>0.12617542329992662</v>
      </c>
      <c r="I103" s="24">
        <f>IF(COUNT(Captura_NoFin!N103,Captura_NoFin!H103)&lt;2,"",IFERROR(Captura_NoFin!N103/Captura_NoFin!H103,""))</f>
        <v>4.2597898728496154E-2</v>
      </c>
      <c r="J103" s="24">
        <f>IF(COUNT(Captura_NoFin!I103,Captura_NoFin!H103)&lt;2,"",IFERROR(Captura_NoFin!I103/Captura_NoFin!H103,""))</f>
        <v>0.52621921234929825</v>
      </c>
      <c r="K103" s="23">
        <f>IF(OR(E103="",COUNT(Captura_NoFin!L103)&lt;1),"",IFERROR(E103/ABS(Captura_NoFin!L103),""))</f>
        <v>6.6779185527871103</v>
      </c>
      <c r="L103" s="23">
        <f>IF(COUNT(Captura_NoFin!K103,Captura_NoFin!H103)&lt;2,"",IFERROR(Captura_NoFin!K103/Captura_NoFin!H103,""))</f>
        <v>0.523984266008515</v>
      </c>
      <c r="M103" s="24">
        <f>IF(COUNT(Captura_NoFin!R103)&lt;1,"",IFERROR(IF(D103=2017,Captura_NoFin!R103/INDEX(Empresas!$I$2:$I$23,MATCH($A103,Empresas!$B$2:$B$23,0))-1,IF(COUNT(Captura_NoFin!R102)&lt;1,"",Captura_NoFin!R103/Captura_NoFin!R102-1)),""))</f>
        <v>6.1128504176528597E-2</v>
      </c>
      <c r="N103" s="24">
        <f>IF(COUNT(Captura_NoFin!P103,Captura_NoFin!O103)&lt;2,"",IF(Captura_NoFin!O103&lt;=0,"",Captura_NoFin!P103/Captura_NoFin!O103))</f>
        <v>8.9044330078598674E-2</v>
      </c>
      <c r="O103" s="25">
        <f t="shared" si="3"/>
        <v>8</v>
      </c>
      <c r="P103" s="26" t="str">
        <f>IF(COUNT(Captura_NoFin!H103,Captura_NoFin!I103,Captura_NoFin!J103)&lt;3,"",IF(ABS(Captura_NoFin!H103-Captura_NoFin!I103-Captura_NoFin!J103)&lt;=0.005*ABS(Captura_NoFin!H103),"OK","REVISAR"))</f>
        <v>OK</v>
      </c>
    </row>
    <row r="104" spans="1:16" ht="15" customHeight="1" x14ac:dyDescent="0.2">
      <c r="A104" s="20" t="str">
        <f>Captura_NoFin!A104</f>
        <v>CONCHATORO</v>
      </c>
      <c r="B104" s="20">
        <f>Captura_NoFin!B104</f>
        <v>2</v>
      </c>
      <c r="C104" s="20" t="str">
        <f>Captura_NoFin!C104</f>
        <v>Consumo</v>
      </c>
      <c r="D104" s="21">
        <f>Captura_NoFin!D104</f>
        <v>2020</v>
      </c>
      <c r="E104" s="22">
        <f>IF(COUNT(Captura_NoFin!M104,Captura_NoFin!L104)&lt;2,"",Captura_NoFin!M104+ABS(Captura_NoFin!L104))</f>
        <v>120833674</v>
      </c>
      <c r="F104" s="23">
        <f>IF(COUNT(Captura_NoFin!F104,Captura_NoFin!G104)&lt;2,"",IFERROR(Captura_NoFin!F104/Captura_NoFin!G104,""))</f>
        <v>2.2371440568692944</v>
      </c>
      <c r="G104" s="24">
        <f>IF(COUNT(Captura_NoFin!F104,Captura_NoFin!G104,Captura_NoFin!H104)&lt;3,"",IFERROR((Captura_NoFin!F104-Captura_NoFin!G104)/Captura_NoFin!H104,""))</f>
        <v>0.28315454869400947</v>
      </c>
      <c r="H104" s="24">
        <f>IF(OR(E104="",COUNT(Captura_NoFin!K104)&lt;1),"",IFERROR(E104/Captura_NoFin!K104,""))</f>
        <v>0.15711714106187763</v>
      </c>
      <c r="I104" s="24">
        <f>IF(COUNT(Captura_NoFin!N104,Captura_NoFin!H104)&lt;2,"",IFERROR(Captura_NoFin!N104/Captura_NoFin!H104,""))</f>
        <v>6.1806966630632725E-2</v>
      </c>
      <c r="J104" s="24">
        <f>IF(COUNT(Captura_NoFin!I104,Captura_NoFin!H104)&lt;2,"",IFERROR(Captura_NoFin!I104/Captura_NoFin!H104,""))</f>
        <v>0.49317932340125498</v>
      </c>
      <c r="K104" s="23">
        <f>IF(OR(E104="",COUNT(Captura_NoFin!L104)&lt;1),"",IFERROR(E104/ABS(Captura_NoFin!L104),""))</f>
        <v>7.8720611045684512</v>
      </c>
      <c r="L104" s="23">
        <f>IF(COUNT(Captura_NoFin!K104,Captura_NoFin!H104)&lt;2,"",IFERROR(Captura_NoFin!K104/Captura_NoFin!H104,""))</f>
        <v>0.60097824007219658</v>
      </c>
      <c r="M104" s="24">
        <f>IF(COUNT(Captura_NoFin!R104)&lt;1,"",IFERROR(IF(D104=2017,Captura_NoFin!R104/INDEX(Empresas!$I$2:$I$23,MATCH($A104,Empresas!$B$2:$B$23,0))-1,IF(COUNT(Captura_NoFin!R103)&lt;1,"",Captura_NoFin!R104/Captura_NoFin!R103-1)),""))</f>
        <v>-0.10688882134111088</v>
      </c>
      <c r="N104" s="24">
        <f>IF(COUNT(Captura_NoFin!P104,Captura_NoFin!O104)&lt;2,"",IF(Captura_NoFin!O104&lt;=0,"",Captura_NoFin!P104/Captura_NoFin!O104))</f>
        <v>0.12115543121461976</v>
      </c>
      <c r="O104" s="25">
        <f t="shared" si="3"/>
        <v>8</v>
      </c>
      <c r="P104" s="26" t="str">
        <f>IF(COUNT(Captura_NoFin!H104,Captura_NoFin!I104,Captura_NoFin!J104)&lt;3,"",IF(ABS(Captura_NoFin!H104-Captura_NoFin!I104-Captura_NoFin!J104)&lt;=0.005*ABS(Captura_NoFin!H104),"OK","REVISAR"))</f>
        <v>OK</v>
      </c>
    </row>
    <row r="105" spans="1:16" ht="15" customHeight="1" x14ac:dyDescent="0.2">
      <c r="A105" s="20" t="str">
        <f>Captura_NoFin!A105</f>
        <v>CONCHATORO</v>
      </c>
      <c r="B105" s="20">
        <f>Captura_NoFin!B105</f>
        <v>2</v>
      </c>
      <c r="C105" s="20" t="str">
        <f>Captura_NoFin!C105</f>
        <v>Consumo</v>
      </c>
      <c r="D105" s="21">
        <f>Captura_NoFin!D105</f>
        <v>2021</v>
      </c>
      <c r="E105" s="22">
        <f>IF(COUNT(Captura_NoFin!M105,Captura_NoFin!L105)&lt;2,"",Captura_NoFin!M105+ABS(Captura_NoFin!L105))</f>
        <v>142894004</v>
      </c>
      <c r="F105" s="23">
        <f>IF(COUNT(Captura_NoFin!F105,Captura_NoFin!G105)&lt;2,"",IFERROR(Captura_NoFin!F105/Captura_NoFin!G105,""))</f>
        <v>1.9142214269956821</v>
      </c>
      <c r="G105" s="24">
        <f>IF(COUNT(Captura_NoFin!F105,Captura_NoFin!G105,Captura_NoFin!H105)&lt;3,"",IFERROR((Captura_NoFin!F105-Captura_NoFin!G105)/Captura_NoFin!H105,""))</f>
        <v>0.24821456780090279</v>
      </c>
      <c r="H105" s="24">
        <f>IF(OR(E105="",COUNT(Captura_NoFin!K105)&lt;1),"",IFERROR(E105/Captura_NoFin!K105,""))</f>
        <v>0.1707802776581708</v>
      </c>
      <c r="I105" s="24">
        <f>IF(COUNT(Captura_NoFin!N105,Captura_NoFin!H105)&lt;2,"",IFERROR(Captura_NoFin!N105/Captura_NoFin!H105,""))</f>
        <v>6.9713812714437065E-2</v>
      </c>
      <c r="J105" s="24">
        <f>IF(COUNT(Captura_NoFin!I105,Captura_NoFin!H105)&lt;2,"",IFERROR(Captura_NoFin!I105/Captura_NoFin!H105,""))</f>
        <v>0.53994235729792761</v>
      </c>
      <c r="K105" s="23">
        <f>IF(OR(E105="",COUNT(Captura_NoFin!L105)&lt;1),"",IFERROR(E105/ABS(Captura_NoFin!L105),""))</f>
        <v>10.940991051899838</v>
      </c>
      <c r="L105" s="23">
        <f>IF(COUNT(Captura_NoFin!K105,Captura_NoFin!H105)&lt;2,"",IFERROR(Captura_NoFin!K105/Captura_NoFin!H105,""))</f>
        <v>0.57928216945182986</v>
      </c>
      <c r="M105" s="24">
        <f>IF(COUNT(Captura_NoFin!R105)&lt;1,"",IFERROR(IF(D105=2017,Captura_NoFin!R105/INDEX(Empresas!$I$2:$I$23,MATCH($A105,Empresas!$B$2:$B$23,0))-1,IF(COUNT(Captura_NoFin!R104)&lt;1,"",Captura_NoFin!R105/Captura_NoFin!R104-1)),""))</f>
        <v>0.1201755158163853</v>
      </c>
      <c r="N105" s="24">
        <f>IF(COUNT(Captura_NoFin!P105,Captura_NoFin!O105)&lt;2,"",IF(Captura_NoFin!O105&lt;=0,"",Captura_NoFin!P105/Captura_NoFin!O105))</f>
        <v>0.15016116980226829</v>
      </c>
      <c r="O105" s="25">
        <f t="shared" si="3"/>
        <v>8</v>
      </c>
      <c r="P105" s="26" t="str">
        <f>IF(COUNT(Captura_NoFin!H105,Captura_NoFin!I105,Captura_NoFin!J105)&lt;3,"",IF(ABS(Captura_NoFin!H105-Captura_NoFin!I105-Captura_NoFin!J105)&lt;=0.005*ABS(Captura_NoFin!H105),"OK","REVISAR"))</f>
        <v>OK</v>
      </c>
    </row>
    <row r="106" spans="1:16" ht="15" customHeight="1" x14ac:dyDescent="0.2">
      <c r="A106" s="20" t="str">
        <f>Captura_NoFin!A106</f>
        <v>CONCHATORO</v>
      </c>
      <c r="B106" s="20">
        <f>Captura_NoFin!B106</f>
        <v>2</v>
      </c>
      <c r="C106" s="20" t="str">
        <f>Captura_NoFin!C106</f>
        <v>Consumo</v>
      </c>
      <c r="D106" s="21">
        <f>Captura_NoFin!D106</f>
        <v>2022</v>
      </c>
      <c r="E106" s="22">
        <f>IF(COUNT(Captura_NoFin!M106,Captura_NoFin!L106)&lt;2,"",Captura_NoFin!M106+ABS(Captura_NoFin!L106))</f>
        <v>117287577</v>
      </c>
      <c r="F106" s="23">
        <f>IF(COUNT(Captura_NoFin!F106,Captura_NoFin!G106)&lt;2,"",IFERROR(Captura_NoFin!F106/Captura_NoFin!G106,""))</f>
        <v>1.7721776324779057</v>
      </c>
      <c r="G106" s="24">
        <f>IF(COUNT(Captura_NoFin!F106,Captura_NoFin!G106,Captura_NoFin!H106)&lt;3,"",IFERROR((Captura_NoFin!F106-Captura_NoFin!G106)/Captura_NoFin!H106,""))</f>
        <v>0.21608339310039731</v>
      </c>
      <c r="H106" s="24">
        <f>IF(OR(E106="",COUNT(Captura_NoFin!K106)&lt;1),"",IFERROR(E106/Captura_NoFin!K106,""))</f>
        <v>0.13472321732627138</v>
      </c>
      <c r="I106" s="24">
        <f>IF(COUNT(Captura_NoFin!N106,Captura_NoFin!H106)&lt;2,"",IFERROR(Captura_NoFin!N106/Captura_NoFin!H106,""))</f>
        <v>5.6255110303660601E-2</v>
      </c>
      <c r="J106" s="24">
        <f>IF(COUNT(Captura_NoFin!I106,Captura_NoFin!H106)&lt;2,"",IFERROR(Captura_NoFin!I106/Captura_NoFin!H106,""))</f>
        <v>0.51693103068999913</v>
      </c>
      <c r="K106" s="23">
        <f>IF(OR(E106="",COUNT(Captura_NoFin!L106)&lt;1),"",IFERROR(E106/ABS(Captura_NoFin!L106),""))</f>
        <v>7.5357366676899566</v>
      </c>
      <c r="L106" s="23">
        <f>IF(COUNT(Captura_NoFin!K106,Captura_NoFin!H106)&lt;2,"",IFERROR(Captura_NoFin!K106/Captura_NoFin!H106,""))</f>
        <v>0.55038114724162168</v>
      </c>
      <c r="M106" s="24">
        <f>IF(COUNT(Captura_NoFin!R106)&lt;1,"",IFERROR(IF(D106=2017,Captura_NoFin!R106/INDEX(Empresas!$I$2:$I$23,MATCH($A106,Empresas!$B$2:$B$23,0))-1,IF(COUNT(Captura_NoFin!R105)&lt;1,"",Captura_NoFin!R106/Captura_NoFin!R105-1)),""))</f>
        <v>-0.16325986786398561</v>
      </c>
      <c r="N106" s="24">
        <f>IF(COUNT(Captura_NoFin!P106,Captura_NoFin!O106)&lt;2,"",IF(Captura_NoFin!O106&lt;=0,"",Captura_NoFin!P106/Captura_NoFin!O106))</f>
        <v>0.11524427488876818</v>
      </c>
      <c r="O106" s="25">
        <f t="shared" si="3"/>
        <v>8</v>
      </c>
      <c r="P106" s="26" t="str">
        <f>IF(COUNT(Captura_NoFin!H106,Captura_NoFin!I106,Captura_NoFin!J106)&lt;3,"",IF(ABS(Captura_NoFin!H106-Captura_NoFin!I106-Captura_NoFin!J106)&lt;=0.005*ABS(Captura_NoFin!H106),"OK","REVISAR"))</f>
        <v>OK</v>
      </c>
    </row>
    <row r="107" spans="1:16" ht="15" customHeight="1" x14ac:dyDescent="0.2">
      <c r="A107" s="20" t="str">
        <f>Captura_NoFin!A107</f>
        <v>CONCHATORO</v>
      </c>
      <c r="B107" s="20">
        <f>Captura_NoFin!B107</f>
        <v>2</v>
      </c>
      <c r="C107" s="20" t="str">
        <f>Captura_NoFin!C107</f>
        <v>Consumo</v>
      </c>
      <c r="D107" s="21">
        <f>Captura_NoFin!D107</f>
        <v>2023</v>
      </c>
      <c r="E107" s="22">
        <f>IF(COUNT(Captura_NoFin!M107,Captura_NoFin!L107)&lt;2,"",Captura_NoFin!M107+ABS(Captura_NoFin!L107))</f>
        <v>74542889</v>
      </c>
      <c r="F107" s="23">
        <f>IF(COUNT(Captura_NoFin!F107,Captura_NoFin!G107)&lt;2,"",IFERROR(Captura_NoFin!F107/Captura_NoFin!G107,""))</f>
        <v>1.8006363838292314</v>
      </c>
      <c r="G107" s="24">
        <f>IF(COUNT(Captura_NoFin!F107,Captura_NoFin!G107,Captura_NoFin!H107)&lt;3,"",IFERROR((Captura_NoFin!F107-Captura_NoFin!G107)/Captura_NoFin!H107,""))</f>
        <v>0.22327549640620686</v>
      </c>
      <c r="H107" s="24">
        <f>IF(OR(E107="",COUNT(Captura_NoFin!K107)&lt;1),"",IFERROR(E107/Captura_NoFin!K107,""))</f>
        <v>8.903692544158498E-2</v>
      </c>
      <c r="I107" s="24">
        <f>IF(COUNT(Captura_NoFin!N107,Captura_NoFin!H107)&lt;2,"",IFERROR(Captura_NoFin!N107/Captura_NoFin!H107,""))</f>
        <v>2.6873230434306693E-2</v>
      </c>
      <c r="J107" s="24">
        <f>IF(COUNT(Captura_NoFin!I107,Captura_NoFin!H107)&lt;2,"",IFERROR(Captura_NoFin!I107/Captura_NoFin!H107,""))</f>
        <v>0.522110527069782</v>
      </c>
      <c r="K107" s="23">
        <f>IF(OR(E107="",COUNT(Captura_NoFin!L107)&lt;1),"",IFERROR(E107/ABS(Captura_NoFin!L107),""))</f>
        <v>3.3780143383764578</v>
      </c>
      <c r="L107" s="23">
        <f>IF(COUNT(Captura_NoFin!K107,Captura_NoFin!H107)&lt;2,"",IFERROR(Captura_NoFin!K107/Captura_NoFin!H107,""))</f>
        <v>0.51157604089638165</v>
      </c>
      <c r="M107" s="24">
        <f>IF(COUNT(Captura_NoFin!R107)&lt;1,"",IFERROR(IF(D107=2017,Captura_NoFin!R107/INDEX(Empresas!$I$2:$I$23,MATCH($A107,Empresas!$B$2:$B$23,0))-1,IF(COUNT(Captura_NoFin!R106)&lt;1,"",Captura_NoFin!R107/Captura_NoFin!R106-1)),""))</f>
        <v>1.8494669883311277E-2</v>
      </c>
      <c r="N107" s="24">
        <f>IF(COUNT(Captura_NoFin!P107,Captura_NoFin!O107)&lt;2,"",IF(Captura_NoFin!O107&lt;=0,"",Captura_NoFin!P107/Captura_NoFin!O107))</f>
        <v>5.570025472267591E-2</v>
      </c>
      <c r="O107" s="25">
        <f t="shared" si="3"/>
        <v>8</v>
      </c>
      <c r="P107" s="26" t="str">
        <f>IF(COUNT(Captura_NoFin!H107,Captura_NoFin!I107,Captura_NoFin!J107)&lt;3,"",IF(ABS(Captura_NoFin!H107-Captura_NoFin!I107-Captura_NoFin!J107)&lt;=0.005*ABS(Captura_NoFin!H107),"OK","REVISAR"))</f>
        <v>OK</v>
      </c>
    </row>
    <row r="108" spans="1:16" ht="15" customHeight="1" x14ac:dyDescent="0.2">
      <c r="A108" s="20" t="str">
        <f>Captura_NoFin!A108</f>
        <v>CONCHATORO</v>
      </c>
      <c r="B108" s="20">
        <f>Captura_NoFin!B108</f>
        <v>2</v>
      </c>
      <c r="C108" s="20" t="str">
        <f>Captura_NoFin!C108</f>
        <v>Consumo</v>
      </c>
      <c r="D108" s="21">
        <f>Captura_NoFin!D108</f>
        <v>2024</v>
      </c>
      <c r="E108" s="22">
        <f>IF(COUNT(Captura_NoFin!M108,Captura_NoFin!L108)&lt;2,"",Captura_NoFin!M108+ABS(Captura_NoFin!L108))</f>
        <v>129203433</v>
      </c>
      <c r="F108" s="23">
        <f>IF(COUNT(Captura_NoFin!F108,Captura_NoFin!G108)&lt;2,"",IFERROR(Captura_NoFin!F108/Captura_NoFin!G108,""))</f>
        <v>1.6805240944732565</v>
      </c>
      <c r="G108" s="24">
        <f>IF(COUNT(Captura_NoFin!F108,Captura_NoFin!G108,Captura_NoFin!H108)&lt;3,"",IFERROR((Captura_NoFin!F108-Captura_NoFin!G108)/Captura_NoFin!H108,""))</f>
        <v>0.20016278568475751</v>
      </c>
      <c r="H108" s="24">
        <f>IF(OR(E108="",COUNT(Captura_NoFin!K108)&lt;1),"",IFERROR(E108/Captura_NoFin!K108,""))</f>
        <v>0.13477925706460869</v>
      </c>
      <c r="I108" s="24">
        <f>IF(COUNT(Captura_NoFin!N108,Captura_NoFin!H108)&lt;2,"",IFERROR(Captura_NoFin!N108/Captura_NoFin!H108,""))</f>
        <v>4.5790928155345502E-2</v>
      </c>
      <c r="J108" s="24">
        <f>IF(COUNT(Captura_NoFin!I108,Captura_NoFin!H108)&lt;2,"",IFERROR(Captura_NoFin!I108/Captura_NoFin!H108,""))</f>
        <v>0.52006798214026506</v>
      </c>
      <c r="K108" s="23">
        <f>IF(OR(E108="",COUNT(Captura_NoFin!L108)&lt;1),"",IFERROR(E108/ABS(Captura_NoFin!L108),""))</f>
        <v>5.478588552946035</v>
      </c>
      <c r="L108" s="23">
        <f>IF(COUNT(Captura_NoFin!K108,Captura_NoFin!H108)&lt;2,"",IFERROR(Captura_NoFin!K108/Captura_NoFin!H108,""))</f>
        <v>0.55774214857147741</v>
      </c>
      <c r="M108" s="24">
        <f>IF(COUNT(Captura_NoFin!R108)&lt;1,"",IFERROR(IF(D108=2017,Captura_NoFin!R108/INDEX(Empresas!$I$2:$I$23,MATCH($A108,Empresas!$B$2:$B$23,0))-1,IF(COUNT(Captura_NoFin!R107)&lt;1,"",Captura_NoFin!R108/Captura_NoFin!R107-1)),""))</f>
        <v>7.1369508772086698E-2</v>
      </c>
      <c r="N108" s="24">
        <f>IF(COUNT(Captura_NoFin!P108,Captura_NoFin!O108)&lt;2,"",IF(Captura_NoFin!O108&lt;=0,"",Captura_NoFin!P108/Captura_NoFin!O108))</f>
        <v>9.4683527273662874E-2</v>
      </c>
      <c r="O108" s="25">
        <f t="shared" si="3"/>
        <v>8</v>
      </c>
      <c r="P108" s="26" t="str">
        <f>IF(COUNT(Captura_NoFin!H108,Captura_NoFin!I108,Captura_NoFin!J108)&lt;3,"",IF(ABS(Captura_NoFin!H108-Captura_NoFin!I108-Captura_NoFin!J108)&lt;=0.005*ABS(Captura_NoFin!H108),"OK","REVISAR"))</f>
        <v>OK</v>
      </c>
    </row>
    <row r="109" spans="1:16" ht="15" customHeight="1" x14ac:dyDescent="0.2">
      <c r="A109" s="20" t="str">
        <f>Captura_NoFin!A109</f>
        <v>CONCHATORO</v>
      </c>
      <c r="B109" s="20">
        <f>Captura_NoFin!B109</f>
        <v>2</v>
      </c>
      <c r="C109" s="20" t="str">
        <f>Captura_NoFin!C109</f>
        <v>Consumo</v>
      </c>
      <c r="D109" s="21">
        <f>Captura_NoFin!D109</f>
        <v>2025</v>
      </c>
      <c r="E109" s="22">
        <f>IF(COUNT(Captura_NoFin!M109,Captura_NoFin!L109)&lt;2,"",Captura_NoFin!M109+ABS(Captura_NoFin!L109))</f>
        <v>111676152</v>
      </c>
      <c r="F109" s="23">
        <f>IF(COUNT(Captura_NoFin!F109,Captura_NoFin!G109)&lt;2,"",IFERROR(Captura_NoFin!F109/Captura_NoFin!G109,""))</f>
        <v>1.8265043401800571</v>
      </c>
      <c r="G109" s="24">
        <f>IF(COUNT(Captura_NoFin!F109,Captura_NoFin!G109,Captura_NoFin!H109)&lt;3,"",IFERROR((Captura_NoFin!F109-Captura_NoFin!G109)/Captura_NoFin!H109,""))</f>
        <v>0.21997834053528662</v>
      </c>
      <c r="H109" s="24">
        <f>IF(OR(E109="",COUNT(Captura_NoFin!K109)&lt;1),"",IFERROR(E109/Captura_NoFin!K109,""))</f>
        <v>0.11450054237478485</v>
      </c>
      <c r="I109" s="24">
        <f>IF(COUNT(Captura_NoFin!N109,Captura_NoFin!H109)&lt;2,"",IFERROR(Captura_NoFin!N109/Captura_NoFin!H109,""))</f>
        <v>3.934699023525632E-2</v>
      </c>
      <c r="J109" s="24">
        <f>IF(COUNT(Captura_NoFin!I109,Captura_NoFin!H109)&lt;2,"",IFERROR(Captura_NoFin!I109/Captura_NoFin!H109,""))</f>
        <v>0.50144114015877983</v>
      </c>
      <c r="K109" s="23">
        <f>IF(OR(E109="",COUNT(Captura_NoFin!L109)&lt;1),"",IFERROR(E109/ABS(Captura_NoFin!L109),""))</f>
        <v>5.3185621309042874</v>
      </c>
      <c r="L109" s="23">
        <f>IF(COUNT(Captura_NoFin!K109,Captura_NoFin!H109)&lt;2,"",IFERROR(Captura_NoFin!K109/Captura_NoFin!H109,""))</f>
        <v>0.56145370307982334</v>
      </c>
      <c r="M109" s="24">
        <f>IF(COUNT(Captura_NoFin!R109)&lt;1,"",IFERROR(IF(D109=2017,Captura_NoFin!R109/INDEX(Empresas!$I$2:$I$23,MATCH($A109,Empresas!$B$2:$B$23,0))-1,IF(COUNT(Captura_NoFin!R108)&lt;1,"",Captura_NoFin!R109/Captura_NoFin!R108-1)),""))</f>
        <v>-2.3984670060994806E-2</v>
      </c>
      <c r="N109" s="24">
        <f>IF(COUNT(Captura_NoFin!P109,Captura_NoFin!O109)&lt;2,"",IF(Captura_NoFin!O109&lt;=0,"",Captura_NoFin!P109/Captura_NoFin!O109))</f>
        <v>7.8315220351044934E-2</v>
      </c>
      <c r="O109" s="25">
        <f t="shared" si="3"/>
        <v>8</v>
      </c>
      <c r="P109" s="26" t="str">
        <f>IF(COUNT(Captura_NoFin!H109,Captura_NoFin!I109,Captura_NoFin!J109)&lt;3,"",IF(ABS(Captura_NoFin!H109-Captura_NoFin!I109-Captura_NoFin!J109)&lt;=0.005*ABS(Captura_NoFin!H109),"OK","REVISAR"))</f>
        <v>OK</v>
      </c>
    </row>
    <row r="110" spans="1:16" ht="15" customHeight="1" x14ac:dyDescent="0.2">
      <c r="A110" s="20" t="str">
        <f>Captura_NoFin!A110</f>
        <v>LTM</v>
      </c>
      <c r="B110" s="20">
        <f>Captura_NoFin!B110</f>
        <v>3</v>
      </c>
      <c r="C110" s="20" t="str">
        <f>Captura_NoFin!C110</f>
        <v>Industria, recursos naturales e inmobiliario</v>
      </c>
      <c r="D110" s="21">
        <f>Captura_NoFin!D110</f>
        <v>2017</v>
      </c>
      <c r="E110" s="22">
        <f>IF(COUNT(Captura_NoFin!M110,Captura_NoFin!L110)&lt;2,"",Captura_NoFin!M110+ABS(Captura_NoFin!L110))</f>
        <v>767504</v>
      </c>
      <c r="F110" s="23">
        <f>IF(COUNT(Captura_NoFin!F110,Captura_NoFin!G110)&lt;2,"",IFERROR(Captura_NoFin!F110/Captura_NoFin!G110,""))</f>
        <v>0.64105465371058723</v>
      </c>
      <c r="G110" s="24">
        <f>IF(COUNT(Captura_NoFin!F110,Captura_NoFin!G110,Captura_NoFin!H110)&lt;3,"",IFERROR((Captura_NoFin!F110-Captura_NoFin!G110)/Captura_NoFin!H110,""))</f>
        <v>-0.11156602424984993</v>
      </c>
      <c r="H110" s="24">
        <f>IF(OR(E110="",COUNT(Captura_NoFin!K110)&lt;1),"",IFERROR(E110/Captura_NoFin!K110,""))</f>
        <v>7.9832684048223065E-2</v>
      </c>
      <c r="I110" s="24">
        <f>IF(COUNT(Captura_NoFin!N110,Captura_NoFin!H110)&lt;2,"",IFERROR(Captura_NoFin!N110/Captura_NoFin!H110,""))</f>
        <v>1.0677428394935368E-2</v>
      </c>
      <c r="J110" s="24">
        <f>IF(COUNT(Captura_NoFin!I110,Captura_NoFin!H110)&lt;2,"",IFERROR(Captura_NoFin!I110/Captura_NoFin!H110,""))</f>
        <v>0.77299487412791124</v>
      </c>
      <c r="K110" s="23">
        <f>IF(OR(E110="",COUNT(Captura_NoFin!L110)&lt;1),"",IFERROR(E110/ABS(Captura_NoFin!L110),""))</f>
        <v>1.9515161994070473</v>
      </c>
      <c r="L110" s="23">
        <f>IF(COUNT(Captura_NoFin!K110,Captura_NoFin!H110)&lt;2,"",IFERROR(Captura_NoFin!K110/Captura_NoFin!H110,""))</f>
        <v>0.51143320141130122</v>
      </c>
      <c r="M110" s="24">
        <f>IF(COUNT(Captura_NoFin!R110)&lt;1,"",IFERROR(IF(D110=2017,Captura_NoFin!R110/INDEX(Empresas!$I$2:$I$23,MATCH($A110,Empresas!$B$2:$B$23,0))-1,IF(COUNT(Captura_NoFin!R109)&lt;1,"",Captura_NoFin!R110/Captura_NoFin!R109-1)),""))</f>
        <v>0.54906252080068363</v>
      </c>
      <c r="N110" s="24">
        <f>IF(COUNT(Captura_NoFin!P110,Captura_NoFin!O110)&lt;2,"",IF(Captura_NoFin!O110&lt;=0,"",Captura_NoFin!P110/Captura_NoFin!O110))</f>
        <v>3.7188862593685146E-2</v>
      </c>
      <c r="O110" s="25">
        <f t="shared" si="3"/>
        <v>8</v>
      </c>
      <c r="P110" s="26" t="str">
        <f>IF(COUNT(Captura_NoFin!H110,Captura_NoFin!I110,Captura_NoFin!J110)&lt;3,"",IF(ABS(Captura_NoFin!H110-Captura_NoFin!I110-Captura_NoFin!J110)&lt;=0.005*ABS(Captura_NoFin!H110),"OK","REVISAR"))</f>
        <v>OK</v>
      </c>
    </row>
    <row r="111" spans="1:16" ht="15" customHeight="1" x14ac:dyDescent="0.2">
      <c r="A111" s="20" t="str">
        <f>Captura_NoFin!A111</f>
        <v>LTM</v>
      </c>
      <c r="B111" s="20">
        <f>Captura_NoFin!B111</f>
        <v>3</v>
      </c>
      <c r="C111" s="20" t="str">
        <f>Captura_NoFin!C111</f>
        <v>Industria, recursos naturales e inmobiliario</v>
      </c>
      <c r="D111" s="21">
        <f>Captura_NoFin!D111</f>
        <v>2018</v>
      </c>
      <c r="E111" s="22">
        <f>IF(COUNT(Captura_NoFin!M111,Captura_NoFin!L111)&lt;2,"",Captura_NoFin!M111+ABS(Captura_NoFin!L111))</f>
        <v>653298</v>
      </c>
      <c r="F111" s="23">
        <f>IF(COUNT(Captura_NoFin!F111,Captura_NoFin!G111)&lt;2,"",IFERROR(Captura_NoFin!F111/Captura_NoFin!G111,""))</f>
        <v>0.59373482604360905</v>
      </c>
      <c r="G111" s="24">
        <f>IF(COUNT(Captura_NoFin!F111,Captura_NoFin!G111,Captura_NoFin!H111)&lt;3,"",IFERROR((Captura_NoFin!F111-Captura_NoFin!G111)/Captura_NoFin!H111,""))</f>
        <v>-0.12878799565794</v>
      </c>
      <c r="H111" s="24">
        <f>IF(OR(E111="",COUNT(Captura_NoFin!K111)&lt;1),"",IFERROR(E111/Captura_NoFin!K111,""))</f>
        <v>6.6019999482590797E-2</v>
      </c>
      <c r="I111" s="24">
        <f>IF(COUNT(Captura_NoFin!N111,Captura_NoFin!H111)&lt;2,"",IFERROR(Captura_NoFin!N111/Captura_NoFin!H111,""))</f>
        <v>1.2139221668266182E-2</v>
      </c>
      <c r="J111" s="24">
        <f>IF(COUNT(Captura_NoFin!I111,Captura_NoFin!H111)&lt;2,"",IFERROR(Captura_NoFin!I111/Captura_NoFin!H111,""))</f>
        <v>0.78671238326757376</v>
      </c>
      <c r="K111" s="23">
        <f>IF(OR(E111="",COUNT(Captura_NoFin!L111)&lt;1),"",IFERROR(E111/ABS(Captura_NoFin!L111),""))</f>
        <v>1.8337211489071461</v>
      </c>
      <c r="L111" s="23">
        <f>IF(COUNT(Captura_NoFin!K111,Captura_NoFin!H111)&lt;2,"",IFERROR(Captura_NoFin!K111/Captura_NoFin!H111,""))</f>
        <v>0.56330515267541681</v>
      </c>
      <c r="M111" s="24">
        <f>IF(COUNT(Captura_NoFin!R111)&lt;1,"",IFERROR(IF(D111=2017,Captura_NoFin!R111/INDEX(Empresas!$I$2:$I$23,MATCH($A111,Empresas!$B$2:$B$23,0))-1,IF(COUNT(Captura_NoFin!R110)&lt;1,"",Captura_NoFin!R111/Captura_NoFin!R110-1)),""))</f>
        <v>-0.20459500111229556</v>
      </c>
      <c r="N111" s="24">
        <f>IF(COUNT(Captura_NoFin!P111,Captura_NoFin!O111)&lt;2,"",IF(Captura_NoFin!O111&lt;=0,"",Captura_NoFin!P111/Captura_NoFin!O111))</f>
        <v>4.9616344990613161E-2</v>
      </c>
      <c r="O111" s="25">
        <f t="shared" si="3"/>
        <v>8</v>
      </c>
      <c r="P111" s="26" t="str">
        <f>IF(COUNT(Captura_NoFin!H111,Captura_NoFin!I111,Captura_NoFin!J111)&lt;3,"",IF(ABS(Captura_NoFin!H111-Captura_NoFin!I111-Captura_NoFin!J111)&lt;=0.005*ABS(Captura_NoFin!H111),"OK","REVISAR"))</f>
        <v>OK</v>
      </c>
    </row>
    <row r="112" spans="1:16" ht="15" customHeight="1" x14ac:dyDescent="0.2">
      <c r="A112" s="20" t="str">
        <f>Captura_NoFin!A112</f>
        <v>LTM</v>
      </c>
      <c r="B112" s="20">
        <f>Captura_NoFin!B112</f>
        <v>3</v>
      </c>
      <c r="C112" s="20" t="str">
        <f>Captura_NoFin!C112</f>
        <v>Industria, recursos naturales e inmobiliario</v>
      </c>
      <c r="D112" s="21">
        <f>Captura_NoFin!D112</f>
        <v>2019</v>
      </c>
      <c r="E112" s="22">
        <f>IF(COUNT(Captura_NoFin!M112,Captura_NoFin!L112)&lt;2,"",Captura_NoFin!M112+ABS(Captura_NoFin!L112))</f>
        <v>731850</v>
      </c>
      <c r="F112" s="23">
        <f>IF(COUNT(Captura_NoFin!F112,Captura_NoFin!G112)&lt;2,"",IFERROR(Captura_NoFin!F112/Captura_NoFin!G112,""))</f>
        <v>0.57725348092255335</v>
      </c>
      <c r="G112" s="24">
        <f>IF(COUNT(Captura_NoFin!F112,Captura_NoFin!G112,Captura_NoFin!H112)&lt;3,"",IFERROR((Captura_NoFin!F112-Captura_NoFin!G112)/Captura_NoFin!H112,""))</f>
        <v>-0.13954576403064406</v>
      </c>
      <c r="H112" s="24">
        <f>IF(OR(E112="",COUNT(Captura_NoFin!K112)&lt;1),"",IFERROR(E112/Captura_NoFin!K112,""))</f>
        <v>7.2675811462152726E-2</v>
      </c>
      <c r="I112" s="24">
        <f>IF(COUNT(Captura_NoFin!N112,Captura_NoFin!H112)&lt;2,"",IFERROR(Captura_NoFin!N112/Captura_NoFin!H112,""))</f>
        <v>9.2761190993505913E-3</v>
      </c>
      <c r="J112" s="24">
        <f>IF(COUNT(Captura_NoFin!I112,Captura_NoFin!H112)&lt;2,"",IFERROR(Captura_NoFin!I112/Captura_NoFin!H112,""))</f>
        <v>0.85161201691631649</v>
      </c>
      <c r="K112" s="23">
        <f>IF(OR(E112="",COUNT(Captura_NoFin!L112)&lt;1),"",IFERROR(E112/ABS(Captura_NoFin!L112),""))</f>
        <v>1.240562503602098</v>
      </c>
      <c r="L112" s="23">
        <f>IF(COUNT(Captura_NoFin!K112,Captura_NoFin!H112)&lt;2,"",IFERROR(Captura_NoFin!K112/Captura_NoFin!H112,""))</f>
        <v>0.47753014230119528</v>
      </c>
      <c r="M112" s="24">
        <f>IF(COUNT(Captura_NoFin!R112)&lt;1,"",IFERROR(IF(D112=2017,Captura_NoFin!R112/INDEX(Empresas!$I$2:$I$23,MATCH($A112,Empresas!$B$2:$B$23,0))-1,IF(COUNT(Captura_NoFin!R111)&lt;1,"",Captura_NoFin!R112/Captura_NoFin!R111-1)),""))</f>
        <v>8.8099848398407232E-2</v>
      </c>
      <c r="N112" s="24">
        <f>IF(COUNT(Captura_NoFin!P112,Captura_NoFin!O112)&lt;2,"",IF(Captura_NoFin!O112&lt;=0,"",Captura_NoFin!P112/Captura_NoFin!O112))</f>
        <v>6.0825059042756729E-2</v>
      </c>
      <c r="O112" s="25">
        <f t="shared" si="3"/>
        <v>8</v>
      </c>
      <c r="P112" s="26" t="str">
        <f>IF(COUNT(Captura_NoFin!H112,Captura_NoFin!I112,Captura_NoFin!J112)&lt;3,"",IF(ABS(Captura_NoFin!H112-Captura_NoFin!I112-Captura_NoFin!J112)&lt;=0.005*ABS(Captura_NoFin!H112),"OK","REVISAR"))</f>
        <v>OK</v>
      </c>
    </row>
    <row r="113" spans="1:16" ht="15" customHeight="1" x14ac:dyDescent="0.2">
      <c r="A113" s="20" t="str">
        <f>Captura_NoFin!A113</f>
        <v>LTM</v>
      </c>
      <c r="B113" s="20">
        <f>Captura_NoFin!B113</f>
        <v>3</v>
      </c>
      <c r="C113" s="20" t="str">
        <f>Captura_NoFin!C113</f>
        <v>Industria, recursos naturales e inmobiliario</v>
      </c>
      <c r="D113" s="21">
        <f>Captura_NoFin!D113</f>
        <v>2020</v>
      </c>
      <c r="E113" s="22">
        <f>IF(COUNT(Captura_NoFin!M113,Captura_NoFin!L113)&lt;2,"",Captura_NoFin!M113+ABS(Captura_NoFin!L113))</f>
        <v>-4518744</v>
      </c>
      <c r="F113" s="23">
        <f>IF(COUNT(Captura_NoFin!F113,Captura_NoFin!G113)&lt;2,"",IFERROR(Captura_NoFin!F113/Captura_NoFin!G113,""))</f>
        <v>0.4195922309570031</v>
      </c>
      <c r="G113" s="24">
        <f>IF(COUNT(Captura_NoFin!F113,Captura_NoFin!G113,Captura_NoFin!H113)&lt;3,"",IFERROR((Captura_NoFin!F113-Captura_NoFin!G113)/Captura_NoFin!H113,""))</f>
        <v>-0.2778482424062737</v>
      </c>
      <c r="H113" s="24">
        <f>IF(OR(E113="",COUNT(Captura_NoFin!K113)&lt;1),"",IFERROR(E113/Captura_NoFin!K113,""))</f>
        <v>-1.1516634821456562</v>
      </c>
      <c r="I113" s="24">
        <f>IF(COUNT(Captura_NoFin!N113,Captura_NoFin!H113)&lt;2,"",IFERROR(Captura_NoFin!N113/Captura_NoFin!H113,""))</f>
        <v>-0.29108682442081801</v>
      </c>
      <c r="J113" s="24">
        <f>IF(COUNT(Captura_NoFin!I113,Captura_NoFin!H113)&lt;2,"",IFERROR(Captura_NoFin!I113/Captura_NoFin!H113,""))</f>
        <v>1.1560620418157339</v>
      </c>
      <c r="K113" s="23">
        <f>IF(OR(E113="",COUNT(Captura_NoFin!L113)&lt;1),"",IFERROR(E113/ABS(Captura_NoFin!L113),""))</f>
        <v>-7.698306072278565</v>
      </c>
      <c r="L113" s="23">
        <f>IF(COUNT(Captura_NoFin!K113,Captura_NoFin!H113)&lt;2,"",IFERROR(Captura_NoFin!K113/Captura_NoFin!H113,""))</f>
        <v>0.25071210453102827</v>
      </c>
      <c r="M113" s="24">
        <f>IF(COUNT(Captura_NoFin!R113)&lt;1,"",IFERROR(IF(D113=2017,Captura_NoFin!R113/INDEX(Empresas!$I$2:$I$23,MATCH($A113,Empresas!$B$2:$B$23,0))-1,IF(COUNT(Captura_NoFin!R112)&lt;1,"",Captura_NoFin!R113/Captura_NoFin!R112-1)),""))</f>
        <v>-0.83218023539393526</v>
      </c>
      <c r="N113" s="24" t="str">
        <f>IF(COUNT(Captura_NoFin!P113,Captura_NoFin!O113)&lt;2,"",IF(Captura_NoFin!O113&lt;=0,"",Captura_NoFin!P113/Captura_NoFin!O113))</f>
        <v/>
      </c>
      <c r="O113" s="25">
        <f t="shared" si="3"/>
        <v>8</v>
      </c>
      <c r="P113" s="26" t="str">
        <f>IF(COUNT(Captura_NoFin!H113,Captura_NoFin!I113,Captura_NoFin!J113)&lt;3,"",IF(ABS(Captura_NoFin!H113-Captura_NoFin!I113-Captura_NoFin!J113)&lt;=0.005*ABS(Captura_NoFin!H113),"OK","REVISAR"))</f>
        <v>OK</v>
      </c>
    </row>
    <row r="114" spans="1:16" ht="15" customHeight="1" x14ac:dyDescent="0.2">
      <c r="A114" s="20" t="str">
        <f>Captura_NoFin!A114</f>
        <v>LTM</v>
      </c>
      <c r="B114" s="20">
        <f>Captura_NoFin!B114</f>
        <v>3</v>
      </c>
      <c r="C114" s="20" t="str">
        <f>Captura_NoFin!C114</f>
        <v>Industria, recursos naturales e inmobiliario</v>
      </c>
      <c r="D114" s="21">
        <f>Captura_NoFin!D114</f>
        <v>2021</v>
      </c>
      <c r="E114" s="22">
        <f>IF(COUNT(Captura_NoFin!M114,Captura_NoFin!L114)&lt;2,"",Captura_NoFin!M114+ABS(Captura_NoFin!L114))</f>
        <v>-3278663</v>
      </c>
      <c r="F114" s="23">
        <f>IF(COUNT(Captura_NoFin!F114,Captura_NoFin!G114)&lt;2,"",IFERROR(Captura_NoFin!F114/Captura_NoFin!G114,""))</f>
        <v>0.21227262359640472</v>
      </c>
      <c r="G114" s="24">
        <f>IF(COUNT(Captura_NoFin!F114,Captura_NoFin!G114,Captura_NoFin!H114)&lt;3,"",IFERROR((Captura_NoFin!F114-Captura_NoFin!G114)/Captura_NoFin!H114,""))</f>
        <v>-0.72987816603834688</v>
      </c>
      <c r="H114" s="24">
        <f>IF(OR(E114="",COUNT(Captura_NoFin!K114)&lt;1),"",IFERROR(E114/Captura_NoFin!K114,""))</f>
        <v>-0.67130485880981117</v>
      </c>
      <c r="I114" s="24">
        <f>IF(COUNT(Captura_NoFin!N114,Captura_NoFin!H114)&lt;2,"",IFERROR(Captura_NoFin!N114/Captura_NoFin!H114,""))</f>
        <v>-0.35008319582723796</v>
      </c>
      <c r="J114" s="24">
        <f>IF(COUNT(Captura_NoFin!I114,Captura_NoFin!H114)&lt;2,"",IFERROR(Captura_NoFin!I114/Captura_NoFin!H114,""))</f>
        <v>1.5316846846548615</v>
      </c>
      <c r="K114" s="23">
        <f>IF(OR(E114="",COUNT(Captura_NoFin!L114)&lt;1),"",IFERROR(E114/ABS(Captura_NoFin!L114),""))</f>
        <v>-4.0701227990029096</v>
      </c>
      <c r="L114" s="23">
        <f>IF(COUNT(Captura_NoFin!K114,Captura_NoFin!H114)&lt;2,"",IFERROR(Captura_NoFin!K114/Captura_NoFin!H114,""))</f>
        <v>0.36745312729939633</v>
      </c>
      <c r="M114" s="24">
        <f>IF(COUNT(Captura_NoFin!R114)&lt;1,"",IFERROR(IF(D114=2017,Captura_NoFin!R114/INDEX(Empresas!$I$2:$I$23,MATCH($A114,Empresas!$B$2:$B$23,0))-1,IF(COUNT(Captura_NoFin!R113)&lt;1,"",Captura_NoFin!R114/Captura_NoFin!R113-1)),""))</f>
        <v>-0.7423235089263438</v>
      </c>
      <c r="N114" s="24" t="str">
        <f>IF(COUNT(Captura_NoFin!P114,Captura_NoFin!O114)&lt;2,"",IF(Captura_NoFin!O114&lt;=0,"",Captura_NoFin!P114/Captura_NoFin!O114))</f>
        <v/>
      </c>
      <c r="O114" s="25">
        <f t="shared" si="3"/>
        <v>8</v>
      </c>
      <c r="P114" s="26" t="str">
        <f>IF(COUNT(Captura_NoFin!H114,Captura_NoFin!I114,Captura_NoFin!J114)&lt;3,"",IF(ABS(Captura_NoFin!H114-Captura_NoFin!I114-Captura_NoFin!J114)&lt;=0.005*ABS(Captura_NoFin!H114),"OK","REVISAR"))</f>
        <v>OK</v>
      </c>
    </row>
    <row r="115" spans="1:16" ht="15" customHeight="1" x14ac:dyDescent="0.2">
      <c r="A115" s="20" t="str">
        <f>Captura_NoFin!A115</f>
        <v>LTM</v>
      </c>
      <c r="B115" s="20">
        <f>Captura_NoFin!B115</f>
        <v>3</v>
      </c>
      <c r="C115" s="20" t="str">
        <f>Captura_NoFin!C115</f>
        <v>Industria, recursos naturales e inmobiliario</v>
      </c>
      <c r="D115" s="21">
        <f>Captura_NoFin!D115</f>
        <v>2022</v>
      </c>
      <c r="E115" s="22">
        <f>IF(COUNT(Captura_NoFin!M115,Captura_NoFin!L115)&lt;2,"",Captura_NoFin!M115+ABS(Captura_NoFin!L115))</f>
        <v>2288454</v>
      </c>
      <c r="F115" s="23">
        <f>IF(COUNT(Captura_NoFin!F115,Captura_NoFin!G115)&lt;2,"",IFERROR(Captura_NoFin!F115/Captura_NoFin!G115,""))</f>
        <v>0.69495695851293893</v>
      </c>
      <c r="G115" s="24">
        <f>IF(COUNT(Captura_NoFin!F115,Captura_NoFin!G115,Captura_NoFin!H115)&lt;3,"",IFERROR((Captura_NoFin!F115-Captura_NoFin!G115)/Captura_NoFin!H115,""))</f>
        <v>-0.117498159113177</v>
      </c>
      <c r="H115" s="24">
        <f>IF(OR(E115="",COUNT(Captura_NoFin!K115)&lt;1),"",IFERROR(E115/Captura_NoFin!K115,""))</f>
        <v>0.24442711530366662</v>
      </c>
      <c r="I115" s="24">
        <f>IF(COUNT(Captura_NoFin!N115,Captura_NoFin!H115)&lt;2,"",IFERROR(Captura_NoFin!N115/Captura_NoFin!H115,""))</f>
        <v>0.10121372877681549</v>
      </c>
      <c r="J115" s="24">
        <f>IF(COUNT(Captura_NoFin!I115,Captura_NoFin!H115)&lt;2,"",IFERROR(Captura_NoFin!I115/Captura_NoFin!H115,""))</f>
        <v>0.99767459358184496</v>
      </c>
      <c r="K115" s="23">
        <f>IF(OR(E115="",COUNT(Captura_NoFin!L115)&lt;1),"",IFERROR(E115/ABS(Captura_NoFin!L115),""))</f>
        <v>2.4283178215689043</v>
      </c>
      <c r="L115" s="23">
        <f>IF(COUNT(Captura_NoFin!K115,Captura_NoFin!H115)&lt;2,"",IFERROR(Captura_NoFin!K115/Captura_NoFin!H115,""))</f>
        <v>0.70869003038674372</v>
      </c>
      <c r="M115" s="24">
        <f>IF(COUNT(Captura_NoFin!R115)&lt;1,"",IFERROR(IF(D115=2017,Captura_NoFin!R115/INDEX(Empresas!$I$2:$I$23,MATCH($A115,Empresas!$B$2:$B$23,0))-1,IF(COUNT(Captura_NoFin!R114)&lt;1,"",Captura_NoFin!R115/Captura_NoFin!R114-1)),""))</f>
        <v>-0.68947483822653077</v>
      </c>
      <c r="N115" s="24">
        <f>IF(COUNT(Captura_NoFin!P115,Captura_NoFin!O115)&lt;2,"",IF(Captura_NoFin!O115&lt;=0,"",Captura_NoFin!P115/Captura_NoFin!O115))</f>
        <v>31.676285538577982</v>
      </c>
      <c r="O115" s="25">
        <f t="shared" si="3"/>
        <v>8</v>
      </c>
      <c r="P115" s="26" t="str">
        <f>IF(COUNT(Captura_NoFin!H115,Captura_NoFin!I115,Captura_NoFin!J115)&lt;3,"",IF(ABS(Captura_NoFin!H115-Captura_NoFin!I115-Captura_NoFin!J115)&lt;=0.005*ABS(Captura_NoFin!H115),"OK","REVISAR"))</f>
        <v>OK</v>
      </c>
    </row>
    <row r="116" spans="1:16" ht="15" customHeight="1" x14ac:dyDescent="0.2">
      <c r="A116" s="20" t="str">
        <f>Captura_NoFin!A116</f>
        <v>LTM</v>
      </c>
      <c r="B116" s="20">
        <f>Captura_NoFin!B116</f>
        <v>3</v>
      </c>
      <c r="C116" s="20" t="str">
        <f>Captura_NoFin!C116</f>
        <v>Industria, recursos naturales e inmobiliario</v>
      </c>
      <c r="D116" s="21">
        <f>Captura_NoFin!D116</f>
        <v>2023</v>
      </c>
      <c r="E116" s="22">
        <f>IF(COUNT(Captura_NoFin!M116,Captura_NoFin!L116)&lt;2,"",Captura_NoFin!M116+ABS(Captura_NoFin!L116))</f>
        <v>1294723</v>
      </c>
      <c r="F116" s="23">
        <f>IF(COUNT(Captura_NoFin!F116,Captura_NoFin!G116)&lt;2,"",IFERROR(Captura_NoFin!F116/Captura_NoFin!G116,""))</f>
        <v>0.73897015454098747</v>
      </c>
      <c r="G116" s="24">
        <f>IF(COUNT(Captura_NoFin!F116,Captura_NoFin!G116,Captura_NoFin!H116)&lt;3,"",IFERROR((Captura_NoFin!F116-Captura_NoFin!G116)/Captura_NoFin!H116,""))</f>
        <v>-0.10123004789901902</v>
      </c>
      <c r="H116" s="24">
        <f>IF(OR(E116="",COUNT(Captura_NoFin!K116)&lt;1),"",IFERROR(E116/Captura_NoFin!K116,""))</f>
        <v>0.11122532878841285</v>
      </c>
      <c r="I116" s="24">
        <f>IF(COUNT(Captura_NoFin!N116,Captura_NoFin!H116)&lt;2,"",IFERROR(Captura_NoFin!N116/Captura_NoFin!H116,""))</f>
        <v>3.9649383680653211E-2</v>
      </c>
      <c r="J116" s="24">
        <f>IF(COUNT(Captura_NoFin!I116,Captura_NoFin!H116)&lt;2,"",IFERROR(Captura_NoFin!I116/Captura_NoFin!H116,""))</f>
        <v>0.97011893451528108</v>
      </c>
      <c r="K116" s="23">
        <f>IF(OR(E116="",COUNT(Captura_NoFin!L116)&lt;1),"",IFERROR(E116/ABS(Captura_NoFin!L116),""))</f>
        <v>1.8542903423079182</v>
      </c>
      <c r="L116" s="23">
        <f>IF(COUNT(Captura_NoFin!K116,Captura_NoFin!H116)&lt;2,"",IFERROR(Captura_NoFin!K116/Captura_NoFin!H116,""))</f>
        <v>0.79363816758554651</v>
      </c>
      <c r="M116" s="24">
        <f>IF(COUNT(Captura_NoFin!R116)&lt;1,"",IFERROR(IF(D116=2017,Captura_NoFin!R116/INDEX(Empresas!$I$2:$I$23,MATCH($A116,Empresas!$B$2:$B$23,0))-1,IF(COUNT(Captura_NoFin!R115)&lt;1,"",Captura_NoFin!R116/Captura_NoFin!R115-1)),""))</f>
        <v>0.68966748662014221</v>
      </c>
      <c r="N116" s="24">
        <f>IF(COUNT(Captura_NoFin!P116,Captura_NoFin!O116)&lt;2,"",IF(Captura_NoFin!O116&lt;=0,"",Captura_NoFin!P116/Captura_NoFin!O116))</f>
        <v>1.292090641391777</v>
      </c>
      <c r="O116" s="25">
        <f t="shared" si="3"/>
        <v>8</v>
      </c>
      <c r="P116" s="26" t="str">
        <f>IF(COUNT(Captura_NoFin!H116,Captura_NoFin!I116,Captura_NoFin!J116)&lt;3,"",IF(ABS(Captura_NoFin!H116-Captura_NoFin!I116-Captura_NoFin!J116)&lt;=0.005*ABS(Captura_NoFin!H116),"OK","REVISAR"))</f>
        <v>OK</v>
      </c>
    </row>
    <row r="117" spans="1:16" ht="15" customHeight="1" x14ac:dyDescent="0.2">
      <c r="A117" s="20" t="str">
        <f>Captura_NoFin!A117</f>
        <v>LTM</v>
      </c>
      <c r="B117" s="20">
        <f>Captura_NoFin!B117</f>
        <v>3</v>
      </c>
      <c r="C117" s="20" t="str">
        <f>Captura_NoFin!C117</f>
        <v>Industria, recursos naturales e inmobiliario</v>
      </c>
      <c r="D117" s="21">
        <f>Captura_NoFin!D117</f>
        <v>2024</v>
      </c>
      <c r="E117" s="22">
        <f>IF(COUNT(Captura_NoFin!M117,Captura_NoFin!L117)&lt;2,"",Captura_NoFin!M117+ABS(Captura_NoFin!L117))</f>
        <v>1875884</v>
      </c>
      <c r="F117" s="23">
        <f>IF(COUNT(Captura_NoFin!F117,Captura_NoFin!G117)&lt;2,"",IFERROR(Captura_NoFin!F117/Captura_NoFin!G117,""))</f>
        <v>0.62001541288113737</v>
      </c>
      <c r="G117" s="24">
        <f>IF(COUNT(Captura_NoFin!F117,Captura_NoFin!G117,Captura_NoFin!H117)&lt;3,"",IFERROR((Captura_NoFin!F117-Captura_NoFin!G117)/Captura_NoFin!H117,""))</f>
        <v>-0.15671446923351012</v>
      </c>
      <c r="H117" s="24">
        <f>IF(OR(E117="",COUNT(Captura_NoFin!K117)&lt;1),"",IFERROR(E117/Captura_NoFin!K117,""))</f>
        <v>0.14617608621743106</v>
      </c>
      <c r="I117" s="24">
        <f>IF(COUNT(Captura_NoFin!N117,Captura_NoFin!H117)&lt;2,"",IFERROR(Captura_NoFin!N117/Captura_NoFin!H117,""))</f>
        <v>6.4080614343130185E-2</v>
      </c>
      <c r="J117" s="24">
        <f>IF(COUNT(Captura_NoFin!I117,Captura_NoFin!H117)&lt;2,"",IFERROR(Captura_NoFin!I117/Captura_NoFin!H117,""))</f>
        <v>0.9533657655212473</v>
      </c>
      <c r="K117" s="23">
        <f>IF(OR(E117="",COUNT(Captura_NoFin!L117)&lt;1),"",IFERROR(E117/ABS(Captura_NoFin!L117),""))</f>
        <v>2.1269731844208857</v>
      </c>
      <c r="L117" s="23">
        <f>IF(COUNT(Captura_NoFin!K117,Captura_NoFin!H117)&lt;2,"",IFERROR(Captura_NoFin!K117/Captura_NoFin!H117,""))</f>
        <v>0.84132537312258637</v>
      </c>
      <c r="M117" s="24">
        <f>IF(COUNT(Captura_NoFin!R117)&lt;1,"",IFERROR(IF(D117=2017,Captura_NoFin!R117/INDEX(Empresas!$I$2:$I$23,MATCH($A117,Empresas!$B$2:$B$23,0))-1,IF(COUNT(Captura_NoFin!R116)&lt;1,"",Captura_NoFin!R117/Captura_NoFin!R116-1)),""))</f>
        <v>0.43769616996140437</v>
      </c>
      <c r="N117" s="24">
        <f>IF(COUNT(Captura_NoFin!P117,Captura_NoFin!O117)&lt;2,"",IF(Captura_NoFin!O117&lt;=0,"",Captura_NoFin!P117/Captura_NoFin!O117))</f>
        <v>1.3507764076060431</v>
      </c>
      <c r="O117" s="25">
        <f t="shared" si="3"/>
        <v>8</v>
      </c>
      <c r="P117" s="26" t="str">
        <f>IF(COUNT(Captura_NoFin!H117,Captura_NoFin!I117,Captura_NoFin!J117)&lt;3,"",IF(ABS(Captura_NoFin!H117-Captura_NoFin!I117-Captura_NoFin!J117)&lt;=0.005*ABS(Captura_NoFin!H117),"OK","REVISAR"))</f>
        <v>OK</v>
      </c>
    </row>
    <row r="118" spans="1:16" ht="15" customHeight="1" x14ac:dyDescent="0.2">
      <c r="A118" s="20" t="str">
        <f>Captura_NoFin!A118</f>
        <v>LTM</v>
      </c>
      <c r="B118" s="20">
        <f>Captura_NoFin!B118</f>
        <v>3</v>
      </c>
      <c r="C118" s="20" t="str">
        <f>Captura_NoFin!C118</f>
        <v>Industria, recursos naturales e inmobiliario</v>
      </c>
      <c r="D118" s="21">
        <f>Captura_NoFin!D118</f>
        <v>2025</v>
      </c>
      <c r="E118" s="22">
        <f>IF(COUNT(Captura_NoFin!M118,Captura_NoFin!L118)&lt;2,"",Captura_NoFin!M118+ABS(Captura_NoFin!L118))</f>
        <v>2340034</v>
      </c>
      <c r="F118" s="23">
        <f>IF(COUNT(Captura_NoFin!F118,Captura_NoFin!G118)&lt;2,"",IFERROR(Captura_NoFin!F118/Captura_NoFin!G118,""))</f>
        <v>0.60090145939470774</v>
      </c>
      <c r="G118" s="24">
        <f>IF(COUNT(Captura_NoFin!F118,Captura_NoFin!G118,Captura_NoFin!H118)&lt;3,"",IFERROR((Captura_NoFin!F118-Captura_NoFin!G118)/Captura_NoFin!H118,""))</f>
        <v>-0.16502465776813655</v>
      </c>
      <c r="H118" s="24">
        <f>IF(OR(E118="",COUNT(Captura_NoFin!K118)&lt;1),"",IFERROR(E118/Captura_NoFin!K118,""))</f>
        <v>0.16403959437663618</v>
      </c>
      <c r="I118" s="24">
        <f>IF(COUNT(Captura_NoFin!N118,Captura_NoFin!H118)&lt;2,"",IFERROR(Captura_NoFin!N118/Captura_NoFin!H118,""))</f>
        <v>8.2964120122957508E-2</v>
      </c>
      <c r="J118" s="24">
        <f>IF(COUNT(Captura_NoFin!I118,Captura_NoFin!H118)&lt;2,"",IFERROR(Captura_NoFin!I118/Captura_NoFin!H118,""))</f>
        <v>0.9241987266969679</v>
      </c>
      <c r="K118" s="23">
        <f>IF(OR(E118="",COUNT(Captura_NoFin!L118)&lt;1),"",IFERROR(E118/ABS(Captura_NoFin!L118),""))</f>
        <v>3.2436680084722269</v>
      </c>
      <c r="L118" s="23">
        <f>IF(COUNT(Captura_NoFin!K118,Captura_NoFin!H118)&lt;2,"",IFERROR(Captura_NoFin!K118/Captura_NoFin!H118,""))</f>
        <v>0.80863579963166254</v>
      </c>
      <c r="M118" s="24">
        <f>IF(COUNT(Captura_NoFin!R118)&lt;1,"",IFERROR(IF(D118=2017,Captura_NoFin!R118/INDEX(Empresas!$I$2:$I$23,MATCH($A118,Empresas!$B$2:$B$23,0))-1,IF(COUNT(Captura_NoFin!R117)&lt;1,"",Captura_NoFin!R118/Captura_NoFin!R117-1)),""))</f>
        <v>0.77651136757329864</v>
      </c>
      <c r="N118" s="24">
        <f>IF(COUNT(Captura_NoFin!P118,Captura_NoFin!O118)&lt;2,"",IF(Captura_NoFin!O118&lt;=0,"",Captura_NoFin!P118/Captura_NoFin!O118))</f>
        <v>1.0850107833417806</v>
      </c>
      <c r="O118" s="25">
        <f t="shared" si="3"/>
        <v>8</v>
      </c>
      <c r="P118" s="26" t="str">
        <f>IF(COUNT(Captura_NoFin!H118,Captura_NoFin!I118,Captura_NoFin!J118)&lt;3,"",IF(ABS(Captura_NoFin!H118-Captura_NoFin!I118-Captura_NoFin!J118)&lt;=0.005*ABS(Captura_NoFin!H118),"OK","REVISAR"))</f>
        <v>OK</v>
      </c>
    </row>
    <row r="119" spans="1:16" ht="15" customHeight="1" x14ac:dyDescent="0.2">
      <c r="A119" s="20" t="str">
        <f>Captura_NoFin!A119</f>
        <v>PARAUCO</v>
      </c>
      <c r="B119" s="20">
        <f>Captura_NoFin!B119</f>
        <v>3</v>
      </c>
      <c r="C119" s="20" t="str">
        <f>Captura_NoFin!C119</f>
        <v>Industria, recursos naturales e inmobiliario</v>
      </c>
      <c r="D119" s="21">
        <f>Captura_NoFin!D119</f>
        <v>2017</v>
      </c>
      <c r="E119" s="22">
        <f>IF(COUNT(Captura_NoFin!M119,Captura_NoFin!L119)&lt;2,"",Captura_NoFin!M119+ABS(Captura_NoFin!L119))</f>
        <v>180931165</v>
      </c>
      <c r="F119" s="23">
        <f>IF(COUNT(Captura_NoFin!F119,Captura_NoFin!G119)&lt;2,"",IFERROR(Captura_NoFin!F119/Captura_NoFin!G119,""))</f>
        <v>2.4028638295855091</v>
      </c>
      <c r="G119" s="24">
        <f>IF(COUNT(Captura_NoFin!F119,Captura_NoFin!G119,Captura_NoFin!H119)&lt;3,"",IFERROR((Captura_NoFin!F119-Captura_NoFin!G119)/Captura_NoFin!H119,""))</f>
        <v>6.5286030867853159E-2</v>
      </c>
      <c r="H119" s="24">
        <f>IF(OR(E119="",COUNT(Captura_NoFin!K119)&lt;1),"",IFERROR(E119/Captura_NoFin!K119,""))</f>
        <v>0.99295391966680779</v>
      </c>
      <c r="I119" s="24">
        <f>IF(COUNT(Captura_NoFin!N119,Captura_NoFin!H119)&lt;2,"",IFERROR(Captura_NoFin!N119/Captura_NoFin!H119,""))</f>
        <v>4.7797645718940511E-2</v>
      </c>
      <c r="J119" s="24">
        <f>IF(COUNT(Captura_NoFin!I119,Captura_NoFin!H119)&lt;2,"",IFERROR(Captura_NoFin!I119/Captura_NoFin!H119,""))</f>
        <v>0.54792739136335478</v>
      </c>
      <c r="K119" s="23">
        <f>IF(OR(E119="",COUNT(Captura_NoFin!L119)&lt;1),"",IFERROR(E119/ABS(Captura_NoFin!L119),""))</f>
        <v>4.7505026749335153</v>
      </c>
      <c r="L119" s="23">
        <f>IF(COUNT(Captura_NoFin!K119,Captura_NoFin!H119)&lt;2,"",IFERROR(Captura_NoFin!K119/Captura_NoFin!H119,""))</f>
        <v>8.7560712548619829E-2</v>
      </c>
      <c r="M119" s="24">
        <f>IF(COUNT(Captura_NoFin!R119)&lt;1,"",IFERROR(IF(D119=2017,Captura_NoFin!R119/INDEX(Empresas!$I$2:$I$23,MATCH($A119,Empresas!$B$2:$B$23,0))-1,IF(COUNT(Captura_NoFin!R118)&lt;1,"",Captura_NoFin!R119/Captura_NoFin!R118-1)),""))</f>
        <v>0.26905982290353903</v>
      </c>
      <c r="N119" s="24">
        <f>IF(COUNT(Captura_NoFin!P119,Captura_NoFin!O119)&lt;2,"",IF(Captura_NoFin!O119&lt;=0,"",Captura_NoFin!P119/Captura_NoFin!O119))</f>
        <v>0.1114912688243367</v>
      </c>
      <c r="O119" s="25">
        <f t="shared" si="3"/>
        <v>8</v>
      </c>
      <c r="P119" s="26" t="str">
        <f>IF(COUNT(Captura_NoFin!H119,Captura_NoFin!I119,Captura_NoFin!J119)&lt;3,"",IF(ABS(Captura_NoFin!H119-Captura_NoFin!I119-Captura_NoFin!J119)&lt;=0.005*ABS(Captura_NoFin!H119),"OK","REVISAR"))</f>
        <v>OK</v>
      </c>
    </row>
    <row r="120" spans="1:16" ht="15" customHeight="1" x14ac:dyDescent="0.2">
      <c r="A120" s="20" t="str">
        <f>Captura_NoFin!A120</f>
        <v>PARAUCO</v>
      </c>
      <c r="B120" s="20">
        <f>Captura_NoFin!B120</f>
        <v>3</v>
      </c>
      <c r="C120" s="20" t="str">
        <f>Captura_NoFin!C120</f>
        <v>Industria, recursos naturales e inmobiliario</v>
      </c>
      <c r="D120" s="21">
        <f>Captura_NoFin!D120</f>
        <v>2018</v>
      </c>
      <c r="E120" s="22">
        <f>IF(COUNT(Captura_NoFin!M120,Captura_NoFin!L120)&lt;2,"",Captura_NoFin!M120+ABS(Captura_NoFin!L120))</f>
        <v>207475719</v>
      </c>
      <c r="F120" s="23">
        <f>IF(COUNT(Captura_NoFin!F120,Captura_NoFin!G120)&lt;2,"",IFERROR(Captura_NoFin!F120/Captura_NoFin!G120,""))</f>
        <v>1.913328295924777</v>
      </c>
      <c r="G120" s="24">
        <f>IF(COUNT(Captura_NoFin!F120,Captura_NoFin!G120,Captura_NoFin!H120)&lt;3,"",IFERROR((Captura_NoFin!F120-Captura_NoFin!G120)/Captura_NoFin!H120,""))</f>
        <v>7.309851958209182E-2</v>
      </c>
      <c r="H120" s="24">
        <f>IF(OR(E120="",COUNT(Captura_NoFin!K120)&lt;1),"",IFERROR(E120/Captura_NoFin!K120,""))</f>
        <v>1.0941756846479687</v>
      </c>
      <c r="I120" s="24">
        <f>IF(COUNT(Captura_NoFin!N120,Captura_NoFin!H120)&lt;2,"",IFERROR(Captura_NoFin!N120/Captura_NoFin!H120,""))</f>
        <v>5.1885711474538555E-2</v>
      </c>
      <c r="J120" s="24">
        <f>IF(COUNT(Captura_NoFin!I120,Captura_NoFin!H120)&lt;2,"",IFERROR(Captura_NoFin!I120/Captura_NoFin!H120,""))</f>
        <v>0.5466852875036462</v>
      </c>
      <c r="K120" s="23">
        <f>IF(OR(E120="",COUNT(Captura_NoFin!L120)&lt;1),"",IFERROR(E120/ABS(Captura_NoFin!L120),""))</f>
        <v>5.6645370793073671</v>
      </c>
      <c r="L120" s="23">
        <f>IF(COUNT(Captura_NoFin!K120,Captura_NoFin!H120)&lt;2,"",IFERROR(Captura_NoFin!K120/Captura_NoFin!H120,""))</f>
        <v>7.9735201670650985E-2</v>
      </c>
      <c r="M120" s="24">
        <f>IF(COUNT(Captura_NoFin!R120)&lt;1,"",IFERROR(IF(D120=2017,Captura_NoFin!R120/INDEX(Empresas!$I$2:$I$23,MATCH($A120,Empresas!$B$2:$B$23,0))-1,IF(COUNT(Captura_NoFin!R119)&lt;1,"",Captura_NoFin!R120/Captura_NoFin!R119-1)),""))</f>
        <v>-0.1749925505858243</v>
      </c>
      <c r="N120" s="24">
        <f>IF(COUNT(Captura_NoFin!P120,Captura_NoFin!O120)&lt;2,"",IF(Captura_NoFin!O120&lt;=0,"",Captura_NoFin!P120/Captura_NoFin!O120))</f>
        <v>0.1281366762361362</v>
      </c>
      <c r="O120" s="25">
        <f t="shared" si="3"/>
        <v>8</v>
      </c>
      <c r="P120" s="26" t="str">
        <f>IF(COUNT(Captura_NoFin!H120,Captura_NoFin!I120,Captura_NoFin!J120)&lt;3,"",IF(ABS(Captura_NoFin!H120-Captura_NoFin!I120-Captura_NoFin!J120)&lt;=0.005*ABS(Captura_NoFin!H120),"OK","REVISAR"))</f>
        <v>OK</v>
      </c>
    </row>
    <row r="121" spans="1:16" ht="15" customHeight="1" x14ac:dyDescent="0.2">
      <c r="A121" s="20" t="str">
        <f>Captura_NoFin!A121</f>
        <v>PARAUCO</v>
      </c>
      <c r="B121" s="20">
        <f>Captura_NoFin!B121</f>
        <v>3</v>
      </c>
      <c r="C121" s="20" t="str">
        <f>Captura_NoFin!C121</f>
        <v>Industria, recursos naturales e inmobiliario</v>
      </c>
      <c r="D121" s="21">
        <f>Captura_NoFin!D121</f>
        <v>2019</v>
      </c>
      <c r="E121" s="22">
        <f>IF(COUNT(Captura_NoFin!M121,Captura_NoFin!L121)&lt;2,"",Captura_NoFin!M121+ABS(Captura_NoFin!L121))</f>
        <v>181508307</v>
      </c>
      <c r="F121" s="23">
        <f>IF(COUNT(Captura_NoFin!F121,Captura_NoFin!G121)&lt;2,"",IFERROR(Captura_NoFin!F121/Captura_NoFin!G121,""))</f>
        <v>1.2760368741818056</v>
      </c>
      <c r="G121" s="24">
        <f>IF(COUNT(Captura_NoFin!F121,Captura_NoFin!G121,Captura_NoFin!H121)&lt;3,"",IFERROR((Captura_NoFin!F121-Captura_NoFin!G121)/Captura_NoFin!H121,""))</f>
        <v>3.3047687261876436E-2</v>
      </c>
      <c r="H121" s="24">
        <f>IF(OR(E121="",COUNT(Captura_NoFin!K121)&lt;1),"",IFERROR(E121/Captura_NoFin!K121,""))</f>
        <v>0.88276771401362586</v>
      </c>
      <c r="I121" s="24">
        <f>IF(COUNT(Captura_NoFin!N121,Captura_NoFin!H121)&lt;2,"",IFERROR(Captura_NoFin!N121/Captura_NoFin!H121,""))</f>
        <v>3.8998198439453013E-2</v>
      </c>
      <c r="J121" s="24">
        <f>IF(COUNT(Captura_NoFin!I121,Captura_NoFin!H121)&lt;2,"",IFERROR(Captura_NoFin!I121/Captura_NoFin!H121,""))</f>
        <v>0.56475516779607116</v>
      </c>
      <c r="K121" s="23">
        <f>IF(OR(E121="",COUNT(Captura_NoFin!L121)&lt;1),"",IFERROR(E121/ABS(Captura_NoFin!L121),""))</f>
        <v>4.5324917967525922</v>
      </c>
      <c r="L121" s="23">
        <f>IF(COUNT(Captura_NoFin!K121,Captura_NoFin!H121)&lt;2,"",IFERROR(Captura_NoFin!K121/Captura_NoFin!H121,""))</f>
        <v>7.6627735670978206E-2</v>
      </c>
      <c r="M121" s="24">
        <f>IF(COUNT(Captura_NoFin!R121)&lt;1,"",IFERROR(IF(D121=2017,Captura_NoFin!R121/INDEX(Empresas!$I$2:$I$23,MATCH($A121,Empresas!$B$2:$B$23,0))-1,IF(COUNT(Captura_NoFin!R120)&lt;1,"",Captura_NoFin!R121/Captura_NoFin!R120-1)),""))</f>
        <v>0.2227122127297998</v>
      </c>
      <c r="N121" s="24">
        <f>IF(COUNT(Captura_NoFin!P121,Captura_NoFin!O121)&lt;2,"",IF(Captura_NoFin!O121&lt;=0,"",Captura_NoFin!P121/Captura_NoFin!O121))</f>
        <v>8.8351482736112028E-2</v>
      </c>
      <c r="O121" s="25">
        <f t="shared" si="3"/>
        <v>8</v>
      </c>
      <c r="P121" s="26" t="str">
        <f>IF(COUNT(Captura_NoFin!H121,Captura_NoFin!I121,Captura_NoFin!J121)&lt;3,"",IF(ABS(Captura_NoFin!H121-Captura_NoFin!I121-Captura_NoFin!J121)&lt;=0.005*ABS(Captura_NoFin!H121),"OK","REVISAR"))</f>
        <v>OK</v>
      </c>
    </row>
    <row r="122" spans="1:16" ht="15" customHeight="1" x14ac:dyDescent="0.2">
      <c r="A122" s="20" t="str">
        <f>Captura_NoFin!A122</f>
        <v>PARAUCO</v>
      </c>
      <c r="B122" s="20">
        <f>Captura_NoFin!B122</f>
        <v>3</v>
      </c>
      <c r="C122" s="20" t="str">
        <f>Captura_NoFin!C122</f>
        <v>Industria, recursos naturales e inmobiliario</v>
      </c>
      <c r="D122" s="21">
        <f>Captura_NoFin!D122</f>
        <v>2020</v>
      </c>
      <c r="E122" s="22">
        <f>IF(COUNT(Captura_NoFin!M122,Captura_NoFin!L122)&lt;2,"",Captura_NoFin!M122+ABS(Captura_NoFin!L122))</f>
        <v>64806516</v>
      </c>
      <c r="F122" s="23">
        <f>IF(COUNT(Captura_NoFin!F122,Captura_NoFin!G122)&lt;2,"",IFERROR(Captura_NoFin!F122/Captura_NoFin!G122,""))</f>
        <v>4.5483944445840709</v>
      </c>
      <c r="G122" s="24">
        <f>IF(COUNT(Captura_NoFin!F122,Captura_NoFin!G122,Captura_NoFin!H122)&lt;3,"",IFERROR((Captura_NoFin!F122-Captura_NoFin!G122)/Captura_NoFin!H122,""))</f>
        <v>0.12392106418983891</v>
      </c>
      <c r="H122" s="24">
        <f>IF(OR(E122="",COUNT(Captura_NoFin!K122)&lt;1),"",IFERROR(E122/Captura_NoFin!K122,""))</f>
        <v>0.51494257600884752</v>
      </c>
      <c r="I122" s="24">
        <f>IF(COUNT(Captura_NoFin!N122,Captura_NoFin!H122)&lt;2,"",IFERROR(Captura_NoFin!N122/Captura_NoFin!H122,""))</f>
        <v>1.5808092779409063E-3</v>
      </c>
      <c r="J122" s="24">
        <f>IF(COUNT(Captura_NoFin!I122,Captura_NoFin!H122)&lt;2,"",IFERROR(Captura_NoFin!I122/Captura_NoFin!H122,""))</f>
        <v>0.5953270963523154</v>
      </c>
      <c r="K122" s="23">
        <f>IF(OR(E122="",COUNT(Captura_NoFin!L122)&lt;1),"",IFERROR(E122/ABS(Captura_NoFin!L122),""))</f>
        <v>1.3009986830921043</v>
      </c>
      <c r="L122" s="23">
        <f>IF(COUNT(Captura_NoFin!K122,Captura_NoFin!H122)&lt;2,"",IFERROR(Captura_NoFin!K122/Captura_NoFin!H122,""))</f>
        <v>4.682577999562474E-2</v>
      </c>
      <c r="M122" s="24">
        <f>IF(COUNT(Captura_NoFin!R122)&lt;1,"",IFERROR(IF(D122=2017,Captura_NoFin!R122/INDEX(Empresas!$I$2:$I$23,MATCH($A122,Empresas!$B$2:$B$23,0))-1,IF(COUNT(Captura_NoFin!R121)&lt;1,"",Captura_NoFin!R122/Captura_NoFin!R121-1)),""))</f>
        <v>-0.36062821711105808</v>
      </c>
      <c r="N122" s="24">
        <f>IF(COUNT(Captura_NoFin!P122,Captura_NoFin!O122)&lt;2,"",IF(Captura_NoFin!O122&lt;=0,"",Captura_NoFin!P122/Captura_NoFin!O122))</f>
        <v>1.8872325406957752E-3</v>
      </c>
      <c r="O122" s="25">
        <f t="shared" si="3"/>
        <v>8</v>
      </c>
      <c r="P122" s="26" t="str">
        <f>IF(COUNT(Captura_NoFin!H122,Captura_NoFin!I122,Captura_NoFin!J122)&lt;3,"",IF(ABS(Captura_NoFin!H122-Captura_NoFin!I122-Captura_NoFin!J122)&lt;=0.005*ABS(Captura_NoFin!H122),"OK","REVISAR"))</f>
        <v>OK</v>
      </c>
    </row>
    <row r="123" spans="1:16" ht="15" customHeight="1" x14ac:dyDescent="0.2">
      <c r="A123" s="20" t="str">
        <f>Captura_NoFin!A123</f>
        <v>PARAUCO</v>
      </c>
      <c r="B123" s="20">
        <f>Captura_NoFin!B123</f>
        <v>3</v>
      </c>
      <c r="C123" s="20" t="str">
        <f>Captura_NoFin!C123</f>
        <v>Industria, recursos naturales e inmobiliario</v>
      </c>
      <c r="D123" s="21">
        <f>Captura_NoFin!D123</f>
        <v>2021</v>
      </c>
      <c r="E123" s="22">
        <f>IF(COUNT(Captura_NoFin!M123,Captura_NoFin!L123)&lt;2,"",Captura_NoFin!M123+ABS(Captura_NoFin!L123))</f>
        <v>111589111</v>
      </c>
      <c r="F123" s="23">
        <f>IF(COUNT(Captura_NoFin!F123,Captura_NoFin!G123)&lt;2,"",IFERROR(Captura_NoFin!F123/Captura_NoFin!G123,""))</f>
        <v>2.1806702223085375</v>
      </c>
      <c r="G123" s="24">
        <f>IF(COUNT(Captura_NoFin!F123,Captura_NoFin!G123,Captura_NoFin!H123)&lt;3,"",IFERROR((Captura_NoFin!F123-Captura_NoFin!G123)/Captura_NoFin!H123,""))</f>
        <v>7.1912671679929444E-2</v>
      </c>
      <c r="H123" s="24">
        <f>IF(OR(E123="",COUNT(Captura_NoFin!K123)&lt;1),"",IFERROR(E123/Captura_NoFin!K123,""))</f>
        <v>0.65695047869723522</v>
      </c>
      <c r="I123" s="24">
        <f>IF(COUNT(Captura_NoFin!N123,Captura_NoFin!H123)&lt;2,"",IFERROR(Captura_NoFin!N123/Captura_NoFin!H123,""))</f>
        <v>1.7271805852825169E-2</v>
      </c>
      <c r="J123" s="24">
        <f>IF(COUNT(Captura_NoFin!I123,Captura_NoFin!H123)&lt;2,"",IFERROR(Captura_NoFin!I123/Captura_NoFin!H123,""))</f>
        <v>0.53519071591278333</v>
      </c>
      <c r="K123" s="23">
        <f>IF(OR(E123="",COUNT(Captura_NoFin!L123)&lt;1),"",IFERROR(E123/ABS(Captura_NoFin!L123),""))</f>
        <v>2.5880223589843592</v>
      </c>
      <c r="L123" s="23">
        <f>IF(COUNT(Captura_NoFin!K123,Captura_NoFin!H123)&lt;2,"",IFERROR(Captura_NoFin!K123/Captura_NoFin!H123,""))</f>
        <v>6.1190745821667884E-2</v>
      </c>
      <c r="M123" s="24">
        <f>IF(COUNT(Captura_NoFin!R123)&lt;1,"",IFERROR(IF(D123=2017,Captura_NoFin!R123/INDEX(Empresas!$I$2:$I$23,MATCH($A123,Empresas!$B$2:$B$23,0))-1,IF(COUNT(Captura_NoFin!R122)&lt;1,"",Captura_NoFin!R123/Captura_NoFin!R122-1)),""))</f>
        <v>-0.19183141972285522</v>
      </c>
      <c r="N123" s="24">
        <f>IF(COUNT(Captura_NoFin!P123,Captura_NoFin!O123)&lt;2,"",IF(Captura_NoFin!O123&lt;=0,"",Captura_NoFin!P123/Captura_NoFin!O123))</f>
        <v>2.1754055317422145E-2</v>
      </c>
      <c r="O123" s="25">
        <f t="shared" si="3"/>
        <v>8</v>
      </c>
      <c r="P123" s="26" t="str">
        <f>IF(COUNT(Captura_NoFin!H123,Captura_NoFin!I123,Captura_NoFin!J123)&lt;3,"",IF(ABS(Captura_NoFin!H123-Captura_NoFin!I123-Captura_NoFin!J123)&lt;=0.005*ABS(Captura_NoFin!H123),"OK","REVISAR"))</f>
        <v>OK</v>
      </c>
    </row>
    <row r="124" spans="1:16" ht="15" customHeight="1" x14ac:dyDescent="0.2">
      <c r="A124" s="20" t="str">
        <f>Captura_NoFin!A124</f>
        <v>PARAUCO</v>
      </c>
      <c r="B124" s="20">
        <f>Captura_NoFin!B124</f>
        <v>3</v>
      </c>
      <c r="C124" s="20" t="str">
        <f>Captura_NoFin!C124</f>
        <v>Industria, recursos naturales e inmobiliario</v>
      </c>
      <c r="D124" s="21">
        <f>Captura_NoFin!D124</f>
        <v>2022</v>
      </c>
      <c r="E124" s="22">
        <f>IF(COUNT(Captura_NoFin!M124,Captura_NoFin!L124)&lt;2,"",Captura_NoFin!M124+ABS(Captura_NoFin!L124))</f>
        <v>231102919</v>
      </c>
      <c r="F124" s="23">
        <f>IF(COUNT(Captura_NoFin!F124,Captura_NoFin!G124)&lt;2,"",IFERROR(Captura_NoFin!F124/Captura_NoFin!G124,""))</f>
        <v>1.6494868085627941</v>
      </c>
      <c r="G124" s="24">
        <f>IF(COUNT(Captura_NoFin!F124,Captura_NoFin!G124,Captura_NoFin!H124)&lt;3,"",IFERROR((Captura_NoFin!F124-Captura_NoFin!G124)/Captura_NoFin!H124,""))</f>
        <v>4.2364408090853387E-2</v>
      </c>
      <c r="H124" s="24">
        <f>IF(OR(E124="",COUNT(Captura_NoFin!K124)&lt;1),"",IFERROR(E124/Captura_NoFin!K124,""))</f>
        <v>0.95057318777536526</v>
      </c>
      <c r="I124" s="24">
        <f>IF(COUNT(Captura_NoFin!N124,Captura_NoFin!H124)&lt;2,"",IFERROR(Captura_NoFin!N124/Captura_NoFin!H124,""))</f>
        <v>4.6814878724612263E-2</v>
      </c>
      <c r="J124" s="24">
        <f>IF(COUNT(Captura_NoFin!I124,Captura_NoFin!H124)&lt;2,"",IFERROR(Captura_NoFin!I124/Captura_NoFin!H124,""))</f>
        <v>0.53847247127998754</v>
      </c>
      <c r="K124" s="23">
        <f>IF(OR(E124="",COUNT(Captura_NoFin!L124)&lt;1),"",IFERROR(E124/ABS(Captura_NoFin!L124),""))</f>
        <v>4.7927921091604651</v>
      </c>
      <c r="L124" s="23">
        <f>IF(COUNT(Captura_NoFin!K124,Captura_NoFin!H124)&lt;2,"",IFERROR(Captura_NoFin!K124/Captura_NoFin!H124,""))</f>
        <v>8.2744083366424387E-2</v>
      </c>
      <c r="M124" s="24">
        <f>IF(COUNT(Captura_NoFin!R124)&lt;1,"",IFERROR(IF(D124=2017,Captura_NoFin!R124/INDEX(Empresas!$I$2:$I$23,MATCH($A124,Empresas!$B$2:$B$23,0))-1,IF(COUNT(Captura_NoFin!R123)&lt;1,"",Captura_NoFin!R124/Captura_NoFin!R123-1)),""))</f>
        <v>0.17986060285439143</v>
      </c>
      <c r="N124" s="24">
        <f>IF(COUNT(Captura_NoFin!P124,Captura_NoFin!O124)&lt;2,"",IF(Captura_NoFin!O124&lt;=0,"",Captura_NoFin!P124/Captura_NoFin!O124))</f>
        <v>8.8242718879019535E-2</v>
      </c>
      <c r="O124" s="25">
        <f t="shared" si="3"/>
        <v>8</v>
      </c>
      <c r="P124" s="26" t="str">
        <f>IF(COUNT(Captura_NoFin!H124,Captura_NoFin!I124,Captura_NoFin!J124)&lt;3,"",IF(ABS(Captura_NoFin!H124-Captura_NoFin!I124-Captura_NoFin!J124)&lt;=0.005*ABS(Captura_NoFin!H124),"OK","REVISAR"))</f>
        <v>OK</v>
      </c>
    </row>
    <row r="125" spans="1:16" ht="15" customHeight="1" x14ac:dyDescent="0.2">
      <c r="A125" s="20" t="str">
        <f>Captura_NoFin!A125</f>
        <v>PARAUCO</v>
      </c>
      <c r="B125" s="20">
        <f>Captura_NoFin!B125</f>
        <v>3</v>
      </c>
      <c r="C125" s="20" t="str">
        <f>Captura_NoFin!C125</f>
        <v>Industria, recursos naturales e inmobiliario</v>
      </c>
      <c r="D125" s="21">
        <f>Captura_NoFin!D125</f>
        <v>2023</v>
      </c>
      <c r="E125" s="22">
        <f>IF(COUNT(Captura_NoFin!M125,Captura_NoFin!L125)&lt;2,"",Captura_NoFin!M125+ABS(Captura_NoFin!L125))</f>
        <v>239734750</v>
      </c>
      <c r="F125" s="23">
        <f>IF(COUNT(Captura_NoFin!F125,Captura_NoFin!G125)&lt;2,"",IFERROR(Captura_NoFin!F125/Captura_NoFin!G125,""))</f>
        <v>1.6125522861421324</v>
      </c>
      <c r="G125" s="24">
        <f>IF(COUNT(Captura_NoFin!F125,Captura_NoFin!G125,Captura_NoFin!H125)&lt;3,"",IFERROR((Captura_NoFin!F125-Captura_NoFin!G125)/Captura_NoFin!H125,""))</f>
        <v>4.5885680143419233E-2</v>
      </c>
      <c r="H125" s="24">
        <f>IF(OR(E125="",COUNT(Captura_NoFin!K125)&lt;1),"",IFERROR(E125/Captura_NoFin!K125,""))</f>
        <v>0.90701216533345308</v>
      </c>
      <c r="I125" s="24">
        <f>IF(COUNT(Captura_NoFin!N125,Captura_NoFin!H125)&lt;2,"",IFERROR(Captura_NoFin!N125/Captura_NoFin!H125,""))</f>
        <v>3.707032890904393E-2</v>
      </c>
      <c r="J125" s="24">
        <f>IF(COUNT(Captura_NoFin!I125,Captura_NoFin!H125)&lt;2,"",IFERROR(Captura_NoFin!I125/Captura_NoFin!H125,""))</f>
        <v>0.53173300490737596</v>
      </c>
      <c r="K125" s="23">
        <f>IF(OR(E125="",COUNT(Captura_NoFin!L125)&lt;1),"",IFERROR(E125/ABS(Captura_NoFin!L125),""))</f>
        <v>4.0472077090747884</v>
      </c>
      <c r="L125" s="23">
        <f>IF(COUNT(Captura_NoFin!K125,Captura_NoFin!H125)&lt;2,"",IFERROR(Captura_NoFin!K125/Captura_NoFin!H125,""))</f>
        <v>7.5887107829664721E-2</v>
      </c>
      <c r="M125" s="24">
        <f>IF(COUNT(Captura_NoFin!R125)&lt;1,"",IFERROR(IF(D125=2017,Captura_NoFin!R125/INDEX(Empresas!$I$2:$I$23,MATCH($A125,Empresas!$B$2:$B$23,0))-1,IF(COUNT(Captura_NoFin!R124)&lt;1,"",Captura_NoFin!R125/Captura_NoFin!R124-1)),""))</f>
        <v>0.35125763509375663</v>
      </c>
      <c r="N125" s="24">
        <f>IF(COUNT(Captura_NoFin!P125,Captura_NoFin!O125)&lt;2,"",IF(Captura_NoFin!O125&lt;=0,"",Captura_NoFin!P125/Captura_NoFin!O125))</f>
        <v>8.6491921150061782E-2</v>
      </c>
      <c r="O125" s="25">
        <f t="shared" si="3"/>
        <v>8</v>
      </c>
      <c r="P125" s="26" t="str">
        <f>IF(COUNT(Captura_NoFin!H125,Captura_NoFin!I125,Captura_NoFin!J125)&lt;3,"",IF(ABS(Captura_NoFin!H125-Captura_NoFin!I125-Captura_NoFin!J125)&lt;=0.005*ABS(Captura_NoFin!H125),"OK","REVISAR"))</f>
        <v>OK</v>
      </c>
    </row>
    <row r="126" spans="1:16" ht="15" customHeight="1" x14ac:dyDescent="0.2">
      <c r="A126" s="20" t="str">
        <f>Captura_NoFin!A126</f>
        <v>PARAUCO</v>
      </c>
      <c r="B126" s="20">
        <f>Captura_NoFin!B126</f>
        <v>3</v>
      </c>
      <c r="C126" s="20" t="str">
        <f>Captura_NoFin!C126</f>
        <v>Industria, recursos naturales e inmobiliario</v>
      </c>
      <c r="D126" s="21">
        <f>Captura_NoFin!D126</f>
        <v>2024</v>
      </c>
      <c r="E126" s="22">
        <f>IF(COUNT(Captura_NoFin!M126,Captura_NoFin!L126)&lt;2,"",Captura_NoFin!M126+ABS(Captura_NoFin!L126))</f>
        <v>275370484</v>
      </c>
      <c r="F126" s="23">
        <f>IF(COUNT(Captura_NoFin!F126,Captura_NoFin!G126)&lt;2,"",IFERROR(Captura_NoFin!F126/Captura_NoFin!G126,""))</f>
        <v>1.7817389569765227</v>
      </c>
      <c r="G126" s="24">
        <f>IF(COUNT(Captura_NoFin!F126,Captura_NoFin!G126,Captura_NoFin!H126)&lt;3,"",IFERROR((Captura_NoFin!F126-Captura_NoFin!G126)/Captura_NoFin!H126,""))</f>
        <v>5.894348067900354E-2</v>
      </c>
      <c r="H126" s="24">
        <f>IF(OR(E126="",COUNT(Captura_NoFin!K126)&lt;1),"",IFERROR(E126/Captura_NoFin!K126,""))</f>
        <v>0.86929165832006716</v>
      </c>
      <c r="I126" s="24">
        <f>IF(COUNT(Captura_NoFin!N126,Captura_NoFin!H126)&lt;2,"",IFERROR(Captura_NoFin!N126/Captura_NoFin!H126,""))</f>
        <v>3.8046650036156426E-2</v>
      </c>
      <c r="J126" s="24">
        <f>IF(COUNT(Captura_NoFin!I126,Captura_NoFin!H126)&lt;2,"",IFERROR(Captura_NoFin!I126/Captura_NoFin!H126,""))</f>
        <v>0.54508164890005839</v>
      </c>
      <c r="K126" s="23">
        <f>IF(OR(E126="",COUNT(Captura_NoFin!L126)&lt;1),"",IFERROR(E126/ABS(Captura_NoFin!L126),""))</f>
        <v>4.1229191605777098</v>
      </c>
      <c r="L126" s="23">
        <f>IF(COUNT(Captura_NoFin!K126,Captura_NoFin!H126)&lt;2,"",IFERROR(Captura_NoFin!K126/Captura_NoFin!H126,""))</f>
        <v>8.0594672966628755E-2</v>
      </c>
      <c r="M126" s="24">
        <f>IF(COUNT(Captura_NoFin!R126)&lt;1,"",IFERROR(IF(D126=2017,Captura_NoFin!R126/INDEX(Empresas!$I$2:$I$23,MATCH($A126,Empresas!$B$2:$B$23,0))-1,IF(COUNT(Captura_NoFin!R125)&lt;1,"",Captura_NoFin!R126/Captura_NoFin!R125-1)),""))</f>
        <v>0.14225468418011444</v>
      </c>
      <c r="N126" s="24">
        <f>IF(COUNT(Captura_NoFin!P126,Captura_NoFin!O126)&lt;2,"",IF(Captura_NoFin!O126&lt;=0,"",Captura_NoFin!P126/Captura_NoFin!O126))</f>
        <v>8.2331708551273447E-2</v>
      </c>
      <c r="O126" s="25">
        <f t="shared" si="3"/>
        <v>8</v>
      </c>
      <c r="P126" s="26" t="str">
        <f>IF(COUNT(Captura_NoFin!H126,Captura_NoFin!I126,Captura_NoFin!J126)&lt;3,"",IF(ABS(Captura_NoFin!H126-Captura_NoFin!I126-Captura_NoFin!J126)&lt;=0.005*ABS(Captura_NoFin!H126),"OK","REVISAR"))</f>
        <v>OK</v>
      </c>
    </row>
    <row r="127" spans="1:16" ht="15" customHeight="1" x14ac:dyDescent="0.2">
      <c r="A127" s="20" t="str">
        <f>Captura_NoFin!A127</f>
        <v>PARAUCO</v>
      </c>
      <c r="B127" s="20">
        <f>Captura_NoFin!B127</f>
        <v>3</v>
      </c>
      <c r="C127" s="20" t="str">
        <f>Captura_NoFin!C127</f>
        <v>Industria, recursos naturales e inmobiliario</v>
      </c>
      <c r="D127" s="21">
        <f>Captura_NoFin!D127</f>
        <v>2025</v>
      </c>
      <c r="E127" s="22">
        <f>IF(COUNT(Captura_NoFin!M127,Captura_NoFin!L127)&lt;2,"",Captura_NoFin!M127+ABS(Captura_NoFin!L127))</f>
        <v>340097093</v>
      </c>
      <c r="F127" s="23">
        <f>IF(COUNT(Captura_NoFin!F127,Captura_NoFin!G127)&lt;2,"",IFERROR(Captura_NoFin!F127/Captura_NoFin!G127,""))</f>
        <v>0.98531370827685749</v>
      </c>
      <c r="G127" s="24">
        <f>IF(COUNT(Captura_NoFin!F127,Captura_NoFin!G127,Captura_NoFin!H127)&lt;3,"",IFERROR((Captura_NoFin!F127-Captura_NoFin!G127)/Captura_NoFin!H127,""))</f>
        <v>-9.5328344852578279E-4</v>
      </c>
      <c r="H127" s="24">
        <f>IF(OR(E127="",COUNT(Captura_NoFin!K127)&lt;1),"",IFERROR(E127/Captura_NoFin!K127,""))</f>
        <v>0.88614816687624254</v>
      </c>
      <c r="I127" s="24">
        <f>IF(COUNT(Captura_NoFin!N127,Captura_NoFin!H127)&lt;2,"",IFERROR(Captura_NoFin!N127/Captura_NoFin!H127,""))</f>
        <v>4.989781605981481E-2</v>
      </c>
      <c r="J127" s="24">
        <f>IF(COUNT(Captura_NoFin!I127,Captura_NoFin!H127)&lt;2,"",IFERROR(Captura_NoFin!I127/Captura_NoFin!H127,""))</f>
        <v>0.54328409033528424</v>
      </c>
      <c r="K127" s="23">
        <f>IF(OR(E127="",COUNT(Captura_NoFin!L127)&lt;1),"",IFERROR(E127/ABS(Captura_NoFin!L127),""))</f>
        <v>5.0275410342359699</v>
      </c>
      <c r="L127" s="23">
        <f>IF(COUNT(Captura_NoFin!K127,Captura_NoFin!H127)&lt;2,"",IFERROR(Captura_NoFin!K127/Captura_NoFin!H127,""))</f>
        <v>8.9573165220655046E-2</v>
      </c>
      <c r="M127" s="24">
        <f>IF(COUNT(Captura_NoFin!R127)&lt;1,"",IFERROR(IF(D127=2017,Captura_NoFin!R127/INDEX(Empresas!$I$2:$I$23,MATCH($A127,Empresas!$B$2:$B$23,0))-1,IF(COUNT(Captura_NoFin!R126)&lt;1,"",Captura_NoFin!R127/Captura_NoFin!R126-1)),""))</f>
        <v>0.92743908484886273</v>
      </c>
      <c r="N127" s="24">
        <f>IF(COUNT(Captura_NoFin!P127,Captura_NoFin!O127)&lt;2,"",IF(Captura_NoFin!O127&lt;=0,"",Captura_NoFin!P127/Captura_NoFin!O127))</f>
        <v>9.4054967594699765E-2</v>
      </c>
      <c r="O127" s="25">
        <f t="shared" si="3"/>
        <v>8</v>
      </c>
      <c r="P127" s="26" t="str">
        <f>IF(COUNT(Captura_NoFin!H127,Captura_NoFin!I127,Captura_NoFin!J127)&lt;3,"",IF(ABS(Captura_NoFin!H127-Captura_NoFin!I127-Captura_NoFin!J127)&lt;=0.005*ABS(Captura_NoFin!H127),"OK","REVISAR"))</f>
        <v>OK</v>
      </c>
    </row>
    <row r="128" spans="1:16" ht="15" customHeight="1" x14ac:dyDescent="0.2">
      <c r="A128" s="20" t="str">
        <f>Captura_NoFin!A128</f>
        <v>CAP</v>
      </c>
      <c r="B128" s="20">
        <f>Captura_NoFin!B128</f>
        <v>3</v>
      </c>
      <c r="C128" s="20" t="str">
        <f>Captura_NoFin!C128</f>
        <v>Industria, recursos naturales e inmobiliario</v>
      </c>
      <c r="D128" s="21">
        <f>Captura_NoFin!D128</f>
        <v>2017</v>
      </c>
      <c r="E128" s="22">
        <f>IF(COUNT(Captura_NoFin!M128,Captura_NoFin!L128)&lt;2,"",Captura_NoFin!M128+ABS(Captura_NoFin!L128))</f>
        <v>371578</v>
      </c>
      <c r="F128" s="23">
        <f>IF(COUNT(Captura_NoFin!F128,Captura_NoFin!G128)&lt;2,"",IFERROR(Captura_NoFin!F128/Captura_NoFin!G128,""))</f>
        <v>1.2609484118044605</v>
      </c>
      <c r="G128" s="24">
        <f>IF(COUNT(Captura_NoFin!F128,Captura_NoFin!G128,Captura_NoFin!H128)&lt;3,"",IFERROR((Captura_NoFin!F128-Captura_NoFin!G128)/Captura_NoFin!H128,""))</f>
        <v>5.0088094321371041E-2</v>
      </c>
      <c r="H128" s="24">
        <f>IF(OR(E128="",COUNT(Captura_NoFin!K128)&lt;1),"",IFERROR(E128/Captura_NoFin!K128,""))</f>
        <v>0.19236350364585625</v>
      </c>
      <c r="I128" s="24">
        <f>IF(COUNT(Captura_NoFin!N128,Captura_NoFin!H128)&lt;2,"",IFERROR(Captura_NoFin!N128/Captura_NoFin!H128,""))</f>
        <v>3.4609474333013653E-2</v>
      </c>
      <c r="J128" s="24">
        <f>IF(COUNT(Captura_NoFin!I128,Captura_NoFin!H128)&lt;2,"",IFERROR(Captura_NoFin!I128/Captura_NoFin!H128,""))</f>
        <v>0.41196126120006826</v>
      </c>
      <c r="K128" s="23">
        <f>IF(OR(E128="",COUNT(Captura_NoFin!L128)&lt;1),"",IFERROR(E128/ABS(Captura_NoFin!L128),""))</f>
        <v>4.0574585876674787</v>
      </c>
      <c r="L128" s="23">
        <f>IF(COUNT(Captura_NoFin!K128,Captura_NoFin!H128)&lt;2,"",IFERROR(Captura_NoFin!K128/Captura_NoFin!H128,""))</f>
        <v>0.34802526926017163</v>
      </c>
      <c r="M128" s="24">
        <f>IF(COUNT(Captura_NoFin!R128)&lt;1,"",IFERROR(IF(D128=2017,Captura_NoFin!R128/INDEX(Empresas!$I$2:$I$23,MATCH($A128,Empresas!$B$2:$B$23,0))-1,IF(COUNT(Captura_NoFin!R127)&lt;1,"",Captura_NoFin!R128/Captura_NoFin!R127-1)),""))</f>
        <v>0.71094744141025723</v>
      </c>
      <c r="N128" s="24">
        <f>IF(COUNT(Captura_NoFin!P128,Captura_NoFin!O128)&lt;2,"",IF(Captura_NoFin!O128&lt;=0,"",Captura_NoFin!P128/Captura_NoFin!O128))</f>
        <v>6.6248183584792647E-2</v>
      </c>
      <c r="O128" s="25">
        <f t="shared" si="3"/>
        <v>8</v>
      </c>
      <c r="P128" s="26" t="str">
        <f>IF(COUNT(Captura_NoFin!H128,Captura_NoFin!I128,Captura_NoFin!J128)&lt;3,"",IF(ABS(Captura_NoFin!H128-Captura_NoFin!I128-Captura_NoFin!J128)&lt;=0.005*ABS(Captura_NoFin!H128),"OK","REVISAR"))</f>
        <v>OK</v>
      </c>
    </row>
    <row r="129" spans="1:16" ht="15" customHeight="1" x14ac:dyDescent="0.2">
      <c r="A129" s="20" t="str">
        <f>Captura_NoFin!A129</f>
        <v>CAP</v>
      </c>
      <c r="B129" s="20">
        <f>Captura_NoFin!B129</f>
        <v>3</v>
      </c>
      <c r="C129" s="20" t="str">
        <f>Captura_NoFin!C129</f>
        <v>Industria, recursos naturales e inmobiliario</v>
      </c>
      <c r="D129" s="21">
        <f>Captura_NoFin!D129</f>
        <v>2018</v>
      </c>
      <c r="E129" s="22">
        <f>IF(COUNT(Captura_NoFin!M129,Captura_NoFin!L129)&lt;2,"",Captura_NoFin!M129+ABS(Captura_NoFin!L129))</f>
        <v>331148</v>
      </c>
      <c r="F129" s="23">
        <f>IF(COUNT(Captura_NoFin!F129,Captura_NoFin!G129)&lt;2,"",IFERROR(Captura_NoFin!F129/Captura_NoFin!G129,""))</f>
        <v>1.3732154498137685</v>
      </c>
      <c r="G129" s="24">
        <f>IF(COUNT(Captura_NoFin!F129,Captura_NoFin!G129,Captura_NoFin!H129)&lt;3,"",IFERROR((Captura_NoFin!F129-Captura_NoFin!G129)/Captura_NoFin!H129,""))</f>
        <v>6.0986223868456056E-2</v>
      </c>
      <c r="H129" s="24">
        <f>IF(OR(E129="",COUNT(Captura_NoFin!K129)&lt;1),"",IFERROR(E129/Captura_NoFin!K129,""))</f>
        <v>0.17273075330154283</v>
      </c>
      <c r="I129" s="24">
        <f>IF(COUNT(Captura_NoFin!N129,Captura_NoFin!H129)&lt;2,"",IFERROR(Captura_NoFin!N129/Captura_NoFin!H129,""))</f>
        <v>3.2662452482783343E-2</v>
      </c>
      <c r="J129" s="24">
        <f>IF(COUNT(Captura_NoFin!I129,Captura_NoFin!H129)&lt;2,"",IFERROR(Captura_NoFin!I129/Captura_NoFin!H129,""))</f>
        <v>0.37428336876355545</v>
      </c>
      <c r="K129" s="23">
        <f>IF(OR(E129="",COUNT(Captura_NoFin!L129)&lt;1),"",IFERROR(E129/ABS(Captura_NoFin!L129),""))</f>
        <v>4.2377722607560591</v>
      </c>
      <c r="L129" s="23">
        <f>IF(COUNT(Captura_NoFin!K129,Captura_NoFin!H129)&lt;2,"",IFERROR(Captura_NoFin!K129/Captura_NoFin!H129,""))</f>
        <v>0.35891404731081339</v>
      </c>
      <c r="M129" s="24">
        <f>IF(COUNT(Captura_NoFin!R129)&lt;1,"",IFERROR(IF(D129=2017,Captura_NoFin!R129/INDEX(Empresas!$I$2:$I$23,MATCH($A129,Empresas!$B$2:$B$23,0))-1,IF(COUNT(Captura_NoFin!R128)&lt;1,"",Captura_NoFin!R129/Captura_NoFin!R128-1)),""))</f>
        <v>-0.19219497449722012</v>
      </c>
      <c r="N129" s="24">
        <f>IF(COUNT(Captura_NoFin!P129,Captura_NoFin!O129)&lt;2,"",IF(Captura_NoFin!O129&lt;=0,"",Captura_NoFin!P129/Captura_NoFin!O129))</f>
        <v>6.1482341973052364E-2</v>
      </c>
      <c r="O129" s="25">
        <f t="shared" si="3"/>
        <v>8</v>
      </c>
      <c r="P129" s="26" t="str">
        <f>IF(COUNT(Captura_NoFin!H129,Captura_NoFin!I129,Captura_NoFin!J129)&lt;3,"",IF(ABS(Captura_NoFin!H129-Captura_NoFin!I129-Captura_NoFin!J129)&lt;=0.005*ABS(Captura_NoFin!H129),"OK","REVISAR"))</f>
        <v>OK</v>
      </c>
    </row>
    <row r="130" spans="1:16" ht="15" customHeight="1" x14ac:dyDescent="0.2">
      <c r="A130" s="20" t="str">
        <f>Captura_NoFin!A130</f>
        <v>CAP</v>
      </c>
      <c r="B130" s="20">
        <f>Captura_NoFin!B130</f>
        <v>3</v>
      </c>
      <c r="C130" s="20" t="str">
        <f>Captura_NoFin!C130</f>
        <v>Industria, recursos naturales e inmobiliario</v>
      </c>
      <c r="D130" s="21">
        <f>Captura_NoFin!D130</f>
        <v>2019</v>
      </c>
      <c r="E130" s="22">
        <f>IF(COUNT(Captura_NoFin!M130,Captura_NoFin!L130)&lt;2,"",Captura_NoFin!M130+ABS(Captura_NoFin!L130))</f>
        <v>-22302</v>
      </c>
      <c r="F130" s="23">
        <f>IF(COUNT(Captura_NoFin!F130,Captura_NoFin!G130)&lt;2,"",IFERROR(Captura_NoFin!F130/Captura_NoFin!G130,""))</f>
        <v>1.0841356358585992</v>
      </c>
      <c r="G130" s="24">
        <f>IF(COUNT(Captura_NoFin!F130,Captura_NoFin!G130,Captura_NoFin!H130)&lt;3,"",IFERROR((Captura_NoFin!F130-Captura_NoFin!G130)/Captura_NoFin!H130,""))</f>
        <v>1.7580883178324923E-2</v>
      </c>
      <c r="H130" s="24">
        <f>IF(OR(E130="",COUNT(Captura_NoFin!K130)&lt;1),"",IFERROR(E130/Captura_NoFin!K130,""))</f>
        <v>-1.4024218848746328E-2</v>
      </c>
      <c r="I130" s="24">
        <f>IF(COUNT(Captura_NoFin!N130,Captura_NoFin!H130)&lt;2,"",IFERROR(Captura_NoFin!N130/Captura_NoFin!H130,""))</f>
        <v>-1.6313984888847517E-2</v>
      </c>
      <c r="J130" s="24">
        <f>IF(COUNT(Captura_NoFin!I130,Captura_NoFin!H130)&lt;2,"",IFERROR(Captura_NoFin!I130/Captura_NoFin!H130,""))</f>
        <v>0.40802849562900922</v>
      </c>
      <c r="K130" s="23">
        <f>IF(OR(E130="",COUNT(Captura_NoFin!L130)&lt;1),"",IFERROR(E130/ABS(Captura_NoFin!L130),""))</f>
        <v>-0.22651052722452999</v>
      </c>
      <c r="L130" s="23">
        <f>IF(COUNT(Captura_NoFin!K130,Captura_NoFin!H130)&lt;2,"",IFERROR(Captura_NoFin!K130/Captura_NoFin!H130,""))</f>
        <v>0.29025842644333044</v>
      </c>
      <c r="M130" s="24">
        <f>IF(COUNT(Captura_NoFin!R130)&lt;1,"",IFERROR(IF(D130=2017,Captura_NoFin!R130/INDEX(Empresas!$I$2:$I$23,MATCH($A130,Empresas!$B$2:$B$23,0))-1,IF(COUNT(Captura_NoFin!R129)&lt;1,"",Captura_NoFin!R130/Captura_NoFin!R129-1)),""))</f>
        <v>-4.3017134272447466E-2</v>
      </c>
      <c r="N130" s="24">
        <f>IF(COUNT(Captura_NoFin!P130,Captura_NoFin!O130)&lt;2,"",IF(Captura_NoFin!O130&lt;=0,"",Captura_NoFin!P130/Captura_NoFin!O130))</f>
        <v>-5.4223775801315939E-2</v>
      </c>
      <c r="O130" s="25">
        <f t="shared" ref="O130:O163" si="4">COUNT(F130:M130)</f>
        <v>8</v>
      </c>
      <c r="P130" s="26" t="str">
        <f>IF(COUNT(Captura_NoFin!H130,Captura_NoFin!I130,Captura_NoFin!J130)&lt;3,"",IF(ABS(Captura_NoFin!H130-Captura_NoFin!I130-Captura_NoFin!J130)&lt;=0.005*ABS(Captura_NoFin!H130),"OK","REVISAR"))</f>
        <v>OK</v>
      </c>
    </row>
    <row r="131" spans="1:16" ht="15" customHeight="1" x14ac:dyDescent="0.2">
      <c r="A131" s="20" t="str">
        <f>Captura_NoFin!A131</f>
        <v>CAP</v>
      </c>
      <c r="B131" s="20">
        <f>Captura_NoFin!B131</f>
        <v>3</v>
      </c>
      <c r="C131" s="20" t="str">
        <f>Captura_NoFin!C131</f>
        <v>Industria, recursos naturales e inmobiliario</v>
      </c>
      <c r="D131" s="21">
        <f>Captura_NoFin!D131</f>
        <v>2020</v>
      </c>
      <c r="E131" s="22">
        <f>IF(COUNT(Captura_NoFin!M131,Captura_NoFin!L131)&lt;2,"",Captura_NoFin!M131+ABS(Captura_NoFin!L131))</f>
        <v>706088</v>
      </c>
      <c r="F131" s="23">
        <f>IF(COUNT(Captura_NoFin!F131,Captura_NoFin!G131)&lt;2,"",IFERROR(Captura_NoFin!F131/Captura_NoFin!G131,""))</f>
        <v>0.95404819626933068</v>
      </c>
      <c r="G131" s="24">
        <f>IF(COUNT(Captura_NoFin!F131,Captura_NoFin!G131,Captura_NoFin!H131)&lt;3,"",IFERROR((Captura_NoFin!F131-Captura_NoFin!G131)/Captura_NoFin!H131,""))</f>
        <v>-1.2194290397784729E-2</v>
      </c>
      <c r="H131" s="24">
        <f>IF(OR(E131="",COUNT(Captura_NoFin!K131)&lt;1),"",IFERROR(E131/Captura_NoFin!K131,""))</f>
        <v>0.26356372127989403</v>
      </c>
      <c r="I131" s="24">
        <f>IF(COUNT(Captura_NoFin!N131,Captura_NoFin!H131)&lt;2,"",IFERROR(Captura_NoFin!N131/Captura_NoFin!H131,""))</f>
        <v>7.3649020454168879E-2</v>
      </c>
      <c r="J131" s="24">
        <f>IF(COUNT(Captura_NoFin!I131,Captura_NoFin!H131)&lt;2,"",IFERROR(Captura_NoFin!I131/Captura_NoFin!H131,""))</f>
        <v>0.41196821513391663</v>
      </c>
      <c r="K131" s="23">
        <f>IF(OR(E131="",COUNT(Captura_NoFin!L131)&lt;1),"",IFERROR(E131/ABS(Captura_NoFin!L131),""))</f>
        <v>8.280128994429786</v>
      </c>
      <c r="L131" s="23">
        <f>IF(COUNT(Captura_NoFin!K131,Captura_NoFin!H131)&lt;2,"",IFERROR(Captura_NoFin!K131/Captura_NoFin!H131,""))</f>
        <v>0.45668550002147901</v>
      </c>
      <c r="M131" s="24">
        <f>IF(COUNT(Captura_NoFin!R131)&lt;1,"",IFERROR(IF(D131=2017,Captura_NoFin!R131/INDEX(Empresas!$I$2:$I$23,MATCH($A131,Empresas!$B$2:$B$23,0))-1,IF(COUNT(Captura_NoFin!R130)&lt;1,"",Captura_NoFin!R131/Captura_NoFin!R130-1)),""))</f>
        <v>0.73060931889301806</v>
      </c>
      <c r="N131" s="24">
        <f>IF(COUNT(Captura_NoFin!P131,Captura_NoFin!O131)&lt;2,"",IF(Captura_NoFin!O131&lt;=0,"",Captura_NoFin!P131/Captura_NoFin!O131))</f>
        <v>0.14577174030657375</v>
      </c>
      <c r="O131" s="25">
        <f t="shared" si="4"/>
        <v>8</v>
      </c>
      <c r="P131" s="26" t="str">
        <f>IF(COUNT(Captura_NoFin!H131,Captura_NoFin!I131,Captura_NoFin!J131)&lt;3,"",IF(ABS(Captura_NoFin!H131-Captura_NoFin!I131-Captura_NoFin!J131)&lt;=0.005*ABS(Captura_NoFin!H131),"OK","REVISAR"))</f>
        <v>OK</v>
      </c>
    </row>
    <row r="132" spans="1:16" ht="15" customHeight="1" x14ac:dyDescent="0.2">
      <c r="A132" s="20" t="str">
        <f>Captura_NoFin!A132</f>
        <v>CAP</v>
      </c>
      <c r="B132" s="20">
        <f>Captura_NoFin!B132</f>
        <v>3</v>
      </c>
      <c r="C132" s="20" t="str">
        <f>Captura_NoFin!C132</f>
        <v>Industria, recursos naturales e inmobiliario</v>
      </c>
      <c r="D132" s="21">
        <f>Captura_NoFin!D132</f>
        <v>2021</v>
      </c>
      <c r="E132" s="22">
        <f>IF(COUNT(Captura_NoFin!M132,Captura_NoFin!L132)&lt;2,"",Captura_NoFin!M132+ABS(Captura_NoFin!L132))</f>
        <v>1537389</v>
      </c>
      <c r="F132" s="23">
        <f>IF(COUNT(Captura_NoFin!F132,Captura_NoFin!G132)&lt;2,"",IFERROR(Captura_NoFin!F132/Captura_NoFin!G132,""))</f>
        <v>1.2241853109688123</v>
      </c>
      <c r="G132" s="24">
        <f>IF(COUNT(Captura_NoFin!F132,Captura_NoFin!G132,Captura_NoFin!H132)&lt;3,"",IFERROR((Captura_NoFin!F132-Captura_NoFin!G132)/Captura_NoFin!H132,""))</f>
        <v>5.4926832278185247E-2</v>
      </c>
      <c r="H132" s="24">
        <f>IF(OR(E132="",COUNT(Captura_NoFin!K132)&lt;1),"",IFERROR(E132/Captura_NoFin!K132,""))</f>
        <v>0.41812290464504853</v>
      </c>
      <c r="I132" s="24">
        <f>IF(COUNT(Captura_NoFin!N132,Captura_NoFin!H132)&lt;2,"",IFERROR(Captura_NoFin!N132/Captura_NoFin!H132,""))</f>
        <v>0.15019852270194131</v>
      </c>
      <c r="J132" s="24">
        <f>IF(COUNT(Captura_NoFin!I132,Captura_NoFin!H132)&lt;2,"",IFERROR(Captura_NoFin!I132/Captura_NoFin!H132,""))</f>
        <v>0.44538228663913632</v>
      </c>
      <c r="K132" s="23">
        <f>IF(OR(E132="",COUNT(Captura_NoFin!L132)&lt;1),"",IFERROR(E132/ABS(Captura_NoFin!L132),""))</f>
        <v>24.264729556969019</v>
      </c>
      <c r="L132" s="23">
        <f>IF(COUNT(Captura_NoFin!K132,Captura_NoFin!H132)&lt;2,"",IFERROR(Captura_NoFin!K132/Captura_NoFin!H132,""))</f>
        <v>0.55606364583078127</v>
      </c>
      <c r="M132" s="24">
        <f>IF(COUNT(Captura_NoFin!R132)&lt;1,"",IFERROR(IF(D132=2017,Captura_NoFin!R132/INDEX(Empresas!$I$2:$I$23,MATCH($A132,Empresas!$B$2:$B$23,0))-1,IF(COUNT(Captura_NoFin!R131)&lt;1,"",Captura_NoFin!R132/Captura_NoFin!R131-1)),""))</f>
        <v>-4.7756604900831556E-3</v>
      </c>
      <c r="N132" s="24">
        <f>IF(COUNT(Captura_NoFin!P132,Captura_NoFin!O132)&lt;2,"",IF(Captura_NoFin!O132&lt;=0,"",Captura_NoFin!P132/Captura_NoFin!O132))</f>
        <v>0.33057283745178273</v>
      </c>
      <c r="O132" s="25">
        <f t="shared" si="4"/>
        <v>8</v>
      </c>
      <c r="P132" s="26" t="str">
        <f>IF(COUNT(Captura_NoFin!H132,Captura_NoFin!I132,Captura_NoFin!J132)&lt;3,"",IF(ABS(Captura_NoFin!H132-Captura_NoFin!I132-Captura_NoFin!J132)&lt;=0.005*ABS(Captura_NoFin!H132),"OK","REVISAR"))</f>
        <v>OK</v>
      </c>
    </row>
    <row r="133" spans="1:16" ht="15" customHeight="1" x14ac:dyDescent="0.2">
      <c r="A133" s="20" t="str">
        <f>Captura_NoFin!A133</f>
        <v>CAP</v>
      </c>
      <c r="B133" s="20">
        <f>Captura_NoFin!B133</f>
        <v>3</v>
      </c>
      <c r="C133" s="20" t="str">
        <f>Captura_NoFin!C133</f>
        <v>Industria, recursos naturales e inmobiliario</v>
      </c>
      <c r="D133" s="21">
        <f>Captura_NoFin!D133</f>
        <v>2022</v>
      </c>
      <c r="E133" s="22">
        <f>IF(COUNT(Captura_NoFin!M133,Captura_NoFin!L133)&lt;2,"",Captura_NoFin!M133+ABS(Captura_NoFin!L133))</f>
        <v>590211</v>
      </c>
      <c r="F133" s="23">
        <f>IF(COUNT(Captura_NoFin!F133,Captura_NoFin!G133)&lt;2,"",IFERROR(Captura_NoFin!F133/Captura_NoFin!G133,""))</f>
        <v>1.1339101804984233</v>
      </c>
      <c r="G133" s="24">
        <f>IF(COUNT(Captura_NoFin!F133,Captura_NoFin!G133,Captura_NoFin!H133)&lt;3,"",IFERROR((Captura_NoFin!F133-Captura_NoFin!G133)/Captura_NoFin!H133,""))</f>
        <v>3.0346522846642857E-2</v>
      </c>
      <c r="H133" s="24">
        <f>IF(OR(E133="",COUNT(Captura_NoFin!K133)&lt;1),"",IFERROR(E133/Captura_NoFin!K133,""))</f>
        <v>0.19634124150420801</v>
      </c>
      <c r="I133" s="24">
        <f>IF(COUNT(Captura_NoFin!N133,Captura_NoFin!H133)&lt;2,"",IFERROR(Captura_NoFin!N133/Captura_NoFin!H133,""))</f>
        <v>5.1052095389982025E-2</v>
      </c>
      <c r="J133" s="24">
        <f>IF(COUNT(Captura_NoFin!I133,Captura_NoFin!H133)&lt;2,"",IFERROR(Captura_NoFin!I133/Captura_NoFin!H133,""))</f>
        <v>0.43615870696085968</v>
      </c>
      <c r="K133" s="23">
        <f>IF(OR(E133="",COUNT(Captura_NoFin!L133)&lt;1),"",IFERROR(E133/ABS(Captura_NoFin!L133),""))</f>
        <v>7.3141869283961629</v>
      </c>
      <c r="L133" s="23">
        <f>IF(COUNT(Captura_NoFin!K133,Captura_NoFin!H133)&lt;2,"",IFERROR(Captura_NoFin!K133/Captura_NoFin!H133,""))</f>
        <v>0.45810583969137009</v>
      </c>
      <c r="M133" s="24">
        <f>IF(COUNT(Captura_NoFin!R133)&lt;1,"",IFERROR(IF(D133=2017,Captura_NoFin!R133/INDEX(Empresas!$I$2:$I$23,MATCH($A133,Empresas!$B$2:$B$23,0))-1,IF(COUNT(Captura_NoFin!R132)&lt;1,"",Captura_NoFin!R133/Captura_NoFin!R132-1)),""))</f>
        <v>3.668377219348451E-2</v>
      </c>
      <c r="N133" s="24">
        <f>IF(COUNT(Captura_NoFin!P133,Captura_NoFin!O133)&lt;2,"",IF(Captura_NoFin!O133&lt;=0,"",Captura_NoFin!P133/Captura_NoFin!O133))</f>
        <v>9.9227071213781867E-2</v>
      </c>
      <c r="O133" s="25">
        <f t="shared" si="4"/>
        <v>8</v>
      </c>
      <c r="P133" s="26" t="str">
        <f>IF(COUNT(Captura_NoFin!H133,Captura_NoFin!I133,Captura_NoFin!J133)&lt;3,"",IF(ABS(Captura_NoFin!H133-Captura_NoFin!I133-Captura_NoFin!J133)&lt;=0.005*ABS(Captura_NoFin!H133),"OK","REVISAR"))</f>
        <v>OK</v>
      </c>
    </row>
    <row r="134" spans="1:16" ht="15" customHeight="1" x14ac:dyDescent="0.2">
      <c r="A134" s="20" t="str">
        <f>Captura_NoFin!A134</f>
        <v>CAP</v>
      </c>
      <c r="B134" s="20">
        <f>Captura_NoFin!B134</f>
        <v>3</v>
      </c>
      <c r="C134" s="20" t="str">
        <f>Captura_NoFin!C134</f>
        <v>Industria, recursos naturales e inmobiliario</v>
      </c>
      <c r="D134" s="21">
        <f>Captura_NoFin!D134</f>
        <v>2023</v>
      </c>
      <c r="E134" s="22">
        <f>IF(COUNT(Captura_NoFin!M134,Captura_NoFin!L134)&lt;2,"",Captura_NoFin!M134+ABS(Captura_NoFin!L134))</f>
        <v>650445</v>
      </c>
      <c r="F134" s="23">
        <f>IF(COUNT(Captura_NoFin!F134,Captura_NoFin!G134)&lt;2,"",IFERROR(Captura_NoFin!F134/Captura_NoFin!G134,""))</f>
        <v>1.4291290946255137</v>
      </c>
      <c r="G134" s="24">
        <f>IF(COUNT(Captura_NoFin!F134,Captura_NoFin!G134,Captura_NoFin!H134)&lt;3,"",IFERROR((Captura_NoFin!F134-Captura_NoFin!G134)/Captura_NoFin!H134,""))</f>
        <v>8.6355604906273281E-2</v>
      </c>
      <c r="H134" s="24">
        <f>IF(OR(E134="",COUNT(Captura_NoFin!K134)&lt;1),"",IFERROR(E134/Captura_NoFin!K134,""))</f>
        <v>0.27093306741742923</v>
      </c>
      <c r="I134" s="24">
        <f>IF(COUNT(Captura_NoFin!N134,Captura_NoFin!H134)&lt;2,"",IFERROR(Captura_NoFin!N134/Captura_NoFin!H134,""))</f>
        <v>1.2555555238391559E-2</v>
      </c>
      <c r="J134" s="24">
        <f>IF(COUNT(Captura_NoFin!I134,Captura_NoFin!H134)&lt;2,"",IFERROR(Captura_NoFin!I134/Captura_NoFin!H134,""))</f>
        <v>0.47747219026794968</v>
      </c>
      <c r="K134" s="23">
        <f>IF(OR(E134="",COUNT(Captura_NoFin!L134)&lt;1),"",IFERROR(E134/ABS(Captura_NoFin!L134),""))</f>
        <v>7.3504085161202832</v>
      </c>
      <c r="L134" s="23">
        <f>IF(COUNT(Captura_NoFin!K134,Captura_NoFin!H134)&lt;2,"",IFERROR(Captura_NoFin!K134/Captura_NoFin!H134,""))</f>
        <v>0.3426454426864044</v>
      </c>
      <c r="M134" s="24">
        <f>IF(COUNT(Captura_NoFin!R134)&lt;1,"",IFERROR(IF(D134=2017,Captura_NoFin!R134/INDEX(Empresas!$I$2:$I$23,MATCH($A134,Empresas!$B$2:$B$23,0))-1,IF(COUNT(Captura_NoFin!R133)&lt;1,"",Captura_NoFin!R134/Captura_NoFin!R133-1)),""))</f>
        <v>8.2899585254217589E-2</v>
      </c>
      <c r="N134" s="24">
        <f>IF(COUNT(Captura_NoFin!P134,Captura_NoFin!O134)&lt;2,"",IF(Captura_NoFin!O134&lt;=0,"",Captura_NoFin!P134/Captura_NoFin!O134))</f>
        <v>-3.0831796597514658E-3</v>
      </c>
      <c r="O134" s="25">
        <f t="shared" si="4"/>
        <v>8</v>
      </c>
      <c r="P134" s="26" t="str">
        <f>IF(COUNT(Captura_NoFin!H134,Captura_NoFin!I134,Captura_NoFin!J134)&lt;3,"",IF(ABS(Captura_NoFin!H134-Captura_NoFin!I134-Captura_NoFin!J134)&lt;=0.005*ABS(Captura_NoFin!H134),"OK","REVISAR"))</f>
        <v>OK</v>
      </c>
    </row>
    <row r="135" spans="1:16" ht="15" customHeight="1" x14ac:dyDescent="0.2">
      <c r="A135" s="20" t="str">
        <f>Captura_NoFin!A135</f>
        <v>CAP</v>
      </c>
      <c r="B135" s="20">
        <f>Captura_NoFin!B135</f>
        <v>3</v>
      </c>
      <c r="C135" s="20" t="str">
        <f>Captura_NoFin!C135</f>
        <v>Industria, recursos naturales e inmobiliario</v>
      </c>
      <c r="D135" s="21">
        <f>Captura_NoFin!D135</f>
        <v>2024</v>
      </c>
      <c r="E135" s="22">
        <f>IF(COUNT(Captura_NoFin!M135,Captura_NoFin!L135)&lt;2,"",Captura_NoFin!M135+ABS(Captura_NoFin!L135))</f>
        <v>197405</v>
      </c>
      <c r="F135" s="23">
        <f>IF(COUNT(Captura_NoFin!F135,Captura_NoFin!G135)&lt;2,"",IFERROR(Captura_NoFin!F135/Captura_NoFin!G135,""))</f>
        <v>1.119297375003145</v>
      </c>
      <c r="G135" s="24">
        <f>IF(COUNT(Captura_NoFin!F135,Captura_NoFin!G135,Captura_NoFin!H135)&lt;3,"",IFERROR((Captura_NoFin!F135-Captura_NoFin!G135)/Captura_NoFin!H135,""))</f>
        <v>2.163514072486249E-2</v>
      </c>
      <c r="H135" s="24">
        <f>IF(OR(E135="",COUNT(Captura_NoFin!K135)&lt;1),"",IFERROR(E135/Captura_NoFin!K135,""))</f>
        <v>0.1095862197986307</v>
      </c>
      <c r="I135" s="24">
        <f>IF(COUNT(Captura_NoFin!N135,Captura_NoFin!H135)&lt;2,"",IFERROR(Captura_NoFin!N135/Captura_NoFin!H135,""))</f>
        <v>-6.419787622933551E-2</v>
      </c>
      <c r="J135" s="24">
        <f>IF(COUNT(Captura_NoFin!I135,Captura_NoFin!H135)&lt;2,"",IFERROR(Captura_NoFin!I135/Captura_NoFin!H135,""))</f>
        <v>0.49872784906819329</v>
      </c>
      <c r="K135" s="23">
        <f>IF(OR(E135="",COUNT(Captura_NoFin!L135)&lt;1),"",IFERROR(E135/ABS(Captura_NoFin!L135),""))</f>
        <v>1.6211566257144734</v>
      </c>
      <c r="L135" s="23">
        <f>IF(COUNT(Captura_NoFin!K135,Captura_NoFin!H135)&lt;2,"",IFERROR(Captura_NoFin!K135/Captura_NoFin!H135,""))</f>
        <v>0.28342226301104934</v>
      </c>
      <c r="M135" s="24">
        <f>IF(COUNT(Captura_NoFin!R135)&lt;1,"",IFERROR(IF(D135=2017,Captura_NoFin!R135/INDEX(Empresas!$I$2:$I$23,MATCH($A135,Empresas!$B$2:$B$23,0))-1,IF(COUNT(Captura_NoFin!R134)&lt;1,"",Captura_NoFin!R135/Captura_NoFin!R134-1)),""))</f>
        <v>-0.26944444444444449</v>
      </c>
      <c r="N135" s="24">
        <f>IF(COUNT(Captura_NoFin!P135,Captura_NoFin!O135)&lt;2,"",IF(Captura_NoFin!O135&lt;=0,"",Captura_NoFin!P135/Captura_NoFin!O135))</f>
        <v>-0.23481074313839709</v>
      </c>
      <c r="O135" s="25">
        <f t="shared" si="4"/>
        <v>8</v>
      </c>
      <c r="P135" s="26" t="str">
        <f>IF(COUNT(Captura_NoFin!H135,Captura_NoFin!I135,Captura_NoFin!J135)&lt;3,"",IF(ABS(Captura_NoFin!H135-Captura_NoFin!I135-Captura_NoFin!J135)&lt;=0.005*ABS(Captura_NoFin!H135),"OK","REVISAR"))</f>
        <v>OK</v>
      </c>
    </row>
    <row r="136" spans="1:16" ht="15" customHeight="1" x14ac:dyDescent="0.2">
      <c r="A136" s="20" t="str">
        <f>Captura_NoFin!A136</f>
        <v>CAP</v>
      </c>
      <c r="B136" s="20">
        <f>Captura_NoFin!B136</f>
        <v>3</v>
      </c>
      <c r="C136" s="20" t="str">
        <f>Captura_NoFin!C136</f>
        <v>Industria, recursos naturales e inmobiliario</v>
      </c>
      <c r="D136" s="21">
        <f>Captura_NoFin!D136</f>
        <v>2025</v>
      </c>
      <c r="E136" s="22">
        <f>IF(COUNT(Captura_NoFin!M136,Captura_NoFin!L136)&lt;2,"",Captura_NoFin!M136+ABS(Captura_NoFin!L136))</f>
        <v>56313</v>
      </c>
      <c r="F136" s="23">
        <f>IF(COUNT(Captura_NoFin!F136,Captura_NoFin!G136)&lt;2,"",IFERROR(Captura_NoFin!F136/Captura_NoFin!G136,""))</f>
        <v>1.1665098500152564</v>
      </c>
      <c r="G136" s="24">
        <f>IF(COUNT(Captura_NoFin!F136,Captura_NoFin!G136,Captura_NoFin!H136)&lt;3,"",IFERROR((Captura_NoFin!F136-Captura_NoFin!G136)/Captura_NoFin!H136,""))</f>
        <v>2.7748002689240943E-2</v>
      </c>
      <c r="H136" s="24">
        <f>IF(OR(E136="",COUNT(Captura_NoFin!K136)&lt;1),"",IFERROR(E136/Captura_NoFin!K136,""))</f>
        <v>2.9177221322122471E-2</v>
      </c>
      <c r="I136" s="24">
        <f>IF(COUNT(Captura_NoFin!N136,Captura_NoFin!H136)&lt;2,"",IFERROR(Captura_NoFin!N136/Captura_NoFin!H136,""))</f>
        <v>-1.6107160234811544E-2</v>
      </c>
      <c r="J136" s="24">
        <f>IF(COUNT(Captura_NoFin!I136,Captura_NoFin!H136)&lt;2,"",IFERROR(Captura_NoFin!I136/Captura_NoFin!H136,""))</f>
        <v>0.50660064117991754</v>
      </c>
      <c r="K136" s="23">
        <f>IF(OR(E136="",COUNT(Captura_NoFin!L136)&lt;1),"",IFERROR(E136/ABS(Captura_NoFin!L136),""))</f>
        <v>0.43490315405764418</v>
      </c>
      <c r="L136" s="23">
        <f>IF(COUNT(Captura_NoFin!K136,Captura_NoFin!H136)&lt;2,"",IFERROR(Captura_NoFin!K136/Captura_NoFin!H136,""))</f>
        <v>0.31555956747169495</v>
      </c>
      <c r="M136" s="24">
        <f>IF(COUNT(Captura_NoFin!R136)&lt;1,"",IFERROR(IF(D136=2017,Captura_NoFin!R136/INDEX(Empresas!$I$2:$I$23,MATCH($A136,Empresas!$B$2:$B$23,0))-1,IF(COUNT(Captura_NoFin!R135)&lt;1,"",Captura_NoFin!R136/Captura_NoFin!R135-1)),""))</f>
        <v>0.41064638783269958</v>
      </c>
      <c r="N136" s="24">
        <f>IF(COUNT(Captura_NoFin!P136,Captura_NoFin!O136)&lt;2,"",IF(Captura_NoFin!O136&lt;=0,"",Captura_NoFin!P136/Captura_NoFin!O136))</f>
        <v>-4.8821108064997933E-2</v>
      </c>
      <c r="O136" s="25">
        <f t="shared" si="4"/>
        <v>8</v>
      </c>
      <c r="P136" s="26" t="str">
        <f>IF(COUNT(Captura_NoFin!H136,Captura_NoFin!I136,Captura_NoFin!J136)&lt;3,"",IF(ABS(Captura_NoFin!H136-Captura_NoFin!I136-Captura_NoFin!J136)&lt;=0.005*ABS(Captura_NoFin!H136),"OK","REVISAR"))</f>
        <v>OK</v>
      </c>
    </row>
    <row r="137" spans="1:16" ht="15" customHeight="1" x14ac:dyDescent="0.2">
      <c r="A137" s="20" t="str">
        <f>Captura_NoFin!A137</f>
        <v>CMPC</v>
      </c>
      <c r="B137" s="20">
        <f>Captura_NoFin!B137</f>
        <v>3</v>
      </c>
      <c r="C137" s="20" t="str">
        <f>Captura_NoFin!C137</f>
        <v>Industria, recursos naturales e inmobiliario</v>
      </c>
      <c r="D137" s="21">
        <f>Captura_NoFin!D137</f>
        <v>2017</v>
      </c>
      <c r="E137" s="22">
        <f>IF(COUNT(Captura_NoFin!M137,Captura_NoFin!L137)&lt;2,"",Captura_NoFin!M137+ABS(Captura_NoFin!L137))</f>
        <v>338596</v>
      </c>
      <c r="F137" s="23">
        <f>IF(COUNT(Captura_NoFin!F137,Captura_NoFin!G137)&lt;2,"",IFERROR(Captura_NoFin!F137/Captura_NoFin!G137,""))</f>
        <v>2.3220037160537523</v>
      </c>
      <c r="G137" s="24">
        <f>IF(COUNT(Captura_NoFin!F137,Captura_NoFin!G137,Captura_NoFin!H137)&lt;3,"",IFERROR((Captura_NoFin!F137-Captura_NoFin!G137)/Captura_NoFin!H137,""))</f>
        <v>0.12816002299809889</v>
      </c>
      <c r="H137" s="24">
        <f>IF(OR(E137="",COUNT(Captura_NoFin!K137)&lt;1),"",IFERROR(E137/Captura_NoFin!K137,""))</f>
        <v>6.5835335054482982E-2</v>
      </c>
      <c r="I137" s="24">
        <f>IF(COUNT(Captura_NoFin!N137,Captura_NoFin!H137)&lt;2,"",IFERROR(Captura_NoFin!N137/Captura_NoFin!H137,""))</f>
        <v>6.8613715077874421E-3</v>
      </c>
      <c r="J137" s="24">
        <f>IF(COUNT(Captura_NoFin!I137,Captura_NoFin!H137)&lt;2,"",IFERROR(Captura_NoFin!I137/Captura_NoFin!H137,""))</f>
        <v>0.45926094528313233</v>
      </c>
      <c r="K137" s="23">
        <f>IF(OR(E137="",COUNT(Captura_NoFin!L137)&lt;1),"",IFERROR(E137/ABS(Captura_NoFin!L137),""))</f>
        <v>1.5426840102968311</v>
      </c>
      <c r="L137" s="23">
        <f>IF(COUNT(Captura_NoFin!K137,Captura_NoFin!H137)&lt;2,"",IFERROR(Captura_NoFin!K137/Captura_NoFin!H137,""))</f>
        <v>0.34399989672794118</v>
      </c>
      <c r="M137" s="24">
        <f>IF(COUNT(Captura_NoFin!R137)&lt;1,"",IFERROR(IF(D137=2017,Captura_NoFin!R137/INDEX(Empresas!$I$2:$I$23,MATCH($A137,Empresas!$B$2:$B$23,0))-1,IF(COUNT(Captura_NoFin!R136)&lt;1,"",Captura_NoFin!R137/Captura_NoFin!R136-1)),""))</f>
        <v>0.52830027822706405</v>
      </c>
      <c r="N137" s="24">
        <f>IF(COUNT(Captura_NoFin!P137,Captura_NoFin!O137)&lt;2,"",IF(Captura_NoFin!O137&lt;=0,"",Captura_NoFin!P137/Captura_NoFin!O137))</f>
        <v>1.278687413048761E-2</v>
      </c>
      <c r="O137" s="25">
        <f t="shared" si="4"/>
        <v>8</v>
      </c>
      <c r="P137" s="26" t="str">
        <f>IF(COUNT(Captura_NoFin!H137,Captura_NoFin!I137,Captura_NoFin!J137)&lt;3,"",IF(ABS(Captura_NoFin!H137-Captura_NoFin!I137-Captura_NoFin!J137)&lt;=0.005*ABS(Captura_NoFin!H137),"OK","REVISAR"))</f>
        <v>OK</v>
      </c>
    </row>
    <row r="138" spans="1:16" ht="15" customHeight="1" x14ac:dyDescent="0.2">
      <c r="A138" s="20" t="str">
        <f>Captura_NoFin!A138</f>
        <v>CMPC</v>
      </c>
      <c r="B138" s="20">
        <f>Captura_NoFin!B138</f>
        <v>3</v>
      </c>
      <c r="C138" s="20" t="str">
        <f>Captura_NoFin!C138</f>
        <v>Industria, recursos naturales e inmobiliario</v>
      </c>
      <c r="D138" s="21">
        <f>Captura_NoFin!D138</f>
        <v>2018</v>
      </c>
      <c r="E138" s="22">
        <f>IF(COUNT(Captura_NoFin!M138,Captura_NoFin!L138)&lt;2,"",Captura_NoFin!M138+ABS(Captura_NoFin!L138))</f>
        <v>1096167</v>
      </c>
      <c r="F138" s="23">
        <f>IF(COUNT(Captura_NoFin!F138,Captura_NoFin!G138)&lt;2,"",IFERROR(Captura_NoFin!F138/Captura_NoFin!G138,""))</f>
        <v>2.275794402092354</v>
      </c>
      <c r="G138" s="24">
        <f>IF(COUNT(Captura_NoFin!F138,Captura_NoFin!G138,Captura_NoFin!H138)&lt;3,"",IFERROR((Captura_NoFin!F138-Captura_NoFin!G138)/Captura_NoFin!H138,""))</f>
        <v>0.14054316832908295</v>
      </c>
      <c r="H138" s="24">
        <f>IF(OR(E138="",COUNT(Captura_NoFin!K138)&lt;1),"",IFERROR(E138/Captura_NoFin!K138,""))</f>
        <v>0.17470266820857597</v>
      </c>
      <c r="I138" s="24">
        <f>IF(COUNT(Captura_NoFin!N138,Captura_NoFin!H138)&lt;2,"",IFERROR(Captura_NoFin!N138/Captura_NoFin!H138,""))</f>
        <v>3.3524632839830933E-2</v>
      </c>
      <c r="J138" s="24">
        <f>IF(COUNT(Captura_NoFin!I138,Captura_NoFin!H138)&lt;2,"",IFERROR(Captura_NoFin!I138/Captura_NoFin!H138,""))</f>
        <v>0.44978663260743906</v>
      </c>
      <c r="K138" s="23">
        <f>IF(OR(E138="",COUNT(Captura_NoFin!L138)&lt;1),"",IFERROR(E138/ABS(Captura_NoFin!L138),""))</f>
        <v>5.0755521600222249</v>
      </c>
      <c r="L138" s="23">
        <f>IF(COUNT(Captura_NoFin!K138,Captura_NoFin!H138)&lt;2,"",IFERROR(Captura_NoFin!K138/Captura_NoFin!H138,""))</f>
        <v>0.4187640502156032</v>
      </c>
      <c r="M138" s="24">
        <f>IF(COUNT(Captura_NoFin!R138)&lt;1,"",IFERROR(IF(D138=2017,Captura_NoFin!R138/INDEX(Empresas!$I$2:$I$23,MATCH($A138,Empresas!$B$2:$B$23,0))-1,IF(COUNT(Captura_NoFin!R137)&lt;1,"",Captura_NoFin!R138/Captura_NoFin!R137-1)),""))</f>
        <v>6.7417936899772712E-2</v>
      </c>
      <c r="N138" s="24">
        <f>IF(COUNT(Captura_NoFin!P138,Captura_NoFin!O138)&lt;2,"",IF(Captura_NoFin!O138&lt;=0,"",Captura_NoFin!P138/Captura_NoFin!O138))</f>
        <v>6.0969674835761697E-2</v>
      </c>
      <c r="O138" s="25">
        <f t="shared" si="4"/>
        <v>8</v>
      </c>
      <c r="P138" s="26" t="str">
        <f>IF(COUNT(Captura_NoFin!H138,Captura_NoFin!I138,Captura_NoFin!J138)&lt;3,"",IF(ABS(Captura_NoFin!H138-Captura_NoFin!I138-Captura_NoFin!J138)&lt;=0.005*ABS(Captura_NoFin!H138),"OK","REVISAR"))</f>
        <v>OK</v>
      </c>
    </row>
    <row r="139" spans="1:16" ht="15" customHeight="1" x14ac:dyDescent="0.2">
      <c r="A139" s="20" t="str">
        <f>Captura_NoFin!A139</f>
        <v>CMPC</v>
      </c>
      <c r="B139" s="20">
        <f>Captura_NoFin!B139</f>
        <v>3</v>
      </c>
      <c r="C139" s="20" t="str">
        <f>Captura_NoFin!C139</f>
        <v>Industria, recursos naturales e inmobiliario</v>
      </c>
      <c r="D139" s="21">
        <f>Captura_NoFin!D139</f>
        <v>2019</v>
      </c>
      <c r="E139" s="22">
        <f>IF(COUNT(Captura_NoFin!M139,Captura_NoFin!L139)&lt;2,"",Captura_NoFin!M139+ABS(Captura_NoFin!L139))</f>
        <v>416612</v>
      </c>
      <c r="F139" s="23">
        <f>IF(COUNT(Captura_NoFin!F139,Captura_NoFin!G139)&lt;2,"",IFERROR(Captura_NoFin!F139/Captura_NoFin!G139,""))</f>
        <v>2.2649602969044045</v>
      </c>
      <c r="G139" s="24">
        <f>IF(COUNT(Captura_NoFin!F139,Captura_NoFin!G139,Captura_NoFin!H139)&lt;3,"",IFERROR((Captura_NoFin!F139-Captura_NoFin!G139)/Captura_NoFin!H139,""))</f>
        <v>0.12899032589104586</v>
      </c>
      <c r="H139" s="24">
        <f>IF(OR(E139="",COUNT(Captura_NoFin!K139)&lt;1),"",IFERROR(E139/Captura_NoFin!K139,""))</f>
        <v>7.3472953790440929E-2</v>
      </c>
      <c r="I139" s="24">
        <f>IF(COUNT(Captura_NoFin!N139,Captura_NoFin!H139)&lt;2,"",IFERROR(Captura_NoFin!N139/Captura_NoFin!H139,""))</f>
        <v>5.6426953135760875E-3</v>
      </c>
      <c r="J139" s="24">
        <f>IF(COUNT(Captura_NoFin!I139,Captura_NoFin!H139)&lt;2,"",IFERROR(Captura_NoFin!I139/Captura_NoFin!H139,""))</f>
        <v>0.45602527608694315</v>
      </c>
      <c r="K139" s="23">
        <f>IF(OR(E139="",COUNT(Captura_NoFin!L139)&lt;1),"",IFERROR(E139/ABS(Captura_NoFin!L139),""))</f>
        <v>2.1326439723573074</v>
      </c>
      <c r="L139" s="23">
        <f>IF(COUNT(Captura_NoFin!K139,Captura_NoFin!H139)&lt;2,"",IFERROR(Captura_NoFin!K139/Captura_NoFin!H139,""))</f>
        <v>0.37913575445934139</v>
      </c>
      <c r="M139" s="24">
        <f>IF(COUNT(Captura_NoFin!R139)&lt;1,"",IFERROR(IF(D139=2017,Captura_NoFin!R139/INDEX(Empresas!$I$2:$I$23,MATCH($A139,Empresas!$B$2:$B$23,0))-1,IF(COUNT(Captura_NoFin!R138)&lt;1,"",Captura_NoFin!R139/Captura_NoFin!R138-1)),""))</f>
        <v>-0.13807852238602536</v>
      </c>
      <c r="N139" s="24">
        <f>IF(COUNT(Captura_NoFin!P139,Captura_NoFin!O139)&lt;2,"",IF(Captura_NoFin!O139&lt;=0,"",Captura_NoFin!P139/Captura_NoFin!O139))</f>
        <v>1.0388390458497217E-2</v>
      </c>
      <c r="O139" s="25">
        <f t="shared" si="4"/>
        <v>8</v>
      </c>
      <c r="P139" s="26" t="str">
        <f>IF(COUNT(Captura_NoFin!H139,Captura_NoFin!I139,Captura_NoFin!J139)&lt;3,"",IF(ABS(Captura_NoFin!H139-Captura_NoFin!I139-Captura_NoFin!J139)&lt;=0.005*ABS(Captura_NoFin!H139),"OK","REVISAR"))</f>
        <v>OK</v>
      </c>
    </row>
    <row r="140" spans="1:16" ht="15" customHeight="1" x14ac:dyDescent="0.2">
      <c r="A140" s="20" t="str">
        <f>Captura_NoFin!A140</f>
        <v>CMPC</v>
      </c>
      <c r="B140" s="20">
        <f>Captura_NoFin!B140</f>
        <v>3</v>
      </c>
      <c r="C140" s="20" t="str">
        <f>Captura_NoFin!C140</f>
        <v>Industria, recursos naturales e inmobiliario</v>
      </c>
      <c r="D140" s="21">
        <f>Captura_NoFin!D140</f>
        <v>2020</v>
      </c>
      <c r="E140" s="22">
        <f>IF(COUNT(Captura_NoFin!M140,Captura_NoFin!L140)&lt;2,"",Captura_NoFin!M140+ABS(Captura_NoFin!L140))</f>
        <v>252567</v>
      </c>
      <c r="F140" s="23">
        <f>IF(COUNT(Captura_NoFin!F140,Captura_NoFin!G140)&lt;2,"",IFERROR(Captura_NoFin!F140/Captura_NoFin!G140,""))</f>
        <v>2.9937358164692967</v>
      </c>
      <c r="G140" s="24">
        <f>IF(COUNT(Captura_NoFin!F140,Captura_NoFin!G140,Captura_NoFin!H140)&lt;3,"",IFERROR((Captura_NoFin!F140-Captura_NoFin!G140)/Captura_NoFin!H140,""))</f>
        <v>0.161785672840811</v>
      </c>
      <c r="H140" s="24">
        <f>IF(OR(E140="",COUNT(Captura_NoFin!K140)&lt;1),"",IFERROR(E140/Captura_NoFin!K140,""))</f>
        <v>4.7771985503109841E-2</v>
      </c>
      <c r="I140" s="24">
        <f>IF(COUNT(Captura_NoFin!N140,Captura_NoFin!H140)&lt;2,"",IFERROR(Captura_NoFin!N140/Captura_NoFin!H140,""))</f>
        <v>-1.8785963396501639E-3</v>
      </c>
      <c r="J140" s="24">
        <f>IF(COUNT(Captura_NoFin!I140,Captura_NoFin!H140)&lt;2,"",IFERROR(Captura_NoFin!I140/Captura_NoFin!H140,""))</f>
        <v>0.46586799047976862</v>
      </c>
      <c r="K140" s="23">
        <f>IF(OR(E140="",COUNT(Captura_NoFin!L140)&lt;1),"",IFERROR(E140/ABS(Captura_NoFin!L140),""))</f>
        <v>1.2571088691012438</v>
      </c>
      <c r="L140" s="23">
        <f>IF(COUNT(Captura_NoFin!K140,Captura_NoFin!H140)&lt;2,"",IFERROR(Captura_NoFin!K140/Captura_NoFin!H140,""))</f>
        <v>0.35899666414362835</v>
      </c>
      <c r="M140" s="24">
        <f>IF(COUNT(Captura_NoFin!R140)&lt;1,"",IFERROR(IF(D140=2017,Captura_NoFin!R140/INDEX(Empresas!$I$2:$I$23,MATCH($A140,Empresas!$B$2:$B$23,0))-1,IF(COUNT(Captura_NoFin!R139)&lt;1,"",Captura_NoFin!R140/Captura_NoFin!R139-1)),""))</f>
        <v>1.9043845698790918E-2</v>
      </c>
      <c r="N140" s="24">
        <f>IF(COUNT(Captura_NoFin!P140,Captura_NoFin!O140)&lt;2,"",IF(Captura_NoFin!O140&lt;=0,"",Captura_NoFin!P140/Captura_NoFin!O140))</f>
        <v>-3.6073963452189026E-3</v>
      </c>
      <c r="O140" s="25">
        <f t="shared" si="4"/>
        <v>8</v>
      </c>
      <c r="P140" s="26" t="str">
        <f>IF(COUNT(Captura_NoFin!H140,Captura_NoFin!I140,Captura_NoFin!J140)&lt;3,"",IF(ABS(Captura_NoFin!H140-Captura_NoFin!I140-Captura_NoFin!J140)&lt;=0.005*ABS(Captura_NoFin!H140),"OK","REVISAR"))</f>
        <v>OK</v>
      </c>
    </row>
    <row r="141" spans="1:16" ht="15" customHeight="1" x14ac:dyDescent="0.2">
      <c r="A141" s="20" t="str">
        <f>Captura_NoFin!A141</f>
        <v>CMPC</v>
      </c>
      <c r="B141" s="20">
        <f>Captura_NoFin!B141</f>
        <v>3</v>
      </c>
      <c r="C141" s="20" t="str">
        <f>Captura_NoFin!C141</f>
        <v>Industria, recursos naturales e inmobiliario</v>
      </c>
      <c r="D141" s="21">
        <f>Captura_NoFin!D141</f>
        <v>2021</v>
      </c>
      <c r="E141" s="22">
        <f>IF(COUNT(Captura_NoFin!M141,Captura_NoFin!L141)&lt;2,"",Captura_NoFin!M141+ABS(Captura_NoFin!L141))</f>
        <v>1091276</v>
      </c>
      <c r="F141" s="23">
        <f>IF(COUNT(Captura_NoFin!F141,Captura_NoFin!G141)&lt;2,"",IFERROR(Captura_NoFin!F141/Captura_NoFin!G141,""))</f>
        <v>2.062552187312138</v>
      </c>
      <c r="G141" s="24">
        <f>IF(COUNT(Captura_NoFin!F141,Captura_NoFin!G141,Captura_NoFin!H141)&lt;3,"",IFERROR((Captura_NoFin!F141-Captura_NoFin!G141)/Captura_NoFin!H141,""))</f>
        <v>0.14324577495818255</v>
      </c>
      <c r="H141" s="24">
        <f>IF(OR(E141="",COUNT(Captura_NoFin!K141)&lt;1),"",IFERROR(E141/Captura_NoFin!K141,""))</f>
        <v>0.17258772783014198</v>
      </c>
      <c r="I141" s="24">
        <f>IF(COUNT(Captura_NoFin!N141,Captura_NoFin!H141)&lt;2,"",IFERROR(Captura_NoFin!N141/Captura_NoFin!H141,""))</f>
        <v>3.536302551263442E-2</v>
      </c>
      <c r="J141" s="24">
        <f>IF(COUNT(Captura_NoFin!I141,Captura_NoFin!H141)&lt;2,"",IFERROR(Captura_NoFin!I141/Captura_NoFin!H141,""))</f>
        <v>0.50421635618740968</v>
      </c>
      <c r="K141" s="23">
        <f>IF(OR(E141="",COUNT(Captura_NoFin!L141)&lt;1),"",IFERROR(E141/ABS(Captura_NoFin!L141),""))</f>
        <v>5.0417234544858145</v>
      </c>
      <c r="L141" s="23">
        <f>IF(COUNT(Captura_NoFin!K141,Captura_NoFin!H141)&lt;2,"",IFERROR(Captura_NoFin!K141/Captura_NoFin!H141,""))</f>
        <v>0.41526979077450138</v>
      </c>
      <c r="M141" s="24">
        <f>IF(COUNT(Captura_NoFin!R141)&lt;1,"",IFERROR(IF(D141=2017,Captura_NoFin!R141/INDEX(Empresas!$I$2:$I$23,MATCH($A141,Empresas!$B$2:$B$23,0))-1,IF(COUNT(Captura_NoFin!R140)&lt;1,"",Captura_NoFin!R141/Captura_NoFin!R140-1)),""))</f>
        <v>-0.19308834108063466</v>
      </c>
      <c r="N141" s="24">
        <f>IF(COUNT(Captura_NoFin!P141,Captura_NoFin!O141)&lt;2,"",IF(Captura_NoFin!O141&lt;=0,"",Captura_NoFin!P141/Captura_NoFin!O141))</f>
        <v>7.1402786984179067E-2</v>
      </c>
      <c r="O141" s="25">
        <f t="shared" si="4"/>
        <v>8</v>
      </c>
      <c r="P141" s="26" t="str">
        <f>IF(COUNT(Captura_NoFin!H141,Captura_NoFin!I141,Captura_NoFin!J141)&lt;3,"",IF(ABS(Captura_NoFin!H141-Captura_NoFin!I141-Captura_NoFin!J141)&lt;=0.005*ABS(Captura_NoFin!H141),"OK","REVISAR"))</f>
        <v>OK</v>
      </c>
    </row>
    <row r="142" spans="1:16" ht="15" customHeight="1" x14ac:dyDescent="0.2">
      <c r="A142" s="20" t="str">
        <f>Captura_NoFin!A142</f>
        <v>CMPC</v>
      </c>
      <c r="B142" s="20">
        <f>Captura_NoFin!B142</f>
        <v>3</v>
      </c>
      <c r="C142" s="20" t="str">
        <f>Captura_NoFin!C142</f>
        <v>Industria, recursos naturales e inmobiliario</v>
      </c>
      <c r="D142" s="21">
        <f>Captura_NoFin!D142</f>
        <v>2022</v>
      </c>
      <c r="E142" s="22">
        <f>IF(COUNT(Captura_NoFin!M142,Captura_NoFin!L142)&lt;2,"",Captura_NoFin!M142+ABS(Captura_NoFin!L142))</f>
        <v>1576845</v>
      </c>
      <c r="F142" s="23">
        <f>IF(COUNT(Captura_NoFin!F142,Captura_NoFin!G142)&lt;2,"",IFERROR(Captura_NoFin!F142/Captura_NoFin!G142,""))</f>
        <v>1.9521173356583523</v>
      </c>
      <c r="G142" s="24">
        <f>IF(COUNT(Captura_NoFin!F142,Captura_NoFin!G142,Captura_NoFin!H142)&lt;3,"",IFERROR((Captura_NoFin!F142-Captura_NoFin!G142)/Captura_NoFin!H142,""))</f>
        <v>0.13785420558401626</v>
      </c>
      <c r="H142" s="24">
        <f>IF(OR(E142="",COUNT(Captura_NoFin!K142)&lt;1),"",IFERROR(E142/Captura_NoFin!K142,""))</f>
        <v>0.2016079075913414</v>
      </c>
      <c r="I142" s="24">
        <f>IF(COUNT(Captura_NoFin!N142,Captura_NoFin!H142)&lt;2,"",IFERROR(Captura_NoFin!N142/Captura_NoFin!H142,""))</f>
        <v>6.0667588342949261E-2</v>
      </c>
      <c r="J142" s="24">
        <f>IF(COUNT(Captura_NoFin!I142,Captura_NoFin!H142)&lt;2,"",IFERROR(Captura_NoFin!I142/Captura_NoFin!H142,""))</f>
        <v>0.52263872649126575</v>
      </c>
      <c r="K142" s="23">
        <f>IF(OR(E142="",COUNT(Captura_NoFin!L142)&lt;1),"",IFERROR(E142/ABS(Captura_NoFin!L142),""))</f>
        <v>7.2839206773742049</v>
      </c>
      <c r="L142" s="23">
        <f>IF(COUNT(Captura_NoFin!K142,Captura_NoFin!H142)&lt;2,"",IFERROR(Captura_NoFin!K142/Captura_NoFin!H142,""))</f>
        <v>0.47196203905399592</v>
      </c>
      <c r="M142" s="24">
        <f>IF(COUNT(Captura_NoFin!R142)&lt;1,"",IFERROR(IF(D142=2017,Captura_NoFin!R142/INDEX(Empresas!$I$2:$I$23,MATCH($A142,Empresas!$B$2:$B$23,0))-1,IF(COUNT(Captura_NoFin!R141)&lt;1,"",Captura_NoFin!R142/Captura_NoFin!R141-1)),""))</f>
        <v>-8.3425317592555892E-3</v>
      </c>
      <c r="N142" s="24">
        <f>IF(COUNT(Captura_NoFin!P142,Captura_NoFin!O142)&lt;2,"",IF(Captura_NoFin!O142&lt;=0,"",Captura_NoFin!P142/Captura_NoFin!O142))</f>
        <v>0.12712206765757922</v>
      </c>
      <c r="O142" s="25">
        <f t="shared" si="4"/>
        <v>8</v>
      </c>
      <c r="P142" s="26" t="str">
        <f>IF(COUNT(Captura_NoFin!H142,Captura_NoFin!I142,Captura_NoFin!J142)&lt;3,"",IF(ABS(Captura_NoFin!H142-Captura_NoFin!I142-Captura_NoFin!J142)&lt;=0.005*ABS(Captura_NoFin!H142),"OK","REVISAR"))</f>
        <v>OK</v>
      </c>
    </row>
    <row r="143" spans="1:16" ht="15" customHeight="1" x14ac:dyDescent="0.2">
      <c r="A143" s="20" t="str">
        <f>Captura_NoFin!A143</f>
        <v>CMPC</v>
      </c>
      <c r="B143" s="20">
        <f>Captura_NoFin!B143</f>
        <v>3</v>
      </c>
      <c r="C143" s="20" t="str">
        <f>Captura_NoFin!C143</f>
        <v>Industria, recursos naturales e inmobiliario</v>
      </c>
      <c r="D143" s="21">
        <f>Captura_NoFin!D143</f>
        <v>2023</v>
      </c>
      <c r="E143" s="22">
        <f>IF(COUNT(Captura_NoFin!M143,Captura_NoFin!L143)&lt;2,"",Captura_NoFin!M143+ABS(Captura_NoFin!L143))</f>
        <v>855203</v>
      </c>
      <c r="F143" s="23">
        <f>IF(COUNT(Captura_NoFin!F143,Captura_NoFin!G143)&lt;2,"",IFERROR(Captura_NoFin!F143/Captura_NoFin!G143,""))</f>
        <v>1.8467109572302083</v>
      </c>
      <c r="G143" s="24">
        <f>IF(COUNT(Captura_NoFin!F143,Captura_NoFin!G143,Captura_NoFin!H143)&lt;3,"",IFERROR((Captura_NoFin!F143-Captura_NoFin!G143)/Captura_NoFin!H143,""))</f>
        <v>0.12206644952748126</v>
      </c>
      <c r="H143" s="24">
        <f>IF(OR(E143="",COUNT(Captura_NoFin!K143)&lt;1),"",IFERROR(E143/Captura_NoFin!K143,""))</f>
        <v>0.10558301571294954</v>
      </c>
      <c r="I143" s="24">
        <f>IF(COUNT(Captura_NoFin!N143,Captura_NoFin!H143)&lt;2,"",IFERROR(Captura_NoFin!N143/Captura_NoFin!H143,""))</f>
        <v>2.737605915897881E-2</v>
      </c>
      <c r="J143" s="24">
        <f>IF(COUNT(Captura_NoFin!I143,Captura_NoFin!H143)&lt;2,"",IFERROR(Captura_NoFin!I143/Captura_NoFin!H143,""))</f>
        <v>0.54097015667414239</v>
      </c>
      <c r="K143" s="23">
        <f>IF(OR(E143="",COUNT(Captura_NoFin!L143)&lt;1),"",IFERROR(E143/ABS(Captura_NoFin!L143),""))</f>
        <v>3.2298381309907773</v>
      </c>
      <c r="L143" s="23">
        <f>IF(COUNT(Captura_NoFin!K143,Captura_NoFin!H143)&lt;2,"",IFERROR(Captura_NoFin!K143/Captura_NoFin!H143,""))</f>
        <v>0.47154164086712541</v>
      </c>
      <c r="M143" s="24">
        <f>IF(COUNT(Captura_NoFin!R143)&lt;1,"",IFERROR(IF(D143=2017,Captura_NoFin!R143/INDEX(Empresas!$I$2:$I$23,MATCH($A143,Empresas!$B$2:$B$23,0))-1,IF(COUNT(Captura_NoFin!R142)&lt;1,"",Captura_NoFin!R143/Captura_NoFin!R142-1)),""))</f>
        <v>0.20072744843326662</v>
      </c>
      <c r="N143" s="24">
        <f>IF(COUNT(Captura_NoFin!P143,Captura_NoFin!O143)&lt;2,"",IF(Captura_NoFin!O143&lt;=0,"",Captura_NoFin!P143/Captura_NoFin!O143))</f>
        <v>5.9641752752857748E-2</v>
      </c>
      <c r="O143" s="25">
        <f t="shared" si="4"/>
        <v>8</v>
      </c>
      <c r="P143" s="26" t="str">
        <f>IF(COUNT(Captura_NoFin!H143,Captura_NoFin!I143,Captura_NoFin!J143)&lt;3,"",IF(ABS(Captura_NoFin!H143-Captura_NoFin!I143-Captura_NoFin!J143)&lt;=0.005*ABS(Captura_NoFin!H143),"OK","REVISAR"))</f>
        <v>OK</v>
      </c>
    </row>
    <row r="144" spans="1:16" ht="15" customHeight="1" x14ac:dyDescent="0.2">
      <c r="A144" s="20" t="str">
        <f>Captura_NoFin!A144</f>
        <v>CMPC</v>
      </c>
      <c r="B144" s="20">
        <f>Captura_NoFin!B144</f>
        <v>3</v>
      </c>
      <c r="C144" s="20" t="str">
        <f>Captura_NoFin!C144</f>
        <v>Industria, recursos naturales e inmobiliario</v>
      </c>
      <c r="D144" s="21">
        <f>Captura_NoFin!D144</f>
        <v>2024</v>
      </c>
      <c r="E144" s="22">
        <f>IF(COUNT(Captura_NoFin!M144,Captura_NoFin!L144)&lt;2,"",Captura_NoFin!M144+ABS(Captura_NoFin!L144))</f>
        <v>1084363</v>
      </c>
      <c r="F144" s="23">
        <f>IF(COUNT(Captura_NoFin!F144,Captura_NoFin!G144)&lt;2,"",IFERROR(Captura_NoFin!F144/Captura_NoFin!G144,""))</f>
        <v>2.0826283837944666</v>
      </c>
      <c r="G144" s="24">
        <f>IF(COUNT(Captura_NoFin!F144,Captura_NoFin!G144,Captura_NoFin!H144)&lt;3,"",IFERROR((Captura_NoFin!F144-Captura_NoFin!G144)/Captura_NoFin!H144,""))</f>
        <v>0.13070990809871069</v>
      </c>
      <c r="H144" s="24">
        <f>IF(OR(E144="",COUNT(Captura_NoFin!K144)&lt;1),"",IFERROR(E144/Captura_NoFin!K144,""))</f>
        <v>0.14004994131237111</v>
      </c>
      <c r="I144" s="24">
        <f>IF(COUNT(Captura_NoFin!N144,Captura_NoFin!H144)&lt;2,"",IFERROR(Captura_NoFin!N144/Captura_NoFin!H144,""))</f>
        <v>2.8997906253611091E-2</v>
      </c>
      <c r="J144" s="24">
        <f>IF(COUNT(Captura_NoFin!I144,Captura_NoFin!H144)&lt;2,"",IFERROR(Captura_NoFin!I144/Captura_NoFin!H144,""))</f>
        <v>0.53948302373138923</v>
      </c>
      <c r="K144" s="23">
        <f>IF(OR(E144="",COUNT(Captura_NoFin!L144)&lt;1),"",IFERROR(E144/ABS(Captura_NoFin!L144),""))</f>
        <v>3.4455505633686458</v>
      </c>
      <c r="L144" s="23">
        <f>IF(COUNT(Captura_NoFin!K144,Captura_NoFin!H144)&lt;2,"",IFERROR(Captura_NoFin!K144/Captura_NoFin!H144,""))</f>
        <v>0.45718223978252764</v>
      </c>
      <c r="M144" s="24">
        <f>IF(COUNT(Captura_NoFin!R144)&lt;1,"",IFERROR(IF(D144=2017,Captura_NoFin!R144/INDEX(Empresas!$I$2:$I$23,MATCH($A144,Empresas!$B$2:$B$23,0))-1,IF(COUNT(Captura_NoFin!R143)&lt;1,"",Captura_NoFin!R144/Captura_NoFin!R143-1)),""))</f>
        <v>-8.1764828628235753E-2</v>
      </c>
      <c r="N144" s="24">
        <f>IF(COUNT(Captura_NoFin!P144,Captura_NoFin!O144)&lt;2,"",IF(Captura_NoFin!O144&lt;=0,"",Captura_NoFin!P144/Captura_NoFin!O144))</f>
        <v>6.2965692274097138E-2</v>
      </c>
      <c r="O144" s="25">
        <f t="shared" si="4"/>
        <v>8</v>
      </c>
      <c r="P144" s="26" t="str">
        <f>IF(COUNT(Captura_NoFin!H144,Captura_NoFin!I144,Captura_NoFin!J144)&lt;3,"",IF(ABS(Captura_NoFin!H144-Captura_NoFin!I144-Captura_NoFin!J144)&lt;=0.005*ABS(Captura_NoFin!H144),"OK","REVISAR"))</f>
        <v>OK</v>
      </c>
    </row>
    <row r="145" spans="1:16" ht="15" customHeight="1" x14ac:dyDescent="0.2">
      <c r="A145" s="20" t="str">
        <f>Captura_NoFin!A145</f>
        <v>CMPC</v>
      </c>
      <c r="B145" s="20">
        <f>Captura_NoFin!B145</f>
        <v>3</v>
      </c>
      <c r="C145" s="20" t="str">
        <f>Captura_NoFin!C145</f>
        <v>Industria, recursos naturales e inmobiliario</v>
      </c>
      <c r="D145" s="21">
        <f>Captura_NoFin!D145</f>
        <v>2025</v>
      </c>
      <c r="E145" s="22">
        <f>IF(COUNT(Captura_NoFin!M145,Captura_NoFin!L145)&lt;2,"",Captura_NoFin!M145+ABS(Captura_NoFin!L145))</f>
        <v>560142</v>
      </c>
      <c r="F145" s="23">
        <f>IF(COUNT(Captura_NoFin!F145,Captura_NoFin!G145)&lt;2,"",IFERROR(Captura_NoFin!F145/Captura_NoFin!G145,""))</f>
        <v>2.0908260318757859</v>
      </c>
      <c r="G145" s="24">
        <f>IF(COUNT(Captura_NoFin!F145,Captura_NoFin!G145,Captura_NoFin!H145)&lt;3,"",IFERROR((Captura_NoFin!F145-Captura_NoFin!G145)/Captura_NoFin!H145,""))</f>
        <v>0.11075675899211022</v>
      </c>
      <c r="H145" s="24">
        <f>IF(OR(E145="",COUNT(Captura_NoFin!K145)&lt;1),"",IFERROR(E145/Captura_NoFin!K145,""))</f>
        <v>7.493442224688486E-2</v>
      </c>
      <c r="I145" s="24">
        <f>IF(COUNT(Captura_NoFin!N145,Captura_NoFin!H145)&lt;2,"",IFERROR(Captura_NoFin!N145/Captura_NoFin!H145,""))</f>
        <v>9.8040659232950123E-3</v>
      </c>
      <c r="J145" s="24">
        <f>IF(COUNT(Captura_NoFin!I145,Captura_NoFin!H145)&lt;2,"",IFERROR(Captura_NoFin!I145/Captura_NoFin!H145,""))</f>
        <v>0.50909830166104741</v>
      </c>
      <c r="K145" s="23">
        <f>IF(OR(E145="",COUNT(Captura_NoFin!L145)&lt;1),"",IFERROR(E145/ABS(Captura_NoFin!L145),""))</f>
        <v>1.6570336558799428</v>
      </c>
      <c r="L145" s="23">
        <f>IF(COUNT(Captura_NoFin!K145,Captura_NoFin!H145)&lt;2,"",IFERROR(Captura_NoFin!K145/Captura_NoFin!H145,""))</f>
        <v>0.36324960330980038</v>
      </c>
      <c r="M145" s="24">
        <f>IF(COUNT(Captura_NoFin!R145)&lt;1,"",IFERROR(IF(D145=2017,Captura_NoFin!R145/INDEX(Empresas!$I$2:$I$23,MATCH($A145,Empresas!$B$2:$B$23,0))-1,IF(COUNT(Captura_NoFin!R144)&lt;1,"",Captura_NoFin!R145/Captura_NoFin!R144-1)),""))</f>
        <v>-9.4101662561697497E-2</v>
      </c>
      <c r="N145" s="24">
        <f>IF(COUNT(Captura_NoFin!P145,Captura_NoFin!O145)&lt;2,"",IF(Captura_NoFin!O145&lt;=0,"",Captura_NoFin!P145/Captura_NoFin!O145))</f>
        <v>1.9969936792819679E-2</v>
      </c>
      <c r="O145" s="25">
        <f t="shared" si="4"/>
        <v>8</v>
      </c>
      <c r="P145" s="26" t="str">
        <f>IF(COUNT(Captura_NoFin!H145,Captura_NoFin!I145,Captura_NoFin!J145)&lt;3,"",IF(ABS(Captura_NoFin!H145-Captura_NoFin!I145-Captura_NoFin!J145)&lt;=0.005*ABS(Captura_NoFin!H145),"OK","REVISAR"))</f>
        <v>OK</v>
      </c>
    </row>
    <row r="146" spans="1:16" ht="15" customHeight="1" x14ac:dyDescent="0.2">
      <c r="A146" s="20" t="str">
        <f>Captura_NoFin!A146</f>
        <v>SQM-B</v>
      </c>
      <c r="B146" s="20">
        <f>Captura_NoFin!B146</f>
        <v>3</v>
      </c>
      <c r="C146" s="20" t="str">
        <f>Captura_NoFin!C146</f>
        <v>Industria, recursos naturales e inmobiliario</v>
      </c>
      <c r="D146" s="21">
        <f>Captura_NoFin!D146</f>
        <v>2017</v>
      </c>
      <c r="E146" s="22">
        <f>IF(COUNT(Captura_NoFin!M146,Captura_NoFin!L146)&lt;2,"",Captura_NoFin!M146+ABS(Captura_NoFin!L146))</f>
        <v>644714</v>
      </c>
      <c r="F146" s="23">
        <f>IF(COUNT(Captura_NoFin!F146,Captura_NoFin!G146)&lt;2,"",IFERROR(Captura_NoFin!F146/Captura_NoFin!G146,""))</f>
        <v>3.2969420288886364</v>
      </c>
      <c r="G146" s="24">
        <f>IF(COUNT(Captura_NoFin!F146,Captura_NoFin!G146,Captura_NoFin!H146)&lt;3,"",IFERROR((Captura_NoFin!F146-Captura_NoFin!G146)/Captura_NoFin!H146,""))</f>
        <v>0.39993519909055275</v>
      </c>
      <c r="H146" s="24">
        <f>IF(OR(E146="",COUNT(Captura_NoFin!K146)&lt;1),"",IFERROR(E146/Captura_NoFin!K146,""))</f>
        <v>0.29884908286798034</v>
      </c>
      <c r="I146" s="24">
        <f>IF(COUNT(Captura_NoFin!N146,Captura_NoFin!H146)&lt;2,"",IFERROR(Captura_NoFin!N146/Captura_NoFin!H146,""))</f>
        <v>9.9719149506684451E-2</v>
      </c>
      <c r="J146" s="24">
        <f>IF(COUNT(Captura_NoFin!I146,Captura_NoFin!H146)&lt;2,"",IFERROR(Captura_NoFin!I146/Captura_NoFin!H146,""))</f>
        <v>0.47687510648856346</v>
      </c>
      <c r="K146" s="23">
        <f>IF(OR(E146="",COUNT(Captura_NoFin!L146)&lt;1),"",IFERROR(E146/ABS(Captura_NoFin!L146),""))</f>
        <v>12.862381294389913</v>
      </c>
      <c r="L146" s="23">
        <f>IF(COUNT(Captura_NoFin!K146,Captura_NoFin!H146)&lt;2,"",IFERROR(Captura_NoFin!K146/Captura_NoFin!H146,""))</f>
        <v>0.50214257317335453</v>
      </c>
      <c r="M146" s="24">
        <f>IF(COUNT(Captura_NoFin!R146)&lt;1,"",IFERROR(IF(D146=2017,Captura_NoFin!R146/INDEX(Empresas!$I$2:$I$23,MATCH($A146,Empresas!$B$2:$B$23,0))-1,IF(COUNT(Captura_NoFin!R145)&lt;1,"",Captura_NoFin!R146/Captura_NoFin!R145-1)),""))</f>
        <v>0.97899317692863286</v>
      </c>
      <c r="N146" s="24">
        <f>IF(COUNT(Captura_NoFin!P146,Captura_NoFin!O146)&lt;2,"",IF(Captura_NoFin!O146&lt;=0,"",Captura_NoFin!P146/Captura_NoFin!O146))</f>
        <v>0.1954899418188234</v>
      </c>
      <c r="O146" s="25">
        <f t="shared" si="4"/>
        <v>8</v>
      </c>
      <c r="P146" s="26" t="str">
        <f>IF(COUNT(Captura_NoFin!H146,Captura_NoFin!I146,Captura_NoFin!J146)&lt;3,"",IF(ABS(Captura_NoFin!H146-Captura_NoFin!I146-Captura_NoFin!J146)&lt;=0.005*ABS(Captura_NoFin!H146),"OK","REVISAR"))</f>
        <v>OK</v>
      </c>
    </row>
    <row r="147" spans="1:16" ht="15" customHeight="1" x14ac:dyDescent="0.2">
      <c r="A147" s="20" t="str">
        <f>Captura_NoFin!A147</f>
        <v>SQM-B</v>
      </c>
      <c r="B147" s="20">
        <f>Captura_NoFin!B147</f>
        <v>3</v>
      </c>
      <c r="C147" s="20" t="str">
        <f>Captura_NoFin!C147</f>
        <v>Industria, recursos naturales e inmobiliario</v>
      </c>
      <c r="D147" s="21">
        <f>Captura_NoFin!D147</f>
        <v>2018</v>
      </c>
      <c r="E147" s="22">
        <f>IF(COUNT(Captura_NoFin!M147,Captura_NoFin!L147)&lt;2,"",Captura_NoFin!M147+ABS(Captura_NoFin!L147))</f>
        <v>680952</v>
      </c>
      <c r="F147" s="23">
        <f>IF(COUNT(Captura_NoFin!F147,Captura_NoFin!G147)&lt;2,"",IFERROR(Captura_NoFin!F147/Captura_NoFin!G147,""))</f>
        <v>4.3184376141654202</v>
      </c>
      <c r="G147" s="24">
        <f>IF(COUNT(Captura_NoFin!F147,Captura_NoFin!G147,Captura_NoFin!H147)&lt;3,"",IFERROR((Captura_NoFin!F147-Captura_NoFin!G147)/Captura_NoFin!H147,""))</f>
        <v>0.43202727025224841</v>
      </c>
      <c r="H147" s="24">
        <f>IF(OR(E147="",COUNT(Captura_NoFin!K147)&lt;1),"",IFERROR(E147/Captura_NoFin!K147,""))</f>
        <v>0.30053451248850849</v>
      </c>
      <c r="I147" s="24">
        <f>IF(COUNT(Captura_NoFin!N147,Captura_NoFin!H147)&lt;2,"",IFERROR(Captura_NoFin!N147/Captura_NoFin!H147,""))</f>
        <v>0.10357386692982863</v>
      </c>
      <c r="J147" s="24">
        <f>IF(COUNT(Captura_NoFin!I147,Captura_NoFin!H147)&lt;2,"",IFERROR(Captura_NoFin!I147/Captura_NoFin!H147,""))</f>
        <v>0.49912021619017766</v>
      </c>
      <c r="K147" s="23">
        <f>IF(OR(E147="",COUNT(Captura_NoFin!L147)&lt;1),"",IFERROR(E147/ABS(Captura_NoFin!L147),""))</f>
        <v>11.365490536435559</v>
      </c>
      <c r="L147" s="23">
        <f>IF(COUNT(Captura_NoFin!K147,Captura_NoFin!H147)&lt;2,"",IFERROR(Captura_NoFin!K147/Captura_NoFin!H147,""))</f>
        <v>0.53086998552515474</v>
      </c>
      <c r="M147" s="24">
        <f>IF(COUNT(Captura_NoFin!R147)&lt;1,"",IFERROR(IF(D147=2017,Captura_NoFin!R147/INDEX(Empresas!$I$2:$I$23,MATCH($A147,Empresas!$B$2:$B$23,0))-1,IF(COUNT(Captura_NoFin!R146)&lt;1,"",Captura_NoFin!R147/Captura_NoFin!R146-1)),""))</f>
        <v>-0.23042749328387946</v>
      </c>
      <c r="N147" s="24">
        <f>IF(COUNT(Captura_NoFin!P147,Captura_NoFin!O147)&lt;2,"",IF(Captura_NoFin!O147&lt;=0,"",Captura_NoFin!P147/Captura_NoFin!O147))</f>
        <v>0.21089997511377417</v>
      </c>
      <c r="O147" s="25">
        <f t="shared" si="4"/>
        <v>8</v>
      </c>
      <c r="P147" s="26" t="str">
        <f>IF(COUNT(Captura_NoFin!H147,Captura_NoFin!I147,Captura_NoFin!J147)&lt;3,"",IF(ABS(Captura_NoFin!H147-Captura_NoFin!I147-Captura_NoFin!J147)&lt;=0.005*ABS(Captura_NoFin!H147),"OK","REVISAR"))</f>
        <v>OK</v>
      </c>
    </row>
    <row r="148" spans="1:16" ht="15" customHeight="1" x14ac:dyDescent="0.2">
      <c r="A148" s="20" t="str">
        <f>Captura_NoFin!A148</f>
        <v>SQM-B</v>
      </c>
      <c r="B148" s="20">
        <f>Captura_NoFin!B148</f>
        <v>3</v>
      </c>
      <c r="C148" s="20" t="str">
        <f>Captura_NoFin!C148</f>
        <v>Industria, recursos naturales e inmobiliario</v>
      </c>
      <c r="D148" s="21">
        <f>Captura_NoFin!D148</f>
        <v>2019</v>
      </c>
      <c r="E148" s="22">
        <f>IF(COUNT(Captura_NoFin!M148,Captura_NoFin!L148)&lt;2,"",Captura_NoFin!M148+ABS(Captura_NoFin!L148))</f>
        <v>467561</v>
      </c>
      <c r="F148" s="23">
        <f>IF(COUNT(Captura_NoFin!F148,Captura_NoFin!G148)&lt;2,"",IFERROR(Captura_NoFin!F148/Captura_NoFin!G148,""))</f>
        <v>3.4527865172010732</v>
      </c>
      <c r="G148" s="24">
        <f>IF(COUNT(Captura_NoFin!F148,Captura_NoFin!G148,Captura_NoFin!H148)&lt;3,"",IFERROR((Captura_NoFin!F148-Captura_NoFin!G148)/Captura_NoFin!H148,""))</f>
        <v>0.40676613542133888</v>
      </c>
      <c r="H148" s="24">
        <f>IF(OR(E148="",COUNT(Captura_NoFin!K148)&lt;1),"",IFERROR(E148/Captura_NoFin!K148,""))</f>
        <v>0.24055760924649694</v>
      </c>
      <c r="I148" s="24">
        <f>IF(COUNT(Captura_NoFin!N148,Captura_NoFin!H148)&lt;2,"",IFERROR(Captura_NoFin!N148/Captura_NoFin!H148,""))</f>
        <v>5.990477249772691E-2</v>
      </c>
      <c r="J148" s="24">
        <f>IF(COUNT(Captura_NoFin!I148,Captura_NoFin!H148)&lt;2,"",IFERROR(Captura_NoFin!I148/Captura_NoFin!H148,""))</f>
        <v>0.54432041153242072</v>
      </c>
      <c r="K148" s="23">
        <f>IF(OR(E148="",COUNT(Captura_NoFin!L148)&lt;1),"",IFERROR(E148/ABS(Captura_NoFin!L148),""))</f>
        <v>6.0770350537438746</v>
      </c>
      <c r="L148" s="23">
        <f>IF(COUNT(Captura_NoFin!K148,Captura_NoFin!H148)&lt;2,"",IFERROR(Captura_NoFin!K148/Captura_NoFin!H148,""))</f>
        <v>0.41494285730754621</v>
      </c>
      <c r="M148" s="24">
        <f>IF(COUNT(Captura_NoFin!R148)&lt;1,"",IFERROR(IF(D148=2017,Captura_NoFin!R148/INDEX(Empresas!$I$2:$I$23,MATCH($A148,Empresas!$B$2:$B$23,0))-1,IF(COUNT(Captura_NoFin!R147)&lt;1,"",Captura_NoFin!R148/Captura_NoFin!R147-1)),""))</f>
        <v>-0.24697322150138734</v>
      </c>
      <c r="N148" s="24">
        <f>IF(COUNT(Captura_NoFin!P148,Captura_NoFin!O148)&lt;2,"",IF(Captura_NoFin!O148&lt;=0,"",Captura_NoFin!P148/Captura_NoFin!O148))</f>
        <v>0.13330748173651791</v>
      </c>
      <c r="O148" s="25">
        <f t="shared" si="4"/>
        <v>8</v>
      </c>
      <c r="P148" s="26" t="str">
        <f>IF(COUNT(Captura_NoFin!H148,Captura_NoFin!I148,Captura_NoFin!J148)&lt;3,"",IF(ABS(Captura_NoFin!H148-Captura_NoFin!I148-Captura_NoFin!J148)&lt;=0.005*ABS(Captura_NoFin!H148),"OK","REVISAR"))</f>
        <v>OK</v>
      </c>
    </row>
    <row r="149" spans="1:16" ht="15" customHeight="1" x14ac:dyDescent="0.2">
      <c r="A149" s="20" t="str">
        <f>Captura_NoFin!A149</f>
        <v>SQM-B</v>
      </c>
      <c r="B149" s="20">
        <f>Captura_NoFin!B149</f>
        <v>3</v>
      </c>
      <c r="C149" s="20" t="str">
        <f>Captura_NoFin!C149</f>
        <v>Industria, recursos naturales e inmobiliario</v>
      </c>
      <c r="D149" s="21">
        <f>Captura_NoFin!D149</f>
        <v>2020</v>
      </c>
      <c r="E149" s="22">
        <f>IF(COUNT(Captura_NoFin!M149,Captura_NoFin!L149)&lt;2,"",Captura_NoFin!M149+ABS(Captura_NoFin!L149))</f>
        <v>320737</v>
      </c>
      <c r="F149" s="23">
        <f>IF(COUNT(Captura_NoFin!F149,Captura_NoFin!G149)&lt;2,"",IFERROR(Captura_NoFin!F149/Captura_NoFin!G149,""))</f>
        <v>5.3989392328350307</v>
      </c>
      <c r="G149" s="24">
        <f>IF(COUNT(Captura_NoFin!F149,Captura_NoFin!G149,Captura_NoFin!H149)&lt;3,"",IFERROR((Captura_NoFin!F149-Captura_NoFin!G149)/Captura_NoFin!H149,""))</f>
        <v>0.43444891036830624</v>
      </c>
      <c r="H149" s="24">
        <f>IF(OR(E149="",COUNT(Captura_NoFin!K149)&lt;1),"",IFERROR(E149/Captura_NoFin!K149,""))</f>
        <v>0.17650153451123191</v>
      </c>
      <c r="I149" s="24">
        <f>IF(COUNT(Captura_NoFin!N149,Captura_NoFin!H149)&lt;2,"",IFERROR(Captura_NoFin!N149/Captura_NoFin!H149,""))</f>
        <v>3.494039489355838E-2</v>
      </c>
      <c r="J149" s="24">
        <f>IF(COUNT(Captura_NoFin!I149,Captura_NoFin!H149)&lt;2,"",IFERROR(Captura_NoFin!I149/Captura_NoFin!H149,""))</f>
        <v>0.55118924852177964</v>
      </c>
      <c r="K149" s="23">
        <f>IF(OR(E149="",COUNT(Captura_NoFin!L149)&lt;1),"",IFERROR(E149/ABS(Captura_NoFin!L149),""))</f>
        <v>3.9019574447377705</v>
      </c>
      <c r="L149" s="23">
        <f>IF(COUNT(Captura_NoFin!K149,Captura_NoFin!H149)&lt;2,"",IFERROR(Captura_NoFin!K149/Captura_NoFin!H149,""))</f>
        <v>0.3771308402700197</v>
      </c>
      <c r="M149" s="24">
        <f>IF(COUNT(Captura_NoFin!R149)&lt;1,"",IFERROR(IF(D149=2017,Captura_NoFin!R149/INDEX(Empresas!$I$2:$I$23,MATCH($A149,Empresas!$B$2:$B$23,0))-1,IF(COUNT(Captura_NoFin!R148)&lt;1,"",Captura_NoFin!R149/Captura_NoFin!R148-1)),""))</f>
        <v>0.75192139943890424</v>
      </c>
      <c r="N149" s="24">
        <f>IF(COUNT(Captura_NoFin!P149,Captura_NoFin!O149)&lt;2,"",IF(Captura_NoFin!O149&lt;=0,"",Captura_NoFin!P149/Captura_NoFin!O149))</f>
        <v>7.7490067519670663E-2</v>
      </c>
      <c r="O149" s="25">
        <f t="shared" si="4"/>
        <v>8</v>
      </c>
      <c r="P149" s="26" t="str">
        <f>IF(COUNT(Captura_NoFin!H149,Captura_NoFin!I149,Captura_NoFin!J149)&lt;3,"",IF(ABS(Captura_NoFin!H149-Captura_NoFin!I149-Captura_NoFin!J149)&lt;=0.005*ABS(Captura_NoFin!H149),"OK","REVISAR"))</f>
        <v>OK</v>
      </c>
    </row>
    <row r="150" spans="1:16" ht="15" customHeight="1" x14ac:dyDescent="0.2">
      <c r="A150" s="20" t="str">
        <f>Captura_NoFin!A150</f>
        <v>SQM-B</v>
      </c>
      <c r="B150" s="20">
        <f>Captura_NoFin!B150</f>
        <v>3</v>
      </c>
      <c r="C150" s="20" t="str">
        <f>Captura_NoFin!C150</f>
        <v>Industria, recursos naturales e inmobiliario</v>
      </c>
      <c r="D150" s="21">
        <f>Captura_NoFin!D150</f>
        <v>2021</v>
      </c>
      <c r="E150" s="22">
        <f>IF(COUNT(Captura_NoFin!M150,Captura_NoFin!L150)&lt;2,"",Captura_NoFin!M150+ABS(Captura_NoFin!L150))</f>
        <v>925847</v>
      </c>
      <c r="F150" s="23">
        <f>IF(COUNT(Captura_NoFin!F150,Captura_NoFin!G150)&lt;2,"",IFERROR(Captura_NoFin!F150/Captura_NoFin!G150,""))</f>
        <v>4.6244362005386659</v>
      </c>
      <c r="G150" s="24">
        <f>IF(COUNT(Captura_NoFin!F150,Captura_NoFin!G150,Captura_NoFin!H150)&lt;3,"",IFERROR((Captura_NoFin!F150-Captura_NoFin!G150)/Captura_NoFin!H150,""))</f>
        <v>0.50059684958680128</v>
      </c>
      <c r="H150" s="24">
        <f>IF(OR(E150="",COUNT(Captura_NoFin!K150)&lt;1),"",IFERROR(E150/Captura_NoFin!K150,""))</f>
        <v>0.32346090489691037</v>
      </c>
      <c r="I150" s="24">
        <f>IF(COUNT(Captura_NoFin!N150,Captura_NoFin!H150)&lt;2,"",IFERROR(Captura_NoFin!N150/Captura_NoFin!H150,""))</f>
        <v>8.2477496103521342E-2</v>
      </c>
      <c r="J150" s="24">
        <f>IF(COUNT(Captura_NoFin!I150,Captura_NoFin!H150)&lt;2,"",IFERROR(Captura_NoFin!I150/Captura_NoFin!H150,""))</f>
        <v>0.55210571403223951</v>
      </c>
      <c r="K150" s="23">
        <f>IF(OR(E150="",COUNT(Captura_NoFin!L150)&lt;1),"",IFERROR(E150/ABS(Captura_NoFin!L150),""))</f>
        <v>10.940455651927303</v>
      </c>
      <c r="L150" s="23">
        <f>IF(COUNT(Captura_NoFin!K150,Captura_NoFin!H150)&lt;2,"",IFERROR(Captura_NoFin!K150/Captura_NoFin!H150,""))</f>
        <v>0.3986399545082373</v>
      </c>
      <c r="M150" s="24">
        <f>IF(COUNT(Captura_NoFin!R150)&lt;1,"",IFERROR(IF(D150=2017,Captura_NoFin!R150/INDEX(Empresas!$I$2:$I$23,MATCH($A150,Empresas!$B$2:$B$23,0))-1,IF(COUNT(Captura_NoFin!R149)&lt;1,"",Captura_NoFin!R150/Captura_NoFin!R149-1)),""))</f>
        <v>0.27633661986384483</v>
      </c>
      <c r="N150" s="24">
        <f>IF(COUNT(Captura_NoFin!P150,Captura_NoFin!O150)&lt;2,"",IF(Captura_NoFin!O150&lt;=0,"",Captura_NoFin!P150/Captura_NoFin!O150))</f>
        <v>0.18401707360004024</v>
      </c>
      <c r="O150" s="25">
        <f t="shared" si="4"/>
        <v>8</v>
      </c>
      <c r="P150" s="26" t="str">
        <f>IF(COUNT(Captura_NoFin!H150,Captura_NoFin!I150,Captura_NoFin!J150)&lt;3,"",IF(ABS(Captura_NoFin!H150-Captura_NoFin!I150-Captura_NoFin!J150)&lt;=0.005*ABS(Captura_NoFin!H150),"OK","REVISAR"))</f>
        <v>OK</v>
      </c>
    </row>
    <row r="151" spans="1:16" ht="15" customHeight="1" x14ac:dyDescent="0.2">
      <c r="A151" s="20" t="str">
        <f>Captura_NoFin!A151</f>
        <v>SQM-B</v>
      </c>
      <c r="B151" s="20">
        <f>Captura_NoFin!B151</f>
        <v>3</v>
      </c>
      <c r="C151" s="20" t="str">
        <f>Captura_NoFin!C151</f>
        <v>Industria, recursos naturales e inmobiliario</v>
      </c>
      <c r="D151" s="21">
        <f>Captura_NoFin!D151</f>
        <v>2022</v>
      </c>
      <c r="E151" s="22">
        <f>IF(COUNT(Captura_NoFin!M151,Captura_NoFin!L151)&lt;2,"",Captura_NoFin!M151+ABS(Captura_NoFin!L151))</f>
        <v>5573147</v>
      </c>
      <c r="F151" s="23">
        <f>IF(COUNT(Captura_NoFin!F151,Captura_NoFin!G151)&lt;2,"",IFERROR(Captura_NoFin!F151/Captura_NoFin!G151,""))</f>
        <v>2.2911359385911472</v>
      </c>
      <c r="G151" s="24">
        <f>IF(COUNT(Captura_NoFin!F151,Captura_NoFin!G151,Captura_NoFin!H151)&lt;3,"",IFERROR((Captura_NoFin!F151-Captura_NoFin!G151)/Captura_NoFin!H151,""))</f>
        <v>0.36416722609392405</v>
      </c>
      <c r="H151" s="24">
        <f>IF(OR(E151="",COUNT(Captura_NoFin!K151)&lt;1),"",IFERROR(E151/Captura_NoFin!K151,""))</f>
        <v>0.52034045221462366</v>
      </c>
      <c r="I151" s="24">
        <f>IF(COUNT(Captura_NoFin!N151,Captura_NoFin!H151)&lt;2,"",IFERROR(Captura_NoFin!N151/Captura_NoFin!H151,""))</f>
        <v>0.36179383111406394</v>
      </c>
      <c r="J151" s="24">
        <f>IF(COUNT(Captura_NoFin!I151,Captura_NoFin!H151)&lt;2,"",IFERROR(Captura_NoFin!I151/Captura_NoFin!H151,""))</f>
        <v>0.54413948072025575</v>
      </c>
      <c r="K151" s="23">
        <f>IF(OR(E151="",COUNT(Captura_NoFin!L151)&lt;1),"",IFERROR(E151/ABS(Captura_NoFin!L151),""))</f>
        <v>64.317168872834699</v>
      </c>
      <c r="L151" s="23">
        <f>IF(COUNT(Captura_NoFin!K151,Captura_NoFin!H151)&lt;2,"",IFERROR(Captura_NoFin!K151/Captura_NoFin!H151,""))</f>
        <v>0.98996931445597924</v>
      </c>
      <c r="M151" s="24">
        <f>IF(COUNT(Captura_NoFin!R151)&lt;1,"",IFERROR(IF(D151=2017,Captura_NoFin!R151/INDEX(Empresas!$I$2:$I$23,MATCH($A151,Empresas!$B$2:$B$23,0))-1,IF(COUNT(Captura_NoFin!R150)&lt;1,"",Captura_NoFin!R151/Captura_NoFin!R150-1)),""))</f>
        <v>0.65298677717894882</v>
      </c>
      <c r="N151" s="24">
        <f>IF(COUNT(Captura_NoFin!P151,Captura_NoFin!O151)&lt;2,"",IF(Captura_NoFin!O151&lt;=0,"",Captura_NoFin!P151/Captura_NoFin!O151))</f>
        <v>0.7977546607545758</v>
      </c>
      <c r="O151" s="25">
        <f t="shared" si="4"/>
        <v>8</v>
      </c>
      <c r="P151" s="26" t="str">
        <f>IF(COUNT(Captura_NoFin!H151,Captura_NoFin!I151,Captura_NoFin!J151)&lt;3,"",IF(ABS(Captura_NoFin!H151-Captura_NoFin!I151-Captura_NoFin!J151)&lt;=0.005*ABS(Captura_NoFin!H151),"OK","REVISAR"))</f>
        <v>OK</v>
      </c>
    </row>
    <row r="152" spans="1:16" ht="15" customHeight="1" x14ac:dyDescent="0.2">
      <c r="A152" s="20" t="str">
        <f>Captura_NoFin!A152</f>
        <v>SQM-B</v>
      </c>
      <c r="B152" s="20">
        <f>Captura_NoFin!B152</f>
        <v>3</v>
      </c>
      <c r="C152" s="20" t="str">
        <f>Captura_NoFin!C152</f>
        <v>Industria, recursos naturales e inmobiliario</v>
      </c>
      <c r="D152" s="21">
        <f>Captura_NoFin!D152</f>
        <v>2023</v>
      </c>
      <c r="E152" s="22">
        <f>IF(COUNT(Captura_NoFin!M152,Captura_NoFin!L152)&lt;2,"",Captura_NoFin!M152+ABS(Captura_NoFin!L152))</f>
        <v>2945420</v>
      </c>
      <c r="F152" s="23">
        <f>IF(COUNT(Captura_NoFin!F152,Captura_NoFin!G152)&lt;2,"",IFERROR(Captura_NoFin!F152/Captura_NoFin!G152,""))</f>
        <v>2.495027291097526</v>
      </c>
      <c r="G152" s="24">
        <f>IF(COUNT(Captura_NoFin!F152,Captura_NoFin!G152,Captura_NoFin!H152)&lt;3,"",IFERROR((Captura_NoFin!F152-Captura_NoFin!G152)/Captura_NoFin!H152,""))</f>
        <v>0.30028507795861287</v>
      </c>
      <c r="H152" s="24">
        <f>IF(OR(E152="",COUNT(Captura_NoFin!K152)&lt;1),"",IFERROR(E152/Captura_NoFin!K152,""))</f>
        <v>0.39443239964164667</v>
      </c>
      <c r="I152" s="24">
        <f>IF(COUNT(Captura_NoFin!N152,Captura_NoFin!H152)&lt;2,"",IFERROR(Captura_NoFin!N152/Captura_NoFin!H152,""))</f>
        <v>0.1725454633990485</v>
      </c>
      <c r="J152" s="24">
        <f>IF(COUNT(Captura_NoFin!I152,Captura_NoFin!H152)&lt;2,"",IFERROR(Captura_NoFin!I152/Captura_NoFin!H152,""))</f>
        <v>0.5244225612251262</v>
      </c>
      <c r="K152" s="23">
        <f>IF(OR(E152="",COUNT(Captura_NoFin!L152)&lt;1),"",IFERROR(E152/ABS(Captura_NoFin!L152),""))</f>
        <v>21.281628878195402</v>
      </c>
      <c r="L152" s="23">
        <f>IF(COUNT(Captura_NoFin!K152,Captura_NoFin!H152)&lt;2,"",IFERROR(Captura_NoFin!K152/Captura_NoFin!H152,""))</f>
        <v>0.63794330391429033</v>
      </c>
      <c r="M152" s="24">
        <f>IF(COUNT(Captura_NoFin!R152)&lt;1,"",IFERROR(IF(D152=2017,Captura_NoFin!R152/INDEX(Empresas!$I$2:$I$23,MATCH($A152,Empresas!$B$2:$B$23,0))-1,IF(COUNT(Captura_NoFin!R151)&lt;1,"",Captura_NoFin!R152/Captura_NoFin!R151-1)),""))</f>
        <v>-0.23243705614688515</v>
      </c>
      <c r="N152" s="24">
        <f>IF(COUNT(Captura_NoFin!P152,Captura_NoFin!O152)&lt;2,"",IF(Captura_NoFin!O152&lt;=0,"",Captura_NoFin!P152/Captura_NoFin!O152))</f>
        <v>0.36390983017443623</v>
      </c>
      <c r="O152" s="25">
        <f t="shared" si="4"/>
        <v>8</v>
      </c>
      <c r="P152" s="26" t="str">
        <f>IF(COUNT(Captura_NoFin!H152,Captura_NoFin!I152,Captura_NoFin!J152)&lt;3,"",IF(ABS(Captura_NoFin!H152-Captura_NoFin!I152-Captura_NoFin!J152)&lt;=0.005*ABS(Captura_NoFin!H152),"OK","REVISAR"))</f>
        <v>OK</v>
      </c>
    </row>
    <row r="153" spans="1:16" ht="15" customHeight="1" x14ac:dyDescent="0.2">
      <c r="A153" s="20" t="str">
        <f>Captura_NoFin!A153</f>
        <v>SQM-B</v>
      </c>
      <c r="B153" s="20">
        <f>Captura_NoFin!B153</f>
        <v>3</v>
      </c>
      <c r="C153" s="20" t="str">
        <f>Captura_NoFin!C153</f>
        <v>Industria, recursos naturales e inmobiliario</v>
      </c>
      <c r="D153" s="21">
        <f>Captura_NoFin!D153</f>
        <v>2024</v>
      </c>
      <c r="E153" s="22">
        <f>IF(COUNT(Captura_NoFin!M153,Captura_NoFin!L153)&lt;2,"",Captura_NoFin!M153+ABS(Captura_NoFin!L153))</f>
        <v>1171958</v>
      </c>
      <c r="F153" s="23">
        <f>IF(COUNT(Captura_NoFin!F153,Captura_NoFin!G153)&lt;2,"",IFERROR(Captura_NoFin!F153/Captura_NoFin!G153,""))</f>
        <v>2.514151691713058</v>
      </c>
      <c r="G153" s="24">
        <f>IF(COUNT(Captura_NoFin!F153,Captura_NoFin!G153,Captura_NoFin!H153)&lt;3,"",IFERROR((Captura_NoFin!F153-Captura_NoFin!G153)/Captura_NoFin!H153,""))</f>
        <v>0.29225382406038364</v>
      </c>
      <c r="H153" s="24">
        <f>IF(OR(E153="",COUNT(Captura_NoFin!K153)&lt;1),"",IFERROR(E153/Captura_NoFin!K153,""))</f>
        <v>0.25878115449236555</v>
      </c>
      <c r="I153" s="24">
        <f>IF(COUNT(Captura_NoFin!N153,Captura_NoFin!H153)&lt;2,"",IFERROR(Captura_NoFin!N153/Captura_NoFin!H153,""))</f>
        <v>-3.4590284308675806E-2</v>
      </c>
      <c r="J153" s="24">
        <f>IF(COUNT(Captura_NoFin!I153,Captura_NoFin!H153)&lt;2,"",IFERROR(Captura_NoFin!I153/Captura_NoFin!H153,""))</f>
        <v>0.54781994697261183</v>
      </c>
      <c r="K153" s="23">
        <f>IF(OR(E153="",COUNT(Captura_NoFin!L153)&lt;1),"",IFERROR(E153/ABS(Captura_NoFin!L153),""))</f>
        <v>5.9326428542501928</v>
      </c>
      <c r="L153" s="23">
        <f>IF(COUNT(Captura_NoFin!K153,Captura_NoFin!H153)&lt;2,"",IFERROR(Captura_NoFin!K153/Captura_NoFin!H153,""))</f>
        <v>0.39395709773043858</v>
      </c>
      <c r="M153" s="24">
        <f>IF(COUNT(Captura_NoFin!R153)&lt;1,"",IFERROR(IF(D153=2017,Captura_NoFin!R153/INDEX(Empresas!$I$2:$I$23,MATCH($A153,Empresas!$B$2:$B$23,0))-1,IF(COUNT(Captura_NoFin!R152)&lt;1,"",Captura_NoFin!R153/Captura_NoFin!R152-1)),""))</f>
        <v>-0.30483990494639068</v>
      </c>
      <c r="N153" s="24">
        <f>IF(COUNT(Captura_NoFin!P153,Captura_NoFin!O153)&lt;2,"",IF(Captura_NoFin!O153&lt;=0,"",Captura_NoFin!P153/Captura_NoFin!O153))</f>
        <v>-7.8351711230329912E-2</v>
      </c>
      <c r="O153" s="25">
        <f t="shared" si="4"/>
        <v>8</v>
      </c>
      <c r="P153" s="26" t="str">
        <f>IF(COUNT(Captura_NoFin!H153,Captura_NoFin!I153,Captura_NoFin!J153)&lt;3,"",IF(ABS(Captura_NoFin!H153-Captura_NoFin!I153-Captura_NoFin!J153)&lt;=0.005*ABS(Captura_NoFin!H153),"OK","REVISAR"))</f>
        <v>OK</v>
      </c>
    </row>
    <row r="154" spans="1:16" ht="15" customHeight="1" x14ac:dyDescent="0.2">
      <c r="A154" s="20" t="str">
        <f>Captura_NoFin!A154</f>
        <v>SQM-B</v>
      </c>
      <c r="B154" s="20">
        <f>Captura_NoFin!B154</f>
        <v>3</v>
      </c>
      <c r="C154" s="20" t="str">
        <f>Captura_NoFin!C154</f>
        <v>Industria, recursos naturales e inmobiliario</v>
      </c>
      <c r="D154" s="21">
        <f>Captura_NoFin!D154</f>
        <v>2025</v>
      </c>
      <c r="E154" s="22">
        <f>IF(COUNT(Captura_NoFin!M154,Captura_NoFin!L154)&lt;2,"",Captura_NoFin!M154+ABS(Captura_NoFin!L154))</f>
        <v>1153398</v>
      </c>
      <c r="F154" s="23">
        <f>IF(COUNT(Captura_NoFin!F154,Captura_NoFin!G154)&lt;2,"",IFERROR(Captura_NoFin!F154/Captura_NoFin!G154,""))</f>
        <v>3.2679649215642379</v>
      </c>
      <c r="G154" s="24">
        <f>IF(COUNT(Captura_NoFin!F154,Captura_NoFin!G154,Captura_NoFin!H154)&lt;3,"",IFERROR((Captura_NoFin!F154-Captura_NoFin!G154)/Captura_NoFin!H154,""))</f>
        <v>0.27657146245146486</v>
      </c>
      <c r="H154" s="24">
        <f>IF(OR(E154="",COUNT(Captura_NoFin!K154)&lt;1),"",IFERROR(E154/Captura_NoFin!K154,""))</f>
        <v>0.25204142104931926</v>
      </c>
      <c r="I154" s="24">
        <f>IF(COUNT(Captura_NoFin!N154,Captura_NoFin!H154)&lt;2,"",IFERROR(Captura_NoFin!N154/Captura_NoFin!H154,""))</f>
        <v>4.4167167644722907E-2</v>
      </c>
      <c r="J154" s="24">
        <f>IF(COUNT(Captura_NoFin!I154,Captura_NoFin!H154)&lt;2,"",IFERROR(Captura_NoFin!I154/Captura_NoFin!H154,""))</f>
        <v>0.4447500027576774</v>
      </c>
      <c r="K154" s="23">
        <f>IF(OR(E154="",COUNT(Captura_NoFin!L154)&lt;1),"",IFERROR(E154/ABS(Captura_NoFin!L154),""))</f>
        <v>5.9863290981564523</v>
      </c>
      <c r="L154" s="23">
        <f>IF(COUNT(Captura_NoFin!K154,Captura_NoFin!H154)&lt;2,"",IFERROR(Captura_NoFin!K154/Captura_NoFin!H154,""))</f>
        <v>0.31549373455700669</v>
      </c>
      <c r="M154" s="24">
        <f>IF(COUNT(Captura_NoFin!R154)&lt;1,"",IFERROR(IF(D154=2017,Captura_NoFin!R154/INDEX(Empresas!$I$2:$I$23,MATCH($A154,Empresas!$B$2:$B$23,0))-1,IF(COUNT(Captura_NoFin!R153)&lt;1,"",Captura_NoFin!R154/Captura_NoFin!R153-1)),""))</f>
        <v>0.7431695896246413</v>
      </c>
      <c r="N154" s="24">
        <f>IF(COUNT(Captura_NoFin!P154,Captura_NoFin!O154)&lt;2,"",IF(Captura_NoFin!O154&lt;=0,"",Captura_NoFin!P154/Captura_NoFin!O154))</f>
        <v>0.10334052447418517</v>
      </c>
      <c r="O154" s="25">
        <f t="shared" si="4"/>
        <v>8</v>
      </c>
      <c r="P154" s="26" t="str">
        <f>IF(COUNT(Captura_NoFin!H154,Captura_NoFin!I154,Captura_NoFin!J154)&lt;3,"",IF(ABS(Captura_NoFin!H154-Captura_NoFin!I154-Captura_NoFin!J154)&lt;=0.005*ABS(Captura_NoFin!H154),"OK","REVISAR"))</f>
        <v>OK</v>
      </c>
    </row>
    <row r="155" spans="1:16" ht="15" customHeight="1" x14ac:dyDescent="0.2">
      <c r="A155" s="20" t="str">
        <f>Captura_NoFin!A155</f>
        <v>COPEC</v>
      </c>
      <c r="B155" s="20">
        <f>Captura_NoFin!B155</f>
        <v>3</v>
      </c>
      <c r="C155" s="20" t="str">
        <f>Captura_NoFin!C155</f>
        <v>Industria, recursos naturales e inmobiliario</v>
      </c>
      <c r="D155" s="21">
        <f>Captura_NoFin!D155</f>
        <v>2017</v>
      </c>
      <c r="E155" s="22">
        <f>IF(COUNT(Captura_NoFin!M155,Captura_NoFin!L155)&lt;2,"",Captura_NoFin!M155+ABS(Captura_NoFin!L155))</f>
        <v>1141712</v>
      </c>
      <c r="F155" s="23">
        <f>IF(COUNT(Captura_NoFin!F155,Captura_NoFin!G155)&lt;2,"",IFERROR(Captura_NoFin!F155/Captura_NoFin!G155,""))</f>
        <v>1.7448806393313148</v>
      </c>
      <c r="G155" s="24">
        <f>IF(COUNT(Captura_NoFin!F155,Captura_NoFin!G155,Captura_NoFin!H155)&lt;3,"",IFERROR((Captura_NoFin!F155-Captura_NoFin!G155)/Captura_NoFin!H155,""))</f>
        <v>0.10326954077066539</v>
      </c>
      <c r="H155" s="24">
        <f>IF(OR(E155="",COUNT(Captura_NoFin!K155)&lt;1),"",IFERROR(E155/Captura_NoFin!K155,""))</f>
        <v>5.6094646007296599E-2</v>
      </c>
      <c r="I155" s="24">
        <f>IF(COUNT(Captura_NoFin!N155,Captura_NoFin!H155)&lt;2,"",IFERROR(Captura_NoFin!N155/Captura_NoFin!H155,""))</f>
        <v>2.9736295061629014E-2</v>
      </c>
      <c r="J155" s="24">
        <f>IF(COUNT(Captura_NoFin!I155,Captura_NoFin!H155)&lt;2,"",IFERROR(Captura_NoFin!I155/Captura_NoFin!H155,""))</f>
        <v>0.50783137080613672</v>
      </c>
      <c r="K155" s="23">
        <f>IF(OR(E155="",COUNT(Captura_NoFin!L155)&lt;1),"",IFERROR(E155/ABS(Captura_NoFin!L155),""))</f>
        <v>2.8355018887418075</v>
      </c>
      <c r="L155" s="23">
        <f>IF(COUNT(Captura_NoFin!K155,Captura_NoFin!H155)&lt;2,"",IFERROR(Captura_NoFin!K155/Captura_NoFin!H155,""))</f>
        <v>0.91788209864475478</v>
      </c>
      <c r="M155" s="24">
        <f>IF(COUNT(Captura_NoFin!R155)&lt;1,"",IFERROR(IF(D155=2017,Captura_NoFin!R155/INDEX(Empresas!$I$2:$I$23,MATCH($A155,Empresas!$B$2:$B$23,0))-1,IF(COUNT(Captura_NoFin!R154)&lt;1,"",Captura_NoFin!R155/Captura_NoFin!R154-1)),""))</f>
        <v>0.52844196780189168</v>
      </c>
      <c r="N155" s="24">
        <f>IF(COUNT(Captura_NoFin!P155,Captura_NoFin!O155)&lt;2,"",IF(Captura_NoFin!O155&lt;=0,"",Captura_NoFin!P155/Captura_NoFin!O155))</f>
        <v>6.1483171568497808E-2</v>
      </c>
      <c r="O155" s="25">
        <f t="shared" si="4"/>
        <v>8</v>
      </c>
      <c r="P155" s="26" t="str">
        <f>IF(COUNT(Captura_NoFin!H155,Captura_NoFin!I155,Captura_NoFin!J155)&lt;3,"",IF(ABS(Captura_NoFin!H155-Captura_NoFin!I155-Captura_NoFin!J155)&lt;=0.005*ABS(Captura_NoFin!H155),"OK","REVISAR"))</f>
        <v>OK</v>
      </c>
    </row>
    <row r="156" spans="1:16" ht="15" customHeight="1" x14ac:dyDescent="0.2">
      <c r="A156" s="20" t="str">
        <f>Captura_NoFin!A156</f>
        <v>COPEC</v>
      </c>
      <c r="B156" s="20">
        <f>Captura_NoFin!B156</f>
        <v>3</v>
      </c>
      <c r="C156" s="20" t="str">
        <f>Captura_NoFin!C156</f>
        <v>Industria, recursos naturales e inmobiliario</v>
      </c>
      <c r="D156" s="21">
        <f>Captura_NoFin!D156</f>
        <v>2018</v>
      </c>
      <c r="E156" s="22">
        <f>IF(COUNT(Captura_NoFin!M156,Captura_NoFin!L156)&lt;2,"",Captura_NoFin!M156+ABS(Captura_NoFin!L156))</f>
        <v>1867074</v>
      </c>
      <c r="F156" s="23">
        <f>IF(COUNT(Captura_NoFin!F156,Captura_NoFin!G156)&lt;2,"",IFERROR(Captura_NoFin!F156/Captura_NoFin!G156,""))</f>
        <v>1.848427135738806</v>
      </c>
      <c r="G156" s="24">
        <f>IF(COUNT(Captura_NoFin!F156,Captura_NoFin!G156,Captura_NoFin!H156)&lt;3,"",IFERROR((Captura_NoFin!F156-Captura_NoFin!G156)/Captura_NoFin!H156,""))</f>
        <v>0.12318998266082379</v>
      </c>
      <c r="H156" s="24">
        <f>IF(OR(E156="",COUNT(Captura_NoFin!K156)&lt;1),"",IFERROR(E156/Captura_NoFin!K156,""))</f>
        <v>7.7891890924469173E-2</v>
      </c>
      <c r="I156" s="24">
        <f>IF(COUNT(Captura_NoFin!N156,Captura_NoFin!H156)&lt;2,"",IFERROR(Captura_NoFin!N156/Captura_NoFin!H156,""))</f>
        <v>4.7632601057381069E-2</v>
      </c>
      <c r="J156" s="24">
        <f>IF(COUNT(Captura_NoFin!I156,Captura_NoFin!H156)&lt;2,"",IFERROR(Captura_NoFin!I156/Captura_NoFin!H156,""))</f>
        <v>0.52340575907592513</v>
      </c>
      <c r="K156" s="23">
        <f>IF(OR(E156="",COUNT(Captura_NoFin!L156)&lt;1),"",IFERROR(E156/ABS(Captura_NoFin!L156),""))</f>
        <v>5.03771797992008</v>
      </c>
      <c r="L156" s="23">
        <f>IF(COUNT(Captura_NoFin!K156,Captura_NoFin!H156)&lt;2,"",IFERROR(Captura_NoFin!K156/Captura_NoFin!H156,""))</f>
        <v>1.0205555561468924</v>
      </c>
      <c r="M156" s="24">
        <f>IF(COUNT(Captura_NoFin!R156)&lt;1,"",IFERROR(IF(D156=2017,Captura_NoFin!R156/INDEX(Empresas!$I$2:$I$23,MATCH($A156,Empresas!$B$2:$B$23,0))-1,IF(COUNT(Captura_NoFin!R155)&lt;1,"",Captura_NoFin!R156/Captura_NoFin!R155-1)),""))</f>
        <v>-0.13487276012353011</v>
      </c>
      <c r="N156" s="24">
        <f>IF(COUNT(Captura_NoFin!P156,Captura_NoFin!O156)&lt;2,"",IF(Captura_NoFin!O156&lt;=0,"",Captura_NoFin!P156/Captura_NoFin!O156))</f>
        <v>9.9979933008557467E-2</v>
      </c>
      <c r="O156" s="25">
        <f t="shared" si="4"/>
        <v>8</v>
      </c>
      <c r="P156" s="26" t="str">
        <f>IF(COUNT(Captura_NoFin!H156,Captura_NoFin!I156,Captura_NoFin!J156)&lt;3,"",IF(ABS(Captura_NoFin!H156-Captura_NoFin!I156-Captura_NoFin!J156)&lt;=0.005*ABS(Captura_NoFin!H156),"OK","REVISAR"))</f>
        <v>OK</v>
      </c>
    </row>
    <row r="157" spans="1:16" ht="15" customHeight="1" x14ac:dyDescent="0.2">
      <c r="A157" s="20" t="str">
        <f>Captura_NoFin!A157</f>
        <v>COPEC</v>
      </c>
      <c r="B157" s="20">
        <f>Captura_NoFin!B157</f>
        <v>3</v>
      </c>
      <c r="C157" s="20" t="str">
        <f>Captura_NoFin!C157</f>
        <v>Industria, recursos naturales e inmobiliario</v>
      </c>
      <c r="D157" s="21">
        <f>Captura_NoFin!D157</f>
        <v>2019</v>
      </c>
      <c r="E157" s="22">
        <f>IF(COUNT(Captura_NoFin!M157,Captura_NoFin!L157)&lt;2,"",Captura_NoFin!M157+ABS(Captura_NoFin!L157))</f>
        <v>788263</v>
      </c>
      <c r="F157" s="23">
        <f>IF(COUNT(Captura_NoFin!F157,Captura_NoFin!G157)&lt;2,"",IFERROR(Captura_NoFin!F157/Captura_NoFin!G157,""))</f>
        <v>2.2734541595052846</v>
      </c>
      <c r="G157" s="24">
        <f>IF(COUNT(Captura_NoFin!F157,Captura_NoFin!G157,Captura_NoFin!H157)&lt;3,"",IFERROR((Captura_NoFin!F157-Captura_NoFin!G157)/Captura_NoFin!H157,""))</f>
        <v>0.1589100136730637</v>
      </c>
      <c r="H157" s="24">
        <f>IF(OR(E157="",COUNT(Captura_NoFin!K157)&lt;1),"",IFERROR(E157/Captura_NoFin!K157,""))</f>
        <v>3.3237035714308305E-2</v>
      </c>
      <c r="I157" s="24">
        <f>IF(COUNT(Captura_NoFin!N157,Captura_NoFin!H157)&lt;2,"",IFERROR(Captura_NoFin!N157/Captura_NoFin!H157,""))</f>
        <v>9.1087616942241902E-3</v>
      </c>
      <c r="J157" s="24">
        <f>IF(COUNT(Captura_NoFin!I157,Captura_NoFin!H157)&lt;2,"",IFERROR(Captura_NoFin!I157/Captura_NoFin!H157,""))</f>
        <v>0.54935158107729931</v>
      </c>
      <c r="K157" s="23">
        <f>IF(OR(E157="",COUNT(Captura_NoFin!L157)&lt;1),"",IFERROR(E157/ABS(Captura_NoFin!L157),""))</f>
        <v>1.800098195935145</v>
      </c>
      <c r="L157" s="23">
        <f>IF(COUNT(Captura_NoFin!K157,Captura_NoFin!H157)&lt;2,"",IFERROR(Captura_NoFin!K157/Captura_NoFin!H157,""))</f>
        <v>0.9564814810707134</v>
      </c>
      <c r="M157" s="24">
        <f>IF(COUNT(Captura_NoFin!R157)&lt;1,"",IFERROR(IF(D157=2017,Captura_NoFin!R157/INDEX(Empresas!$I$2:$I$23,MATCH($A157,Empresas!$B$2:$B$23,0))-1,IF(COUNT(Captura_NoFin!R156)&lt;1,"",Captura_NoFin!R157/Captura_NoFin!R156-1)),""))</f>
        <v>-0.18944193818626553</v>
      </c>
      <c r="N157" s="24">
        <f>IF(COUNT(Captura_NoFin!P157,Captura_NoFin!O157)&lt;2,"",IF(Captura_NoFin!O157&lt;=0,"",Captura_NoFin!P157/Captura_NoFin!O157))</f>
        <v>1.612573458903933E-2</v>
      </c>
      <c r="O157" s="25">
        <f t="shared" si="4"/>
        <v>8</v>
      </c>
      <c r="P157" s="26" t="str">
        <f>IF(COUNT(Captura_NoFin!H157,Captura_NoFin!I157,Captura_NoFin!J157)&lt;3,"",IF(ABS(Captura_NoFin!H157-Captura_NoFin!I157-Captura_NoFin!J157)&lt;=0.005*ABS(Captura_NoFin!H157),"OK","REVISAR"))</f>
        <v>OK</v>
      </c>
    </row>
    <row r="158" spans="1:16" ht="15" customHeight="1" x14ac:dyDescent="0.2">
      <c r="A158" s="20" t="str">
        <f>Captura_NoFin!A158</f>
        <v>COPEC</v>
      </c>
      <c r="B158" s="20">
        <f>Captura_NoFin!B158</f>
        <v>3</v>
      </c>
      <c r="C158" s="20" t="str">
        <f>Captura_NoFin!C158</f>
        <v>Industria, recursos naturales e inmobiliario</v>
      </c>
      <c r="D158" s="21">
        <f>Captura_NoFin!D158</f>
        <v>2020</v>
      </c>
      <c r="E158" s="22">
        <f>IF(COUNT(Captura_NoFin!M158,Captura_NoFin!L158)&lt;2,"",Captura_NoFin!M158+ABS(Captura_NoFin!L158))</f>
        <v>708674</v>
      </c>
      <c r="F158" s="23">
        <f>IF(COUNT(Captura_NoFin!F158,Captura_NoFin!G158)&lt;2,"",IFERROR(Captura_NoFin!F158/Captura_NoFin!G158,""))</f>
        <v>2.3917811738415113</v>
      </c>
      <c r="G158" s="24">
        <f>IF(COUNT(Captura_NoFin!F158,Captura_NoFin!G158,Captura_NoFin!H158)&lt;3,"",IFERROR((Captura_NoFin!F158-Captura_NoFin!G158)/Captura_NoFin!H158,""))</f>
        <v>0.15709508703688793</v>
      </c>
      <c r="H158" s="24">
        <f>IF(OR(E158="",COUNT(Captura_NoFin!K158)&lt;1),"",IFERROR(E158/Captura_NoFin!K158,""))</f>
        <v>3.9241685712346062E-2</v>
      </c>
      <c r="I158" s="24">
        <f>IF(COUNT(Captura_NoFin!N158,Captura_NoFin!H158)&lt;2,"",IFERROR(Captura_NoFin!N158/Captura_NoFin!H158,""))</f>
        <v>8.1823465315476115E-3</v>
      </c>
      <c r="J158" s="24">
        <f>IF(COUNT(Captura_NoFin!I158,Captura_NoFin!H158)&lt;2,"",IFERROR(Captura_NoFin!I158/Captura_NoFin!H158,""))</f>
        <v>0.56064684812663768</v>
      </c>
      <c r="K158" s="23">
        <f>IF(OR(E158="",COUNT(Captura_NoFin!L158)&lt;1),"",IFERROR(E158/ABS(Captura_NoFin!L158),""))</f>
        <v>1.7173772382824144</v>
      </c>
      <c r="L158" s="23">
        <f>IF(COUNT(Captura_NoFin!K158,Captura_NoFin!H158)&lt;2,"",IFERROR(Captura_NoFin!K158/Captura_NoFin!H158,""))</f>
        <v>0.71736305882621187</v>
      </c>
      <c r="M158" s="24">
        <f>IF(COUNT(Captura_NoFin!R158)&lt;1,"",IFERROR(IF(D158=2017,Captura_NoFin!R158/INDEX(Empresas!$I$2:$I$23,MATCH($A158,Empresas!$B$2:$B$23,0))-1,IF(COUNT(Captura_NoFin!R157)&lt;1,"",Captura_NoFin!R158/Captura_NoFin!R157-1)),""))</f>
        <v>6.8157039069640657E-2</v>
      </c>
      <c r="N158" s="24">
        <f>IF(COUNT(Captura_NoFin!P158,Captura_NoFin!O158)&lt;2,"",IF(Captura_NoFin!O158&lt;=0,"",Captura_NoFin!P158/Captura_NoFin!O158))</f>
        <v>1.8020520669065457E-2</v>
      </c>
      <c r="O158" s="25">
        <f t="shared" si="4"/>
        <v>8</v>
      </c>
      <c r="P158" s="26" t="str">
        <f>IF(COUNT(Captura_NoFin!H158,Captura_NoFin!I158,Captura_NoFin!J158)&lt;3,"",IF(ABS(Captura_NoFin!H158-Captura_NoFin!I158-Captura_NoFin!J158)&lt;=0.005*ABS(Captura_NoFin!H158),"OK","REVISAR"))</f>
        <v>OK</v>
      </c>
    </row>
    <row r="159" spans="1:16" ht="15" customHeight="1" x14ac:dyDescent="0.2">
      <c r="A159" s="20" t="str">
        <f>Captura_NoFin!A159</f>
        <v>COPEC</v>
      </c>
      <c r="B159" s="20">
        <f>Captura_NoFin!B159</f>
        <v>3</v>
      </c>
      <c r="C159" s="20" t="str">
        <f>Captura_NoFin!C159</f>
        <v>Industria, recursos naturales e inmobiliario</v>
      </c>
      <c r="D159" s="21">
        <f>Captura_NoFin!D159</f>
        <v>2021</v>
      </c>
      <c r="E159" s="22">
        <f>IF(COUNT(Captura_NoFin!M159,Captura_NoFin!L159)&lt;2,"",Captura_NoFin!M159+ABS(Captura_NoFin!L159))</f>
        <v>2763118</v>
      </c>
      <c r="F159" s="23">
        <f>IF(COUNT(Captura_NoFin!F159,Captura_NoFin!G159)&lt;2,"",IFERROR(Captura_NoFin!F159/Captura_NoFin!G159,""))</f>
        <v>2.1265125924817663</v>
      </c>
      <c r="G159" s="24">
        <f>IF(COUNT(Captura_NoFin!F159,Captura_NoFin!G159,Captura_NoFin!H159)&lt;3,"",IFERROR((Captura_NoFin!F159-Captura_NoFin!G159)/Captura_NoFin!H159,""))</f>
        <v>0.14816048570623619</v>
      </c>
      <c r="H159" s="24">
        <f>IF(OR(E159="",COUNT(Captura_NoFin!K159)&lt;1),"",IFERROR(E159/Captura_NoFin!K159,""))</f>
        <v>0.11147621857507443</v>
      </c>
      <c r="I159" s="24">
        <f>IF(COUNT(Captura_NoFin!N159,Captura_NoFin!H159)&lt;2,"",IFERROR(Captura_NoFin!N159/Captura_NoFin!H159,""))</f>
        <v>7.2184163198094953E-2</v>
      </c>
      <c r="J159" s="24">
        <f>IF(COUNT(Captura_NoFin!I159,Captura_NoFin!H159)&lt;2,"",IFERROR(Captura_NoFin!I159/Captura_NoFin!H159,""))</f>
        <v>0.5525035326020753</v>
      </c>
      <c r="K159" s="23">
        <f>IF(OR(E159="",COUNT(Captura_NoFin!L159)&lt;1),"",IFERROR(E159/ABS(Captura_NoFin!L159),""))</f>
        <v>7.6512052279618423</v>
      </c>
      <c r="L159" s="23">
        <f>IF(COUNT(Captura_NoFin!K159,Captura_NoFin!H159)&lt;2,"",IFERROR(Captura_NoFin!K159/Captura_NoFin!H159,""))</f>
        <v>0.96774142414775588</v>
      </c>
      <c r="M159" s="24">
        <f>IF(COUNT(Captura_NoFin!R159)&lt;1,"",IFERROR(IF(D159=2017,Captura_NoFin!R159/INDEX(Empresas!$I$2:$I$23,MATCH($A159,Empresas!$B$2:$B$23,0))-1,IF(COUNT(Captura_NoFin!R158)&lt;1,"",Captura_NoFin!R159/Captura_NoFin!R158-1)),""))</f>
        <v>-8.6464569557829107E-2</v>
      </c>
      <c r="N159" s="24">
        <f>IF(COUNT(Captura_NoFin!P159,Captura_NoFin!O159)&lt;2,"",IF(Captura_NoFin!O159&lt;=0,"",Captura_NoFin!P159/Captura_NoFin!O159))</f>
        <v>0.16189727479511376</v>
      </c>
      <c r="O159" s="25">
        <f t="shared" si="4"/>
        <v>8</v>
      </c>
      <c r="P159" s="26" t="str">
        <f>IF(COUNT(Captura_NoFin!H159,Captura_NoFin!I159,Captura_NoFin!J159)&lt;3,"",IF(ABS(Captura_NoFin!H159-Captura_NoFin!I159-Captura_NoFin!J159)&lt;=0.005*ABS(Captura_NoFin!H159),"OK","REVISAR"))</f>
        <v>OK</v>
      </c>
    </row>
    <row r="160" spans="1:16" ht="15" customHeight="1" x14ac:dyDescent="0.2">
      <c r="A160" s="20" t="str">
        <f>Captura_NoFin!A160</f>
        <v>COPEC</v>
      </c>
      <c r="B160" s="20">
        <f>Captura_NoFin!B160</f>
        <v>3</v>
      </c>
      <c r="C160" s="20" t="str">
        <f>Captura_NoFin!C160</f>
        <v>Industria, recursos naturales e inmobiliario</v>
      </c>
      <c r="D160" s="21">
        <f>Captura_NoFin!D160</f>
        <v>2022</v>
      </c>
      <c r="E160" s="22">
        <f>IF(COUNT(Captura_NoFin!M160,Captura_NoFin!L160)&lt;2,"",Captura_NoFin!M160+ABS(Captura_NoFin!L160))</f>
        <v>2326945</v>
      </c>
      <c r="F160" s="23">
        <f>IF(COUNT(Captura_NoFin!F160,Captura_NoFin!G160)&lt;2,"",IFERROR(Captura_NoFin!F160/Captura_NoFin!G160,""))</f>
        <v>1.6810452964414435</v>
      </c>
      <c r="G160" s="24">
        <f>IF(COUNT(Captura_NoFin!F160,Captura_NoFin!G160,Captura_NoFin!H160)&lt;3,"",IFERROR((Captura_NoFin!F160-Captura_NoFin!G160)/Captura_NoFin!H160,""))</f>
        <v>0.12303089670465052</v>
      </c>
      <c r="H160" s="24">
        <f>IF(OR(E160="",COUNT(Captura_NoFin!K160)&lt;1),"",IFERROR(E160/Captura_NoFin!K160,""))</f>
        <v>7.5635665018981529E-2</v>
      </c>
      <c r="I160" s="24">
        <f>IF(COUNT(Captura_NoFin!N160,Captura_NoFin!H160)&lt;2,"",IFERROR(Captura_NoFin!N160/Captura_NoFin!H160,""))</f>
        <v>5.4136102275981639E-2</v>
      </c>
      <c r="J160" s="24">
        <f>IF(COUNT(Captura_NoFin!I160,Captura_NoFin!H160)&lt;2,"",IFERROR(Captura_NoFin!I160/Captura_NoFin!H160,""))</f>
        <v>0.5564369123894527</v>
      </c>
      <c r="K160" s="23">
        <f>IF(OR(E160="",COUNT(Captura_NoFin!L160)&lt;1),"",IFERROR(E160/ABS(Captura_NoFin!L160),""))</f>
        <v>5.8759901921420976</v>
      </c>
      <c r="L160" s="23">
        <f>IF(COUNT(Captura_NoFin!K160,Captura_NoFin!H160)&lt;2,"",IFERROR(Captura_NoFin!K160/Captura_NoFin!H160,""))</f>
        <v>1.0934048300592749</v>
      </c>
      <c r="M160" s="24">
        <f>IF(COUNT(Captura_NoFin!R160)&lt;1,"",IFERROR(IF(D160=2017,Captura_NoFin!R160/INDEX(Empresas!$I$2:$I$23,MATCH($A160,Empresas!$B$2:$B$23,0))-1,IF(COUNT(Captura_NoFin!R159)&lt;1,"",Captura_NoFin!R160/Captura_NoFin!R159-1)),""))</f>
        <v>-3.8958513448933529E-2</v>
      </c>
      <c r="N160" s="24">
        <f>IF(COUNT(Captura_NoFin!P160,Captura_NoFin!O160)&lt;2,"",IF(Captura_NoFin!O160&lt;=0,"",Captura_NoFin!P160/Captura_NoFin!O160))</f>
        <v>0.12174718233831604</v>
      </c>
      <c r="O160" s="25">
        <f t="shared" si="4"/>
        <v>8</v>
      </c>
      <c r="P160" s="26" t="str">
        <f>IF(COUNT(Captura_NoFin!H160,Captura_NoFin!I160,Captura_NoFin!J160)&lt;3,"",IF(ABS(Captura_NoFin!H160-Captura_NoFin!I160-Captura_NoFin!J160)&lt;=0.005*ABS(Captura_NoFin!H160),"OK","REVISAR"))</f>
        <v>OK</v>
      </c>
    </row>
    <row r="161" spans="1:16" ht="15" customHeight="1" x14ac:dyDescent="0.2">
      <c r="A161" s="20" t="str">
        <f>Captura_NoFin!A161</f>
        <v>COPEC</v>
      </c>
      <c r="B161" s="20">
        <f>Captura_NoFin!B161</f>
        <v>3</v>
      </c>
      <c r="C161" s="20" t="str">
        <f>Captura_NoFin!C161</f>
        <v>Industria, recursos naturales e inmobiliario</v>
      </c>
      <c r="D161" s="21">
        <f>Captura_NoFin!D161</f>
        <v>2023</v>
      </c>
      <c r="E161" s="22">
        <f>IF(COUNT(Captura_NoFin!M161,Captura_NoFin!L161)&lt;2,"",Captura_NoFin!M161+ABS(Captura_NoFin!L161))</f>
        <v>1122376</v>
      </c>
      <c r="F161" s="23">
        <f>IF(COUNT(Captura_NoFin!F161,Captura_NoFin!G161)&lt;2,"",IFERROR(Captura_NoFin!F161/Captura_NoFin!G161,""))</f>
        <v>1.8789067103470436</v>
      </c>
      <c r="G161" s="24">
        <f>IF(COUNT(Captura_NoFin!F161,Captura_NoFin!G161,Captura_NoFin!H161)&lt;3,"",IFERROR((Captura_NoFin!F161-Captura_NoFin!G161)/Captura_NoFin!H161,""))</f>
        <v>0.14439213280702265</v>
      </c>
      <c r="H161" s="24">
        <f>IF(OR(E161="",COUNT(Captura_NoFin!K161)&lt;1),"",IFERROR(E161/Captura_NoFin!K161,""))</f>
        <v>3.9342961301177787E-2</v>
      </c>
      <c r="I161" s="24">
        <f>IF(COUNT(Captura_NoFin!N161,Captura_NoFin!H161)&lt;2,"",IFERROR(Captura_NoFin!N161/Captura_NoFin!H161,""))</f>
        <v>1.367121488194816E-2</v>
      </c>
      <c r="J161" s="24">
        <f>IF(COUNT(Captura_NoFin!I161,Captura_NoFin!H161)&lt;2,"",IFERROR(Captura_NoFin!I161/Captura_NoFin!H161,""))</f>
        <v>0.5484760271718726</v>
      </c>
      <c r="K161" s="23">
        <f>IF(OR(E161="",COUNT(Captura_NoFin!L161)&lt;1),"",IFERROR(E161/ABS(Captura_NoFin!L161),""))</f>
        <v>1.6606118532700282</v>
      </c>
      <c r="L161" s="23">
        <f>IF(COUNT(Captura_NoFin!K161,Captura_NoFin!H161)&lt;2,"",IFERROR(Captura_NoFin!K161/Captura_NoFin!H161,""))</f>
        <v>0.99339646248065383</v>
      </c>
      <c r="M161" s="24">
        <f>IF(COUNT(Captura_NoFin!R161)&lt;1,"",IFERROR(IF(D161=2017,Captura_NoFin!R161/INDEX(Empresas!$I$2:$I$23,MATCH($A161,Empresas!$B$2:$B$23,0))-1,IF(COUNT(Captura_NoFin!R160)&lt;1,"",Captura_NoFin!R161/Captura_NoFin!R160-1)),""))</f>
        <v>1.2850211624150232E-2</v>
      </c>
      <c r="N161" s="24">
        <f>IF(COUNT(Captura_NoFin!P161,Captura_NoFin!O161)&lt;2,"",IF(Captura_NoFin!O161&lt;=0,"",Captura_NoFin!P161/Captura_NoFin!O161))</f>
        <v>2.8103141269573025E-2</v>
      </c>
      <c r="O161" s="25">
        <f t="shared" si="4"/>
        <v>8</v>
      </c>
      <c r="P161" s="26" t="str">
        <f>IF(COUNT(Captura_NoFin!H161,Captura_NoFin!I161,Captura_NoFin!J161)&lt;3,"",IF(ABS(Captura_NoFin!H161-Captura_NoFin!I161-Captura_NoFin!J161)&lt;=0.005*ABS(Captura_NoFin!H161),"OK","REVISAR"))</f>
        <v>OK</v>
      </c>
    </row>
    <row r="162" spans="1:16" ht="15" customHeight="1" x14ac:dyDescent="0.2">
      <c r="A162" s="20" t="str">
        <f>Captura_NoFin!A162</f>
        <v>COPEC</v>
      </c>
      <c r="B162" s="20">
        <f>Captura_NoFin!B162</f>
        <v>3</v>
      </c>
      <c r="C162" s="20" t="str">
        <f>Captura_NoFin!C162</f>
        <v>Industria, recursos naturales e inmobiliario</v>
      </c>
      <c r="D162" s="21">
        <f>Captura_NoFin!D162</f>
        <v>2024</v>
      </c>
      <c r="E162" s="22">
        <f>IF(COUNT(Captura_NoFin!M162,Captura_NoFin!L162)&lt;2,"",Captura_NoFin!M162+ABS(Captura_NoFin!L162))</f>
        <v>2171268</v>
      </c>
      <c r="F162" s="23">
        <f>IF(COUNT(Captura_NoFin!F162,Captura_NoFin!G162)&lt;2,"",IFERROR(Captura_NoFin!F162/Captura_NoFin!G162,""))</f>
        <v>2.1230180571788515</v>
      </c>
      <c r="G162" s="24">
        <f>IF(COUNT(Captura_NoFin!F162,Captura_NoFin!G162,Captura_NoFin!H162)&lt;3,"",IFERROR((Captura_NoFin!F162-Captura_NoFin!G162)/Captura_NoFin!H162,""))</f>
        <v>0.15724332321917986</v>
      </c>
      <c r="H162" s="24">
        <f>IF(OR(E162="",COUNT(Captura_NoFin!K162)&lt;1),"",IFERROR(E162/Captura_NoFin!K162,""))</f>
        <v>7.552355783287848E-2</v>
      </c>
      <c r="I162" s="24">
        <f>IF(COUNT(Captura_NoFin!N162,Captura_NoFin!H162)&lt;2,"",IFERROR(Captura_NoFin!N162/Captura_NoFin!H162,""))</f>
        <v>4.09441694515114E-2</v>
      </c>
      <c r="J162" s="24">
        <f>IF(COUNT(Captura_NoFin!I162,Captura_NoFin!H162)&lt;2,"",IFERROR(Captura_NoFin!I162/Captura_NoFin!H162,""))</f>
        <v>0.52638530079483059</v>
      </c>
      <c r="K162" s="23">
        <f>IF(OR(E162="",COUNT(Captura_NoFin!L162)&lt;1),"",IFERROR(E162/ABS(Captura_NoFin!L162),""))</f>
        <v>3.4496494374953328</v>
      </c>
      <c r="L162" s="23">
        <f>IF(COUNT(Captura_NoFin!K162,Captura_NoFin!H162)&lt;2,"",IFERROR(Captura_NoFin!K162/Captura_NoFin!H162,""))</f>
        <v>1.0094098142165067</v>
      </c>
      <c r="M162" s="24">
        <f>IF(COUNT(Captura_NoFin!R162)&lt;1,"",IFERROR(IF(D162=2017,Captura_NoFin!R162/INDEX(Empresas!$I$2:$I$23,MATCH($A162,Empresas!$B$2:$B$23,0))-1,IF(COUNT(Captura_NoFin!R161)&lt;1,"",Captura_NoFin!R162/Captura_NoFin!R161-1)),""))</f>
        <v>-5.1616886569902154E-2</v>
      </c>
      <c r="N162" s="24">
        <f>IF(COUNT(Captura_NoFin!P162,Captura_NoFin!O162)&lt;2,"",IF(Captura_NoFin!O162&lt;=0,"",Captura_NoFin!P162/Captura_NoFin!O162))</f>
        <v>8.573805348301318E-2</v>
      </c>
      <c r="O162" s="25">
        <f t="shared" si="4"/>
        <v>8</v>
      </c>
      <c r="P162" s="26" t="str">
        <f>IF(COUNT(Captura_NoFin!H162,Captura_NoFin!I162,Captura_NoFin!J162)&lt;3,"",IF(ABS(Captura_NoFin!H162-Captura_NoFin!I162-Captura_NoFin!J162)&lt;=0.005*ABS(Captura_NoFin!H162),"OK","REVISAR"))</f>
        <v>OK</v>
      </c>
    </row>
    <row r="163" spans="1:16" ht="15" customHeight="1" x14ac:dyDescent="0.2">
      <c r="A163" s="20" t="str">
        <f>Captura_NoFin!A163</f>
        <v>COPEC</v>
      </c>
      <c r="B163" s="20">
        <f>Captura_NoFin!B163</f>
        <v>3</v>
      </c>
      <c r="C163" s="20" t="str">
        <f>Captura_NoFin!C163</f>
        <v>Industria, recursos naturales e inmobiliario</v>
      </c>
      <c r="D163" s="21">
        <f>Captura_NoFin!D163</f>
        <v>2025</v>
      </c>
      <c r="E163" s="22">
        <f>IF(COUNT(Captura_NoFin!M163,Captura_NoFin!L163)&lt;2,"",Captura_NoFin!M163+ABS(Captura_NoFin!L163))</f>
        <v>1861688</v>
      </c>
      <c r="F163" s="23">
        <f>IF(COUNT(Captura_NoFin!F163,Captura_NoFin!G163)&lt;2,"",IFERROR(Captura_NoFin!F163/Captura_NoFin!G163,""))</f>
        <v>1.7413663793004435</v>
      </c>
      <c r="G163" s="24">
        <f>IF(COUNT(Captura_NoFin!F163,Captura_NoFin!G163,Captura_NoFin!H163)&lt;3,"",IFERROR((Captura_NoFin!F163-Captura_NoFin!G163)/Captura_NoFin!H163,""))</f>
        <v>0.11661922276555667</v>
      </c>
      <c r="H163" s="24">
        <f>IF(OR(E163="",COUNT(Captura_NoFin!K163)&lt;1),"",IFERROR(E163/Captura_NoFin!K163,""))</f>
        <v>6.2814326711913157E-2</v>
      </c>
      <c r="I163" s="24">
        <f>IF(COUNT(Captura_NoFin!N163,Captura_NoFin!H163)&lt;2,"",IFERROR(Captura_NoFin!N163/Captura_NoFin!H163,""))</f>
        <v>2.8611448662603522E-2</v>
      </c>
      <c r="J163" s="24">
        <f>IF(COUNT(Captura_NoFin!I163,Captura_NoFin!H163)&lt;2,"",IFERROR(Captura_NoFin!I163/Captura_NoFin!H163,""))</f>
        <v>0.5507523875218806</v>
      </c>
      <c r="K163" s="23">
        <f>IF(OR(E163="",COUNT(Captura_NoFin!L163)&lt;1),"",IFERROR(E163/ABS(Captura_NoFin!L163),""))</f>
        <v>2.9579243394397752</v>
      </c>
      <c r="L163" s="23">
        <f>IF(COUNT(Captura_NoFin!K163,Captura_NoFin!H163)&lt;2,"",IFERROR(Captura_NoFin!K163/Captura_NoFin!H163,""))</f>
        <v>0.89244736214198317</v>
      </c>
      <c r="M163" s="24">
        <f>IF(COUNT(Captura_NoFin!R163)&lt;1,"",IFERROR(IF(D163=2017,Captura_NoFin!R163/INDEX(Empresas!$I$2:$I$23,MATCH($A163,Empresas!$B$2:$B$23,0))-1,IF(COUNT(Captura_NoFin!R162)&lt;1,"",Captura_NoFin!R163/Captura_NoFin!R162-1)),""))</f>
        <v>0.16141739562377033</v>
      </c>
      <c r="N163" s="24">
        <f>IF(COUNT(Captura_NoFin!P163,Captura_NoFin!O163)&lt;2,"",IF(Captura_NoFin!O163&lt;=0,"",Captura_NoFin!P163/Captura_NoFin!O163))</f>
        <v>6.123989038361962E-2</v>
      </c>
      <c r="O163" s="25">
        <f t="shared" si="4"/>
        <v>8</v>
      </c>
      <c r="P163" s="26" t="str">
        <f>IF(COUNT(Captura_NoFin!H163,Captura_NoFin!I163,Captura_NoFin!J163)&lt;3,"",IF(ABS(Captura_NoFin!H163-Captura_NoFin!I163-Captura_NoFin!J163)&lt;=0.005*ABS(Captura_NoFin!H163),"OK","REVISAR"))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3" customWidth="1"/>
    <col min="2" max="2" width="7" customWidth="1"/>
    <col min="3" max="3" width="12" customWidth="1"/>
    <col min="4" max="4" width="7" customWidth="1"/>
    <col min="5" max="5" width="11" customWidth="1"/>
    <col min="6" max="7" width="12" customWidth="1"/>
    <col min="8" max="8" width="13" customWidth="1"/>
    <col min="9" max="10" width="11" customWidth="1"/>
    <col min="11" max="12" width="12" customWidth="1"/>
    <col min="13" max="13" width="10" customWidth="1"/>
    <col min="14" max="14" width="12" customWidth="1"/>
  </cols>
  <sheetData>
    <row r="1" spans="1:14" ht="42" customHeight="1" x14ac:dyDescent="0.2">
      <c r="A1" s="12" t="s">
        <v>252</v>
      </c>
      <c r="B1" s="12" t="s">
        <v>253</v>
      </c>
      <c r="C1" s="12" t="s">
        <v>254</v>
      </c>
      <c r="D1" s="12" t="s">
        <v>255</v>
      </c>
      <c r="E1" s="12" t="s">
        <v>276</v>
      </c>
      <c r="F1" s="12" t="s">
        <v>278</v>
      </c>
      <c r="G1" s="12" t="s">
        <v>279</v>
      </c>
      <c r="H1" s="12" t="s">
        <v>280</v>
      </c>
      <c r="I1" s="12" t="s">
        <v>281</v>
      </c>
      <c r="J1" s="12" t="s">
        <v>282</v>
      </c>
      <c r="K1" s="12" t="s">
        <v>283</v>
      </c>
      <c r="L1" s="12" t="s">
        <v>284</v>
      </c>
      <c r="M1" s="12" t="s">
        <v>285</v>
      </c>
      <c r="N1" s="12" t="s">
        <v>286</v>
      </c>
    </row>
    <row r="2" spans="1:14" ht="15" customHeight="1" x14ac:dyDescent="0.2">
      <c r="A2" s="20" t="str">
        <f>Captura_Fin!A2</f>
        <v>CHILE</v>
      </c>
      <c r="B2" s="20">
        <f>Captura_Fin!B2</f>
        <v>4</v>
      </c>
      <c r="C2" s="20" t="str">
        <f>Captura_Fin!C2</f>
        <v>Financiero (bancos)</v>
      </c>
      <c r="D2" s="21">
        <f>Captura_Fin!D2</f>
        <v>2017</v>
      </c>
      <c r="E2" s="24">
        <f>IF(COUNT(Captura_Fin!I2,Captura_Fin!J2)&lt;2,"",IFERROR(Captura_Fin!I2/Captura_Fin!J2,""))</f>
        <v>5.5700681708373445E-2</v>
      </c>
      <c r="F2" s="24">
        <f>IF(COUNT(Captura_Fin!M2,Captura_Fin!L2)&lt;2,"",IFERROR(ABS(Captura_Fin!M2)/Captura_Fin!L2,""))</f>
        <v>0.46177490975679675</v>
      </c>
      <c r="G2" s="24">
        <f>IF(COUNT(Captura_Fin!P2,Captura_Fin!F2)&lt;2,"",IFERROR(Captura_Fin!P2/Captura_Fin!F2,""))</f>
        <v>1.7548431053343954E-2</v>
      </c>
      <c r="H2" s="24">
        <f>IF(COUNT(Captura_Fin!G2,Captura_Fin!F2)&lt;2,"",IFERROR(Captura_Fin!G2/Captura_Fin!F2,""))</f>
        <v>0.90538334108980856</v>
      </c>
      <c r="I2" s="23">
        <f>IF(COUNT(Captura_Fin!O2,Captura_Fin!N2)&lt;2,"",IFERROR((Captura_Fin!O2+ABS(Captura_Fin!N2))/ABS(Captura_Fin!N2),""))</f>
        <v>3.9408507885710393</v>
      </c>
      <c r="J2" s="24">
        <f>IF(COUNT(Captura_Fin!L2,Captura_Fin!F2)&lt;2,"",IFERROR(Captura_Fin!L2/Captura_Fin!F2,""))</f>
        <v>5.2073489220814846E-2</v>
      </c>
      <c r="K2" s="24">
        <f>IF(COUNT(Captura_Fin!Q2)&lt;1,"",IFERROR(IF(D2=2017,Captura_Fin!Q2/INDEX(Empresas!$I$2:$I$23,MATCH($A2,Empresas!$B$2:$B$23,0))-1,IF(COUNT(Captura_Fin!Q1)&lt;1,"",Captura_Fin!Q2/Captura_Fin!Q1-1)),""))</f>
        <v>0.33727945079227406</v>
      </c>
      <c r="L2" s="24">
        <f>IF(COUNT(Captura_Fin!P2,Captura_Fin!H2)&lt;2,"",IF(Captura_Fin!H2&lt;=0,"",Captura_Fin!P2/Captura_Fin!H2))</f>
        <v>0.18546872459320962</v>
      </c>
      <c r="M2" s="25">
        <f t="shared" ref="M2:M37" si="0">COUNT(E2:K2)</f>
        <v>7</v>
      </c>
      <c r="N2" s="26" t="str">
        <f>IF(COUNT(Captura_Fin!F2,Captura_Fin!G2,Captura_Fin!H2)&lt;3,"",IF(ABS(Captura_Fin!F2-Captura_Fin!G2-Captura_Fin!H2)&lt;=0.005*ABS(Captura_Fin!F2),"OK","REVISAR"))</f>
        <v>OK</v>
      </c>
    </row>
    <row r="3" spans="1:14" ht="15" customHeight="1" x14ac:dyDescent="0.2">
      <c r="A3" s="20" t="str">
        <f>Captura_Fin!A3</f>
        <v>CHILE</v>
      </c>
      <c r="B3" s="20">
        <f>Captura_Fin!B3</f>
        <v>4</v>
      </c>
      <c r="C3" s="20" t="str">
        <f>Captura_Fin!C3</f>
        <v>Financiero (bancos)</v>
      </c>
      <c r="D3" s="21">
        <f>Captura_Fin!D3</f>
        <v>2018</v>
      </c>
      <c r="E3" s="24">
        <f>IF(COUNT(Captura_Fin!I3,Captura_Fin!J3)&lt;2,"",IFERROR(Captura_Fin!I3/Captura_Fin!J3,""))</f>
        <v>4.3480840695823093E-2</v>
      </c>
      <c r="F3" s="24">
        <f>IF(COUNT(Captura_Fin!M3,Captura_Fin!L3)&lt;2,"",IFERROR(ABS(Captura_Fin!M3)/Captura_Fin!L3,""))</f>
        <v>0.45253386701315285</v>
      </c>
      <c r="G3" s="24">
        <f>IF(COUNT(Captura_Fin!P3,Captura_Fin!F3)&lt;2,"",IFERROR(Captura_Fin!P3/Captura_Fin!F3,""))</f>
        <v>1.6558074927451101E-2</v>
      </c>
      <c r="H3" s="24">
        <f>IF(COUNT(Captura_Fin!G3,Captura_Fin!F3)&lt;2,"",IFERROR(Captura_Fin!G3/Captura_Fin!F3,""))</f>
        <v>0.9080300955905507</v>
      </c>
      <c r="I3" s="23">
        <f>IF(COUNT(Captura_Fin!O3,Captura_Fin!N3)&lt;2,"",IFERROR((Captura_Fin!O3+ABS(Captura_Fin!N3))/ABS(Captura_Fin!N3),""))</f>
        <v>3.6701396538857893</v>
      </c>
      <c r="J3" s="24">
        <f>IF(COUNT(Captura_Fin!L3,Captura_Fin!F3)&lt;2,"",IFERROR(Captura_Fin!L3/Captura_Fin!F3,""))</f>
        <v>5.214215517315525E-2</v>
      </c>
      <c r="K3" s="24">
        <f>IF(COUNT(Captura_Fin!Q3)&lt;1,"",IFERROR(IF(D3=2017,Captura_Fin!Q3/INDEX(Empresas!$I$2:$I$23,MATCH($A3,Empresas!$B$2:$B$23,0))-1,IF(COUNT(Captura_Fin!Q2)&lt;1,"",Captura_Fin!Q3/Captura_Fin!Q2-1)),""))</f>
        <v>8.5333504318866105E-2</v>
      </c>
      <c r="L3" s="24">
        <f>IF(COUNT(Captura_Fin!P3,Captura_Fin!H3)&lt;2,"",IF(Captura_Fin!H3&lt;=0,"",Captura_Fin!P3/Captura_Fin!H3))</f>
        <v>0.18003797039664932</v>
      </c>
      <c r="M3" s="25">
        <f t="shared" si="0"/>
        <v>7</v>
      </c>
      <c r="N3" s="26" t="str">
        <f>IF(COUNT(Captura_Fin!F3,Captura_Fin!G3,Captura_Fin!H3)&lt;3,"",IF(ABS(Captura_Fin!F3-Captura_Fin!G3-Captura_Fin!H3)&lt;=0.005*ABS(Captura_Fin!F3),"OK","REVISAR"))</f>
        <v>OK</v>
      </c>
    </row>
    <row r="4" spans="1:14" ht="15" customHeight="1" x14ac:dyDescent="0.2">
      <c r="A4" s="20" t="str">
        <f>Captura_Fin!A4</f>
        <v>CHILE</v>
      </c>
      <c r="B4" s="20">
        <f>Captura_Fin!B4</f>
        <v>4</v>
      </c>
      <c r="C4" s="20" t="str">
        <f>Captura_Fin!C4</f>
        <v>Financiero (bancos)</v>
      </c>
      <c r="D4" s="21">
        <f>Captura_Fin!D4</f>
        <v>2019</v>
      </c>
      <c r="E4" s="24">
        <f>IF(COUNT(Captura_Fin!I4,Captura_Fin!J4)&lt;2,"",IFERROR(Captura_Fin!I4/Captura_Fin!J4,""))</f>
        <v>0.10783901419621038</v>
      </c>
      <c r="F4" s="24">
        <f>IF(COUNT(Captura_Fin!M4,Captura_Fin!L4)&lt;2,"",IFERROR(ABS(Captura_Fin!M4)/Captura_Fin!L4,""))</f>
        <v>0.45221889085241151</v>
      </c>
      <c r="G4" s="24">
        <f>IF(COUNT(Captura_Fin!P4,Captura_Fin!F4)&lt;2,"",IFERROR(Captura_Fin!P4/Captura_Fin!F4,""))</f>
        <v>1.4367848605781365E-2</v>
      </c>
      <c r="H4" s="24">
        <f>IF(COUNT(Captura_Fin!G4,Captura_Fin!F4)&lt;2,"",IFERROR(Captura_Fin!G4/Captura_Fin!F4,""))</f>
        <v>0.91451567529087119</v>
      </c>
      <c r="I4" s="23">
        <f>IF(COUNT(Captura_Fin!O4,Captura_Fin!N4)&lt;2,"",IFERROR((Captura_Fin!O4+ABS(Captura_Fin!N4))/ABS(Captura_Fin!N4),""))</f>
        <v>3.1962254588595749</v>
      </c>
      <c r="J4" s="24">
        <f>IF(COUNT(Captura_Fin!L4,Captura_Fin!F4)&lt;2,"",IFERROR(Captura_Fin!L4/Captura_Fin!F4,""))</f>
        <v>4.8809239612415116E-2</v>
      </c>
      <c r="K4" s="24">
        <f>IF(COUNT(Captura_Fin!Q4)&lt;1,"",IFERROR(IF(D4=2017,Captura_Fin!Q4/INDEX(Empresas!$I$2:$I$23,MATCH($A4,Empresas!$B$2:$B$23,0))-1,IF(COUNT(Captura_Fin!Q3)&lt;1,"",Captura_Fin!Q4/Captura_Fin!Q3-1)),""))</f>
        <v>-0.16808468050204572</v>
      </c>
      <c r="L4" s="24">
        <f>IF(COUNT(Captura_Fin!P4,Captura_Fin!H4)&lt;2,"",IF(Captura_Fin!H4&lt;=0,"",Captura_Fin!P4/Captura_Fin!H4))</f>
        <v>0.16807582740660101</v>
      </c>
      <c r="M4" s="25">
        <f t="shared" si="0"/>
        <v>7</v>
      </c>
      <c r="N4" s="26" t="str">
        <f>IF(COUNT(Captura_Fin!F4,Captura_Fin!G4,Captura_Fin!H4)&lt;3,"",IF(ABS(Captura_Fin!F4-Captura_Fin!G4-Captura_Fin!H4)&lt;=0.005*ABS(Captura_Fin!F4),"OK","REVISAR"))</f>
        <v>OK</v>
      </c>
    </row>
    <row r="5" spans="1:14" ht="15" customHeight="1" x14ac:dyDescent="0.2">
      <c r="A5" s="20" t="str">
        <f>Captura_Fin!A5</f>
        <v>CHILE</v>
      </c>
      <c r="B5" s="20">
        <f>Captura_Fin!B5</f>
        <v>4</v>
      </c>
      <c r="C5" s="20" t="str">
        <f>Captura_Fin!C5</f>
        <v>Financiero (bancos)</v>
      </c>
      <c r="D5" s="21">
        <f>Captura_Fin!D5</f>
        <v>2020</v>
      </c>
      <c r="E5" s="24">
        <f>IF(COUNT(Captura_Fin!I5,Captura_Fin!J5)&lt;2,"",IFERROR(Captura_Fin!I5/Captura_Fin!J5,""))</f>
        <v>0.10637970945000097</v>
      </c>
      <c r="F5" s="24">
        <f>IF(COUNT(Captura_Fin!M5,Captura_Fin!L5)&lt;2,"",IFERROR(ABS(Captura_Fin!M5)/Captura_Fin!L5,""))</f>
        <v>0.4551046734920513</v>
      </c>
      <c r="G5" s="24">
        <f>IF(COUNT(Captura_Fin!P5,Captura_Fin!F5)&lt;2,"",IFERROR(Captura_Fin!P5/Captura_Fin!F5,""))</f>
        <v>1.0046809499250582E-2</v>
      </c>
      <c r="H5" s="24">
        <f>IF(COUNT(Captura_Fin!G5,Captura_Fin!F5)&lt;2,"",IFERROR(Captura_Fin!G5/Captura_Fin!F5,""))</f>
        <v>0.91916135350607853</v>
      </c>
      <c r="I5" s="23">
        <f>IF(COUNT(Captura_Fin!O5,Captura_Fin!N5)&lt;2,"",IFERROR((Captura_Fin!O5+ABS(Captura_Fin!N5))/ABS(Captura_Fin!N5),""))</f>
        <v>2.2731715224345121</v>
      </c>
      <c r="J5" s="24">
        <f>IF(COUNT(Captura_Fin!L5,Captura_Fin!F5)&lt;2,"",IFERROR(Captura_Fin!L5/Captura_Fin!F5,""))</f>
        <v>4.2059604950466463E-2</v>
      </c>
      <c r="K5" s="24">
        <f>IF(COUNT(Captura_Fin!Q5)&lt;1,"",IFERROR(IF(D5=2017,Captura_Fin!Q5/INDEX(Empresas!$I$2:$I$23,MATCH($A5,Empresas!$B$2:$B$23,0))-1,IF(COUNT(Captura_Fin!Q4)&lt;1,"",Captura_Fin!Q5/Captura_Fin!Q4-1)),""))</f>
        <v>-4.1872802674877696E-2</v>
      </c>
      <c r="L5" s="24">
        <f>IF(COUNT(Captura_Fin!P5,Captura_Fin!H5)&lt;2,"",IF(Captura_Fin!H5&lt;=0,"",Captura_Fin!P5/Captura_Fin!H5))</f>
        <v>0.12428225774420949</v>
      </c>
      <c r="M5" s="25">
        <f t="shared" si="0"/>
        <v>7</v>
      </c>
      <c r="N5" s="26" t="str">
        <f>IF(COUNT(Captura_Fin!F5,Captura_Fin!G5,Captura_Fin!H5)&lt;3,"",IF(ABS(Captura_Fin!F5-Captura_Fin!G5-Captura_Fin!H5)&lt;=0.005*ABS(Captura_Fin!F5),"OK","REVISAR"))</f>
        <v>OK</v>
      </c>
    </row>
    <row r="6" spans="1:14" ht="15" customHeight="1" x14ac:dyDescent="0.2">
      <c r="A6" s="20" t="str">
        <f>Captura_Fin!A6</f>
        <v>CHILE</v>
      </c>
      <c r="B6" s="20">
        <f>Captura_Fin!B6</f>
        <v>4</v>
      </c>
      <c r="C6" s="20" t="str">
        <f>Captura_Fin!C6</f>
        <v>Financiero (bancos)</v>
      </c>
      <c r="D6" s="21">
        <f>Captura_Fin!D6</f>
        <v>2021</v>
      </c>
      <c r="E6" s="24">
        <f>IF(COUNT(Captura_Fin!I6,Captura_Fin!J6)&lt;2,"",IFERROR(Captura_Fin!I6/Captura_Fin!J6,""))</f>
        <v>0.13415313488734537</v>
      </c>
      <c r="F6" s="24">
        <f>IF(COUNT(Captura_Fin!M6,Captura_Fin!L6)&lt;2,"",IFERROR(ABS(Captura_Fin!M6)/Captura_Fin!L6,""))</f>
        <v>0.39805457397959071</v>
      </c>
      <c r="G6" s="24">
        <f>IF(COUNT(Captura_Fin!P6,Captura_Fin!F6)&lt;2,"",IFERROR(Captura_Fin!P6/Captura_Fin!F6,""))</f>
        <v>1.5336278429727464E-2</v>
      </c>
      <c r="H6" s="24">
        <f>IF(COUNT(Captura_Fin!G6,Captura_Fin!F6)&lt;2,"",IFERROR(Captura_Fin!G6/Captura_Fin!F6,""))</f>
        <v>0.91832079720649151</v>
      </c>
      <c r="I6" s="23">
        <f>IF(COUNT(Captura_Fin!O6,Captura_Fin!N6)&lt;2,"",IFERROR((Captura_Fin!O6+ABS(Captura_Fin!N6))/ABS(Captura_Fin!N6),""))</f>
        <v>3.6026710603868617</v>
      </c>
      <c r="J6" s="24">
        <f>IF(COUNT(Captura_Fin!L6,Captura_Fin!F6)&lt;2,"",IFERROR(Captura_Fin!L6/Captura_Fin!F6,""))</f>
        <v>4.3136398265466738E-2</v>
      </c>
      <c r="K6" s="24">
        <f>IF(COUNT(Captura_Fin!Q6)&lt;1,"",IFERROR(IF(D6=2017,Captura_Fin!Q6/INDEX(Empresas!$I$2:$I$23,MATCH($A6,Empresas!$B$2:$B$23,0))-1,IF(COUNT(Captura_Fin!Q5)&lt;1,"",Captura_Fin!Q6/Captura_Fin!Q5-1)),""))</f>
        <v>-5.9347800530040962E-2</v>
      </c>
      <c r="L6" s="24">
        <f>IF(COUNT(Captura_Fin!P6,Captura_Fin!H6)&lt;2,"",IF(Captura_Fin!H6&lt;=0,"",Captura_Fin!P6/Captura_Fin!H6))</f>
        <v>0.18776234225129257</v>
      </c>
      <c r="M6" s="25">
        <f t="shared" si="0"/>
        <v>7</v>
      </c>
      <c r="N6" s="26" t="str">
        <f>IF(COUNT(Captura_Fin!F6,Captura_Fin!G6,Captura_Fin!H6)&lt;3,"",IF(ABS(Captura_Fin!F6-Captura_Fin!G6-Captura_Fin!H6)&lt;=0.005*ABS(Captura_Fin!F6),"OK","REVISAR"))</f>
        <v>OK</v>
      </c>
    </row>
    <row r="7" spans="1:14" ht="15" customHeight="1" x14ac:dyDescent="0.2">
      <c r="A7" s="20" t="str">
        <f>Captura_Fin!A7</f>
        <v>CHILE</v>
      </c>
      <c r="B7" s="20">
        <f>Captura_Fin!B7</f>
        <v>4</v>
      </c>
      <c r="C7" s="20" t="str">
        <f>Captura_Fin!C7</f>
        <v>Financiero (bancos)</v>
      </c>
      <c r="D7" s="21">
        <f>Captura_Fin!D7</f>
        <v>2022</v>
      </c>
      <c r="E7" s="24">
        <f>IF(COUNT(Captura_Fin!I7,Captura_Fin!J7)&lt;2,"",IFERROR(Captura_Fin!I7/Captura_Fin!J7,""))</f>
        <v>0.1003938442386049</v>
      </c>
      <c r="F7" s="24">
        <f>IF(COUNT(Captura_Fin!M7,Captura_Fin!L7)&lt;2,"",IFERROR(ABS(Captura_Fin!M7)/Captura_Fin!L7,""))</f>
        <v>0.31949607280200198</v>
      </c>
      <c r="G7" s="24">
        <f>IF(COUNT(Captura_Fin!P7,Captura_Fin!F7)&lt;2,"",IFERROR(Captura_Fin!P7/Captura_Fin!F7,""))</f>
        <v>2.5507665812510079E-2</v>
      </c>
      <c r="H7" s="24">
        <f>IF(COUNT(Captura_Fin!G7,Captura_Fin!F7)&lt;2,"",IFERROR(Captura_Fin!G7/Captura_Fin!F7,""))</f>
        <v>0.9120749952773709</v>
      </c>
      <c r="I7" s="23">
        <f>IF(COUNT(Captura_Fin!O7,Captura_Fin!N7)&lt;2,"",IFERROR((Captura_Fin!O7+ABS(Captura_Fin!N7))/ABS(Captura_Fin!N7),""))</f>
        <v>4.872962485427168</v>
      </c>
      <c r="J7" s="24">
        <f>IF(COUNT(Captura_Fin!L7,Captura_Fin!F7)&lt;2,"",IFERROR(Captura_Fin!L7/Captura_Fin!F7,""))</f>
        <v>5.6388959122650677E-2</v>
      </c>
      <c r="K7" s="24">
        <f>IF(COUNT(Captura_Fin!Q7)&lt;1,"",IFERROR(IF(D7=2017,Captura_Fin!Q7/INDEX(Empresas!$I$2:$I$23,MATCH($A7,Empresas!$B$2:$B$23,0))-1,IF(COUNT(Captura_Fin!Q6)&lt;1,"",Captura_Fin!Q7/Captura_Fin!Q6-1)),""))</f>
        <v>0.40799892402561388</v>
      </c>
      <c r="L7" s="24">
        <f>IF(COUNT(Captura_Fin!P7,Captura_Fin!H7)&lt;2,"",IF(Captura_Fin!H7&lt;=0,"",Captura_Fin!P7/Captura_Fin!H7))</f>
        <v>0.29010707355634863</v>
      </c>
      <c r="M7" s="25">
        <f t="shared" si="0"/>
        <v>7</v>
      </c>
      <c r="N7" s="26" t="str">
        <f>IF(COUNT(Captura_Fin!F7,Captura_Fin!G7,Captura_Fin!H7)&lt;3,"",IF(ABS(Captura_Fin!F7-Captura_Fin!G7-Captura_Fin!H7)&lt;=0.005*ABS(Captura_Fin!F7),"OK","REVISAR"))</f>
        <v>OK</v>
      </c>
    </row>
    <row r="8" spans="1:14" ht="15" customHeight="1" x14ac:dyDescent="0.2">
      <c r="A8" s="20" t="str">
        <f>Captura_Fin!A8</f>
        <v>CHILE</v>
      </c>
      <c r="B8" s="20">
        <f>Captura_Fin!B8</f>
        <v>4</v>
      </c>
      <c r="C8" s="20" t="str">
        <f>Captura_Fin!C8</f>
        <v>Financiero (bancos)</v>
      </c>
      <c r="D8" s="21">
        <f>Captura_Fin!D8</f>
        <v>2023</v>
      </c>
      <c r="E8" s="24">
        <f>IF(COUNT(Captura_Fin!I8,Captura_Fin!J8)&lt;2,"",IFERROR(Captura_Fin!I8/Captura_Fin!J8,""))</f>
        <v>8.5914478678128722E-2</v>
      </c>
      <c r="F8" s="24">
        <f>IF(COUNT(Captura_Fin!M8,Captura_Fin!L8)&lt;2,"",IFERROR(ABS(Captura_Fin!M8)/Captura_Fin!L8,""))</f>
        <v>0.37317321151549304</v>
      </c>
      <c r="G8" s="24">
        <f>IF(COUNT(Captura_Fin!P8,Captura_Fin!F8)&lt;2,"",IFERROR(Captura_Fin!P8/Captura_Fin!F8,""))</f>
        <v>2.229033705151446E-2</v>
      </c>
      <c r="H8" s="24">
        <f>IF(COUNT(Captura_Fin!G8,Captura_Fin!F8)&lt;2,"",IFERROR(Captura_Fin!G8/Captura_Fin!F8,""))</f>
        <v>0.90612932167204074</v>
      </c>
      <c r="I8" s="23">
        <f>IF(COUNT(Captura_Fin!O8,Captura_Fin!N8)&lt;2,"",IFERROR((Captura_Fin!O8+ABS(Captura_Fin!N8))/ABS(Captura_Fin!N8),""))</f>
        <v>5.2007289601446161</v>
      </c>
      <c r="J8" s="24">
        <f>IF(COUNT(Captura_Fin!L8,Captura_Fin!F8)&lt;2,"",IFERROR(Captura_Fin!L8/Captura_Fin!F8,""))</f>
        <v>5.3721833390885279E-2</v>
      </c>
      <c r="K8" s="24">
        <f>IF(COUNT(Captura_Fin!Q8)&lt;1,"",IFERROR(IF(D8=2017,Captura_Fin!Q8/INDEX(Empresas!$I$2:$I$23,MATCH($A8,Empresas!$B$2:$B$23,0))-1,IF(COUNT(Captura_Fin!Q7)&lt;1,"",Captura_Fin!Q8/Captura_Fin!Q7-1)),""))</f>
        <v>0.31164354491426716</v>
      </c>
      <c r="L8" s="24">
        <f>IF(COUNT(Captura_Fin!P8,Captura_Fin!H8)&lt;2,"",IF(Captura_Fin!H8&lt;=0,"",Captura_Fin!P8/Captura_Fin!H8))</f>
        <v>0.23745793093811363</v>
      </c>
      <c r="M8" s="25">
        <f t="shared" si="0"/>
        <v>7</v>
      </c>
      <c r="N8" s="26" t="str">
        <f>IF(COUNT(Captura_Fin!F8,Captura_Fin!G8,Captura_Fin!H8)&lt;3,"",IF(ABS(Captura_Fin!F8-Captura_Fin!G8-Captura_Fin!H8)&lt;=0.005*ABS(Captura_Fin!F8),"OK","REVISAR"))</f>
        <v>OK</v>
      </c>
    </row>
    <row r="9" spans="1:14" ht="15" customHeight="1" x14ac:dyDescent="0.2">
      <c r="A9" s="20" t="str">
        <f>Captura_Fin!A9</f>
        <v>CHILE</v>
      </c>
      <c r="B9" s="20">
        <f>Captura_Fin!B9</f>
        <v>4</v>
      </c>
      <c r="C9" s="20" t="str">
        <f>Captura_Fin!C9</f>
        <v>Financiero (bancos)</v>
      </c>
      <c r="D9" s="21">
        <f>Captura_Fin!D9</f>
        <v>2024</v>
      </c>
      <c r="E9" s="24">
        <f>IF(COUNT(Captura_Fin!I9,Captura_Fin!J9)&lt;2,"",IFERROR(Captura_Fin!I9/Captura_Fin!J9,""))</f>
        <v>9.4930910445025357E-2</v>
      </c>
      <c r="F9" s="24">
        <f>IF(COUNT(Captura_Fin!M9,Captura_Fin!L9)&lt;2,"",IFERROR(ABS(Captura_Fin!M9)/Captura_Fin!L9,""))</f>
        <v>0.37135350878865442</v>
      </c>
      <c r="G9" s="24">
        <f>IF(COUNT(Captura_Fin!P9,Captura_Fin!F9)&lt;2,"",IFERROR(Captura_Fin!P9/Captura_Fin!F9,""))</f>
        <v>2.3176532674422944E-2</v>
      </c>
      <c r="H9" s="24">
        <f>IF(COUNT(Captura_Fin!G9,Captura_Fin!F9)&lt;2,"",IFERROR(Captura_Fin!G9/Captura_Fin!F9,""))</f>
        <v>0.89206346668658776</v>
      </c>
      <c r="I9" s="23">
        <f>IF(COUNT(Captura_Fin!O9,Captura_Fin!N9)&lt;2,"",IFERROR((Captura_Fin!O9+ABS(Captura_Fin!N9))/ABS(Captura_Fin!N9),""))</f>
        <v>4.894784013536821</v>
      </c>
      <c r="J9" s="24">
        <f>IF(COUNT(Captura_Fin!L9,Captura_Fin!F9)&lt;2,"",IFERROR(Captura_Fin!L9/Captura_Fin!F9,""))</f>
        <v>5.8551862938587981E-2</v>
      </c>
      <c r="K9" s="24">
        <f>IF(COUNT(Captura_Fin!Q9)&lt;1,"",IFERROR(IF(D9=2017,Captura_Fin!Q9/INDEX(Empresas!$I$2:$I$23,MATCH($A9,Empresas!$B$2:$B$23,0))-1,IF(COUNT(Captura_Fin!Q8)&lt;1,"",Captura_Fin!Q9/Captura_Fin!Q8-1)),""))</f>
        <v>9.237618863841135E-2</v>
      </c>
      <c r="L9" s="24">
        <f>IF(COUNT(Captura_Fin!P9,Captura_Fin!H9)&lt;2,"",IF(Captura_Fin!H9&lt;=0,"",Captura_Fin!P9/Captura_Fin!H9))</f>
        <v>0.21472370811767619</v>
      </c>
      <c r="M9" s="25">
        <f t="shared" si="0"/>
        <v>7</v>
      </c>
      <c r="N9" s="26" t="str">
        <f>IF(COUNT(Captura_Fin!F9,Captura_Fin!G9,Captura_Fin!H9)&lt;3,"",IF(ABS(Captura_Fin!F9-Captura_Fin!G9-Captura_Fin!H9)&lt;=0.005*ABS(Captura_Fin!F9),"OK","REVISAR"))</f>
        <v>OK</v>
      </c>
    </row>
    <row r="10" spans="1:14" ht="15" customHeight="1" x14ac:dyDescent="0.2">
      <c r="A10" s="20" t="str">
        <f>Captura_Fin!A10</f>
        <v>CHILE</v>
      </c>
      <c r="B10" s="20">
        <f>Captura_Fin!B10</f>
        <v>4</v>
      </c>
      <c r="C10" s="20" t="str">
        <f>Captura_Fin!C10</f>
        <v>Financiero (bancos)</v>
      </c>
      <c r="D10" s="21">
        <f>Captura_Fin!D10</f>
        <v>2025</v>
      </c>
      <c r="E10" s="24">
        <f>IF(COUNT(Captura_Fin!I10,Captura_Fin!J10)&lt;2,"",IFERROR(Captura_Fin!I10/Captura_Fin!J10,""))</f>
        <v>9.1007074137750082E-2</v>
      </c>
      <c r="F10" s="24">
        <f>IF(COUNT(Captura_Fin!M10,Captura_Fin!L10)&lt;2,"",IFERROR(ABS(Captura_Fin!M10)/Captura_Fin!L10,""))</f>
        <v>0.3737347981601018</v>
      </c>
      <c r="G10" s="24">
        <f>IF(COUNT(Captura_Fin!P10,Captura_Fin!F10)&lt;2,"",IFERROR(Captura_Fin!P10/Captura_Fin!F10,""))</f>
        <v>2.2037739552812307E-2</v>
      </c>
      <c r="H10" s="24">
        <f>IF(COUNT(Captura_Fin!G10,Captura_Fin!F10)&lt;2,"",IFERROR(Captura_Fin!G10/Captura_Fin!F10,""))</f>
        <v>0.89280149162508238</v>
      </c>
      <c r="I10" s="23">
        <f>IF(COUNT(Captura_Fin!O10,Captura_Fin!N10)&lt;2,"",IFERROR((Captura_Fin!O10+ABS(Captura_Fin!N10))/ABS(Captura_Fin!N10),""))</f>
        <v>4.9620144168588265</v>
      </c>
      <c r="J10" s="24">
        <f>IF(COUNT(Captura_Fin!L10,Captura_Fin!F10)&lt;2,"",IFERROR(Captura_Fin!L10/Captura_Fin!F10,""))</f>
        <v>5.5933311872151247E-2</v>
      </c>
      <c r="K10" s="24">
        <f>IF(COUNT(Captura_Fin!Q10)&lt;1,"",IFERROR(IF(D10=2017,Captura_Fin!Q10/INDEX(Empresas!$I$2:$I$23,MATCH($A10,Empresas!$B$2:$B$23,0))-1,IF(COUNT(Captura_Fin!Q9)&lt;1,"",Captura_Fin!Q10/Captura_Fin!Q9-1)),""))</f>
        <v>0.66320319749585788</v>
      </c>
      <c r="L10" s="24">
        <f>IF(COUNT(Captura_Fin!P10,Captura_Fin!H10)&lt;2,"",IF(Captura_Fin!H10&lt;=0,"",Captura_Fin!P10/Captura_Fin!H10))</f>
        <v>0.2055787891724872</v>
      </c>
      <c r="M10" s="25">
        <f t="shared" si="0"/>
        <v>7</v>
      </c>
      <c r="N10" s="26" t="str">
        <f>IF(COUNT(Captura_Fin!F10,Captura_Fin!G10,Captura_Fin!H10)&lt;3,"",IF(ABS(Captura_Fin!F10-Captura_Fin!G10-Captura_Fin!H10)&lt;=0.005*ABS(Captura_Fin!F10),"OK","REVISAR"))</f>
        <v>OK</v>
      </c>
    </row>
    <row r="11" spans="1:14" ht="15" customHeight="1" x14ac:dyDescent="0.2">
      <c r="A11" s="20" t="str">
        <f>Captura_Fin!A11</f>
        <v>BCI</v>
      </c>
      <c r="B11" s="20">
        <f>Captura_Fin!B11</f>
        <v>4</v>
      </c>
      <c r="C11" s="20" t="str">
        <f>Captura_Fin!C11</f>
        <v>Financiero (bancos)</v>
      </c>
      <c r="D11" s="21">
        <f>Captura_Fin!D11</f>
        <v>2017</v>
      </c>
      <c r="E11" s="24">
        <f>IF(COUNT(Captura_Fin!I11,Captura_Fin!J11)&lt;2,"",IFERROR(Captura_Fin!I11/Captura_Fin!J11,""))</f>
        <v>7.3949235828100507E-2</v>
      </c>
      <c r="F11" s="24">
        <f>IF(COUNT(Captura_Fin!M11,Captura_Fin!L11)&lt;2,"",IFERROR(ABS(Captura_Fin!M11)/Captura_Fin!L11,""))</f>
        <v>0.53712676594949527</v>
      </c>
      <c r="G11" s="24">
        <f>IF(COUNT(Captura_Fin!P11,Captura_Fin!F11)&lt;2,"",IFERROR(Captura_Fin!P11/Captura_Fin!F11,""))</f>
        <v>1.0961858722779735E-2</v>
      </c>
      <c r="H11" s="24">
        <f>IF(COUNT(Captura_Fin!G11,Captura_Fin!F11)&lt;2,"",IFERROR(Captura_Fin!G11/Captura_Fin!F11,""))</f>
        <v>0.91948014892013774</v>
      </c>
      <c r="I11" s="23">
        <f>IF(COUNT(Captura_Fin!O11,Captura_Fin!N11)&lt;2,"",IFERROR((Captura_Fin!O11+ABS(Captura_Fin!N11))/ABS(Captura_Fin!N11),""))</f>
        <v>3.5345468909444024</v>
      </c>
      <c r="J11" s="24">
        <f>IF(COUNT(Captura_Fin!L11,Captura_Fin!F11)&lt;2,"",IFERROR(Captura_Fin!L11/Captura_Fin!F11,""))</f>
        <v>4.0748630981380971E-2</v>
      </c>
      <c r="K11" s="24">
        <f>IF(COUNT(Captura_Fin!Q11)&lt;1,"",IFERROR(IF(D11=2017,Captura_Fin!Q11/INDEX(Empresas!$I$2:$I$23,MATCH($A11,Empresas!$B$2:$B$23,0))-1,IF(COUNT(Captura_Fin!Q10)&lt;1,"",Captura_Fin!Q11/Captura_Fin!Q10-1)),""))</f>
        <v>0.31147467005026241</v>
      </c>
      <c r="L11" s="24">
        <f>IF(COUNT(Captura_Fin!P11,Captura_Fin!H11)&lt;2,"",IF(Captura_Fin!H11&lt;=0,"",Captura_Fin!P11/Captura_Fin!H11))</f>
        <v>0.13613858664377562</v>
      </c>
      <c r="M11" s="25">
        <f t="shared" si="0"/>
        <v>7</v>
      </c>
      <c r="N11" s="26" t="str">
        <f>IF(COUNT(Captura_Fin!F11,Captura_Fin!G11,Captura_Fin!H11)&lt;3,"",IF(ABS(Captura_Fin!F11-Captura_Fin!G11-Captura_Fin!H11)&lt;=0.005*ABS(Captura_Fin!F11),"OK","REVISAR"))</f>
        <v>OK</v>
      </c>
    </row>
    <row r="12" spans="1:14" ht="15" customHeight="1" x14ac:dyDescent="0.2">
      <c r="A12" s="20" t="str">
        <f>Captura_Fin!A12</f>
        <v>BCI</v>
      </c>
      <c r="B12" s="20">
        <f>Captura_Fin!B12</f>
        <v>4</v>
      </c>
      <c r="C12" s="20" t="str">
        <f>Captura_Fin!C12</f>
        <v>Financiero (bancos)</v>
      </c>
      <c r="D12" s="21">
        <f>Captura_Fin!D12</f>
        <v>2018</v>
      </c>
      <c r="E12" s="24">
        <f>IF(COUNT(Captura_Fin!I12,Captura_Fin!J12)&lt;2,"",IFERROR(Captura_Fin!I12/Captura_Fin!J12,""))</f>
        <v>8.385526396447604E-2</v>
      </c>
      <c r="F12" s="24">
        <f>IF(COUNT(Captura_Fin!M12,Captura_Fin!L12)&lt;2,"",IFERROR(ABS(Captura_Fin!M12)/Captura_Fin!L12,""))</f>
        <v>0.54521534465932753</v>
      </c>
      <c r="G12" s="24">
        <f>IF(COUNT(Captura_Fin!P12,Captura_Fin!F12)&lt;2,"",IFERROR(Captura_Fin!P12/Captura_Fin!F12,""))</f>
        <v>9.5731489528694969E-3</v>
      </c>
      <c r="H12" s="24">
        <f>IF(COUNT(Captura_Fin!G12,Captura_Fin!F12)&lt;2,"",IFERROR(Captura_Fin!G12/Captura_Fin!F12,""))</f>
        <v>0.91636307934102668</v>
      </c>
      <c r="I12" s="23">
        <f>IF(COUNT(Captura_Fin!O12,Captura_Fin!N12)&lt;2,"",IFERROR((Captura_Fin!O12+ABS(Captura_Fin!N12))/ABS(Captura_Fin!N12),""))</f>
        <v>2.9512716239913184</v>
      </c>
      <c r="J12" s="24">
        <f>IF(COUNT(Captura_Fin!L12,Captura_Fin!F12)&lt;2,"",IFERROR(Captura_Fin!L12/Captura_Fin!F12,""))</f>
        <v>3.833648970318225E-2</v>
      </c>
      <c r="K12" s="24">
        <f>IF(COUNT(Captura_Fin!Q12)&lt;1,"",IFERROR(IF(D12=2017,Captura_Fin!Q12/INDEX(Empresas!$I$2:$I$23,MATCH($A12,Empresas!$B$2:$B$23,0))-1,IF(COUNT(Captura_Fin!Q11)&lt;1,"",Captura_Fin!Q12/Captura_Fin!Q11-1)),""))</f>
        <v>9.3369461182938096E-2</v>
      </c>
      <c r="L12" s="24">
        <f>IF(COUNT(Captura_Fin!P12,Captura_Fin!H12)&lt;2,"",IF(Captura_Fin!H12&lt;=0,"",Captura_Fin!P12/Captura_Fin!H12))</f>
        <v>0.11446080125192179</v>
      </c>
      <c r="M12" s="25">
        <f t="shared" si="0"/>
        <v>7</v>
      </c>
      <c r="N12" s="26" t="str">
        <f>IF(COUNT(Captura_Fin!F12,Captura_Fin!G12,Captura_Fin!H12)&lt;3,"",IF(ABS(Captura_Fin!F12-Captura_Fin!G12-Captura_Fin!H12)&lt;=0.005*ABS(Captura_Fin!F12),"OK","REVISAR"))</f>
        <v>OK</v>
      </c>
    </row>
    <row r="13" spans="1:14" ht="15" customHeight="1" x14ac:dyDescent="0.2">
      <c r="A13" s="20" t="str">
        <f>Captura_Fin!A13</f>
        <v>BCI</v>
      </c>
      <c r="B13" s="20">
        <f>Captura_Fin!B13</f>
        <v>4</v>
      </c>
      <c r="C13" s="20" t="str">
        <f>Captura_Fin!C13</f>
        <v>Financiero (bancos)</v>
      </c>
      <c r="D13" s="21">
        <f>Captura_Fin!D13</f>
        <v>2019</v>
      </c>
      <c r="E13" s="24">
        <f>IF(COUNT(Captura_Fin!I13,Captura_Fin!J13)&lt;2,"",IFERROR(Captura_Fin!I13/Captura_Fin!J13,""))</f>
        <v>0.11445969298587055</v>
      </c>
      <c r="F13" s="24">
        <f>IF(COUNT(Captura_Fin!M13,Captura_Fin!L13)&lt;2,"",IFERROR(ABS(Captura_Fin!M13)/Captura_Fin!L13,""))</f>
        <v>0.50625704360108004</v>
      </c>
      <c r="G13" s="24">
        <f>IF(COUNT(Captura_Fin!P13,Captura_Fin!F13)&lt;2,"",IFERROR(Captura_Fin!P13/Captura_Fin!F13,""))</f>
        <v>8.0009146422624321E-3</v>
      </c>
      <c r="H13" s="24">
        <f>IF(COUNT(Captura_Fin!G13,Captura_Fin!F13)&lt;2,"",IFERROR(Captura_Fin!G13/Captura_Fin!F13,""))</f>
        <v>0.92465684028844208</v>
      </c>
      <c r="I13" s="23">
        <f>IF(COUNT(Captura_Fin!O13,Captura_Fin!N13)&lt;2,"",IFERROR((Captura_Fin!O13+ABS(Captura_Fin!N13))/ABS(Captura_Fin!N13),""))</f>
        <v>2.2783434692517068</v>
      </c>
      <c r="J13" s="24">
        <f>IF(COUNT(Captura_Fin!L13,Captura_Fin!F13)&lt;2,"",IFERROR(Captura_Fin!L13/Captura_Fin!F13,""))</f>
        <v>3.7582737974858067E-2</v>
      </c>
      <c r="K13" s="24">
        <f>IF(COUNT(Captura_Fin!Q13)&lt;1,"",IFERROR(IF(D13=2017,Captura_Fin!Q13/INDEX(Empresas!$I$2:$I$23,MATCH($A13,Empresas!$B$2:$B$23,0))-1,IF(COUNT(Captura_Fin!Q12)&lt;1,"",Captura_Fin!Q13/Captura_Fin!Q12-1)),""))</f>
        <v>-0.19371684623386232</v>
      </c>
      <c r="L13" s="24">
        <f>IF(COUNT(Captura_Fin!P13,Captura_Fin!H13)&lt;2,"",IF(Captura_Fin!H13&lt;=0,"",Captura_Fin!P13/Captura_Fin!H13))</f>
        <v>0.10619297986563024</v>
      </c>
      <c r="M13" s="25">
        <f t="shared" si="0"/>
        <v>7</v>
      </c>
      <c r="N13" s="26" t="str">
        <f>IF(COUNT(Captura_Fin!F13,Captura_Fin!G13,Captura_Fin!H13)&lt;3,"",IF(ABS(Captura_Fin!F13-Captura_Fin!G13-Captura_Fin!H13)&lt;=0.005*ABS(Captura_Fin!F13),"OK","REVISAR"))</f>
        <v>OK</v>
      </c>
    </row>
    <row r="14" spans="1:14" ht="15" customHeight="1" x14ac:dyDescent="0.2">
      <c r="A14" s="20" t="str">
        <f>Captura_Fin!A14</f>
        <v>BCI</v>
      </c>
      <c r="B14" s="20">
        <f>Captura_Fin!B14</f>
        <v>4</v>
      </c>
      <c r="C14" s="20" t="str">
        <f>Captura_Fin!C14</f>
        <v>Financiero (bancos)</v>
      </c>
      <c r="D14" s="21">
        <f>Captura_Fin!D14</f>
        <v>2020</v>
      </c>
      <c r="E14" s="24">
        <f>IF(COUNT(Captura_Fin!I14,Captura_Fin!J14)&lt;2,"",IFERROR(Captura_Fin!I14/Captura_Fin!J14,""))</f>
        <v>0.15042331910246567</v>
      </c>
      <c r="F14" s="24">
        <f>IF(COUNT(Captura_Fin!M14,Captura_Fin!L14)&lt;2,"",IFERROR(ABS(Captura_Fin!M14)/Captura_Fin!L14,""))</f>
        <v>0.50969184108077048</v>
      </c>
      <c r="G14" s="24">
        <f>IF(COUNT(Captura_Fin!P14,Captura_Fin!F14)&lt;2,"",IFERROR(Captura_Fin!P14/Captura_Fin!F14,""))</f>
        <v>5.5555206609861144E-3</v>
      </c>
      <c r="H14" s="24">
        <f>IF(COUNT(Captura_Fin!G14,Captura_Fin!F14)&lt;2,"",IFERROR(Captura_Fin!G14/Captura_Fin!F14,""))</f>
        <v>0.93185869155033985</v>
      </c>
      <c r="I14" s="23">
        <f>IF(COUNT(Captura_Fin!O14,Captura_Fin!N14)&lt;2,"",IFERROR((Captura_Fin!O14+ABS(Captura_Fin!N14))/ABS(Captura_Fin!N14),""))</f>
        <v>1.5233097470450871</v>
      </c>
      <c r="J14" s="24">
        <f>IF(COUNT(Captura_Fin!L14,Captura_Fin!F14)&lt;2,"",IFERROR(Captura_Fin!L14/Captura_Fin!F14,""))</f>
        <v>3.5557375749608981E-2</v>
      </c>
      <c r="K14" s="24">
        <f>IF(COUNT(Captura_Fin!Q14)&lt;1,"",IFERROR(IF(D14=2017,Captura_Fin!Q14/INDEX(Empresas!$I$2:$I$23,MATCH($A14,Empresas!$B$2:$B$23,0))-1,IF(COUNT(Captura_Fin!Q13)&lt;1,"",Captura_Fin!Q14/Captura_Fin!Q13-1)),""))</f>
        <v>-0.11044871706111759</v>
      </c>
      <c r="L14" s="24">
        <f>IF(COUNT(Captura_Fin!P14,Captura_Fin!H14)&lt;2,"",IF(Captura_Fin!H14&lt;=0,"",Captura_Fin!P14/Captura_Fin!H14))</f>
        <v>8.1529409801255809E-2</v>
      </c>
      <c r="M14" s="25">
        <f t="shared" si="0"/>
        <v>7</v>
      </c>
      <c r="N14" s="26" t="str">
        <f>IF(COUNT(Captura_Fin!F14,Captura_Fin!G14,Captura_Fin!H14)&lt;3,"",IF(ABS(Captura_Fin!F14-Captura_Fin!G14-Captura_Fin!H14)&lt;=0.005*ABS(Captura_Fin!F14),"OK","REVISAR"))</f>
        <v>OK</v>
      </c>
    </row>
    <row r="15" spans="1:14" ht="15" customHeight="1" x14ac:dyDescent="0.2">
      <c r="A15" s="20" t="str">
        <f>Captura_Fin!A15</f>
        <v>BCI</v>
      </c>
      <c r="B15" s="20">
        <f>Captura_Fin!B15</f>
        <v>4</v>
      </c>
      <c r="C15" s="20" t="str">
        <f>Captura_Fin!C15</f>
        <v>Financiero (bancos)</v>
      </c>
      <c r="D15" s="21">
        <f>Captura_Fin!D15</f>
        <v>2021</v>
      </c>
      <c r="E15" s="24">
        <f>IF(COUNT(Captura_Fin!I15,Captura_Fin!J15)&lt;2,"",IFERROR(Captura_Fin!I15/Captura_Fin!J15,""))</f>
        <v>0.10282040438136494</v>
      </c>
      <c r="F15" s="24">
        <f>IF(COUNT(Captura_Fin!M15,Captura_Fin!L15)&lt;2,"",IFERROR(ABS(Captura_Fin!M15)/Captura_Fin!L15,""))</f>
        <v>0.48166314487140394</v>
      </c>
      <c r="G15" s="24">
        <f>IF(COUNT(Captura_Fin!P15,Captura_Fin!F15)&lt;2,"",IFERROR(Captura_Fin!P15/Captura_Fin!F15,""))</f>
        <v>7.5268259347054198E-3</v>
      </c>
      <c r="H15" s="24">
        <f>IF(COUNT(Captura_Fin!G15,Captura_Fin!F15)&lt;2,"",IFERROR(Captura_Fin!G15/Captura_Fin!F15,""))</f>
        <v>0.93491086015377345</v>
      </c>
      <c r="I15" s="23">
        <f>IF(COUNT(Captura_Fin!O15,Captura_Fin!N15)&lt;2,"",IFERROR((Captura_Fin!O15+ABS(Captura_Fin!N15))/ABS(Captura_Fin!N15),""))</f>
        <v>2.8026139385087818</v>
      </c>
      <c r="J15" s="24">
        <f>IF(COUNT(Captura_Fin!L15,Captura_Fin!F15)&lt;2,"",IFERROR(Captura_Fin!L15/Captura_Fin!F15,""))</f>
        <v>3.1251383594418591E-2</v>
      </c>
      <c r="K15" s="24">
        <f>IF(COUNT(Captura_Fin!Q15)&lt;1,"",IFERROR(IF(D15=2017,Captura_Fin!Q15/INDEX(Empresas!$I$2:$I$23,MATCH($A15,Empresas!$B$2:$B$23,0))-1,IF(COUNT(Captura_Fin!Q14)&lt;1,"",Captura_Fin!Q15/Captura_Fin!Q14-1)),""))</f>
        <v>-4.7540182712930479E-2</v>
      </c>
      <c r="L15" s="24">
        <f>IF(COUNT(Captura_Fin!P15,Captura_Fin!H15)&lt;2,"",IF(Captura_Fin!H15&lt;=0,"",Captura_Fin!P15/Captura_Fin!H15))</f>
        <v>0.1156387371608779</v>
      </c>
      <c r="M15" s="25">
        <f t="shared" si="0"/>
        <v>7</v>
      </c>
      <c r="N15" s="26" t="str">
        <f>IF(COUNT(Captura_Fin!F15,Captura_Fin!G15,Captura_Fin!H15)&lt;3,"",IF(ABS(Captura_Fin!F15-Captura_Fin!G15-Captura_Fin!H15)&lt;=0.005*ABS(Captura_Fin!F15),"OK","REVISAR"))</f>
        <v>OK</v>
      </c>
    </row>
    <row r="16" spans="1:14" ht="15" customHeight="1" x14ac:dyDescent="0.2">
      <c r="A16" s="20" t="str">
        <f>Captura_Fin!A16</f>
        <v>BCI</v>
      </c>
      <c r="B16" s="20">
        <f>Captura_Fin!B16</f>
        <v>4</v>
      </c>
      <c r="C16" s="20" t="str">
        <f>Captura_Fin!C16</f>
        <v>Financiero (bancos)</v>
      </c>
      <c r="D16" s="21">
        <f>Captura_Fin!D16</f>
        <v>2022</v>
      </c>
      <c r="E16" s="24">
        <f>IF(COUNT(Captura_Fin!I16,Captura_Fin!J16)&lt;2,"",IFERROR(Captura_Fin!I16/Captura_Fin!J16,""))</f>
        <v>0.100462222401538</v>
      </c>
      <c r="F16" s="24">
        <f>IF(COUNT(Captura_Fin!M16,Captura_Fin!L16)&lt;2,"",IFERROR(ABS(Captura_Fin!M16)/Captura_Fin!L16,""))</f>
        <v>0.47879698704631535</v>
      </c>
      <c r="G16" s="24">
        <f>IF(COUNT(Captura_Fin!P16,Captura_Fin!F16)&lt;2,"",IFERROR(Captura_Fin!P16/Captura_Fin!F16,""))</f>
        <v>1.0519323572921886E-2</v>
      </c>
      <c r="H16" s="24">
        <f>IF(COUNT(Captura_Fin!G16,Captura_Fin!F16)&lt;2,"",IFERROR(Captura_Fin!G16/Captura_Fin!F16,""))</f>
        <v>0.93879750675588813</v>
      </c>
      <c r="I16" s="23">
        <f>IF(COUNT(Captura_Fin!O16,Captura_Fin!N16)&lt;2,"",IFERROR((Captura_Fin!O16+ABS(Captura_Fin!N16))/ABS(Captura_Fin!N16),""))</f>
        <v>2.8427126656206392</v>
      </c>
      <c r="J16" s="24">
        <f>IF(COUNT(Captura_Fin!L16,Captura_Fin!F16)&lt;2,"",IFERROR(Captura_Fin!L16/Captura_Fin!F16,""))</f>
        <v>3.4581920685753824E-2</v>
      </c>
      <c r="K16" s="24">
        <f>IF(COUNT(Captura_Fin!Q16)&lt;1,"",IFERROR(IF(D16=2017,Captura_Fin!Q16/INDEX(Empresas!$I$2:$I$23,MATCH($A16,Empresas!$B$2:$B$23,0))-1,IF(COUNT(Captura_Fin!Q15)&lt;1,"",Captura_Fin!Q16/Captura_Fin!Q15-1)),""))</f>
        <v>0.10001933460021606</v>
      </c>
      <c r="L16" s="24">
        <f>IF(COUNT(Captura_Fin!P16,Captura_Fin!H16)&lt;2,"",IF(Captura_Fin!H16&lt;=0,"",Captura_Fin!P16/Captura_Fin!H16))</f>
        <v>0.1718773699457726</v>
      </c>
      <c r="M16" s="25">
        <f t="shared" si="0"/>
        <v>7</v>
      </c>
      <c r="N16" s="26" t="str">
        <f>IF(COUNT(Captura_Fin!F16,Captura_Fin!G16,Captura_Fin!H16)&lt;3,"",IF(ABS(Captura_Fin!F16-Captura_Fin!G16-Captura_Fin!H16)&lt;=0.005*ABS(Captura_Fin!F16),"OK","REVISAR"))</f>
        <v>OK</v>
      </c>
    </row>
    <row r="17" spans="1:14" ht="15" customHeight="1" x14ac:dyDescent="0.2">
      <c r="A17" s="20" t="str">
        <f>Captura_Fin!A17</f>
        <v>BCI</v>
      </c>
      <c r="B17" s="20">
        <f>Captura_Fin!B17</f>
        <v>4</v>
      </c>
      <c r="C17" s="20" t="str">
        <f>Captura_Fin!C17</f>
        <v>Financiero (bancos)</v>
      </c>
      <c r="D17" s="21">
        <f>Captura_Fin!D17</f>
        <v>2023</v>
      </c>
      <c r="E17" s="24">
        <f>IF(COUNT(Captura_Fin!I17,Captura_Fin!J17)&lt;2,"",IFERROR(Captura_Fin!I17/Captura_Fin!J17,""))</f>
        <v>8.5668517838875663E-2</v>
      </c>
      <c r="F17" s="24">
        <f>IF(COUNT(Captura_Fin!M17,Captura_Fin!L17)&lt;2,"",IFERROR(ABS(Captura_Fin!M17)/Captura_Fin!L17,""))</f>
        <v>0.51703521752544601</v>
      </c>
      <c r="G17" s="24">
        <f>IF(COUNT(Captura_Fin!P17,Captura_Fin!F17)&lt;2,"",IFERROR(Captura_Fin!P17/Captura_Fin!F17,""))</f>
        <v>8.6073299707470768E-3</v>
      </c>
      <c r="H17" s="24">
        <f>IF(COUNT(Captura_Fin!G17,Captura_Fin!F17)&lt;2,"",IFERROR(Captura_Fin!G17/Captura_Fin!F17,""))</f>
        <v>0.92348944351401097</v>
      </c>
      <c r="I17" s="23">
        <f>IF(COUNT(Captura_Fin!O17,Captura_Fin!N17)&lt;2,"",IFERROR((Captura_Fin!O17+ABS(Captura_Fin!N17))/ABS(Captura_Fin!N17),""))</f>
        <v>3.0487495797590558</v>
      </c>
      <c r="J17" s="24">
        <f>IF(COUNT(Captura_Fin!L17,Captura_Fin!F17)&lt;2,"",IFERROR(Captura_Fin!L17/Captura_Fin!F17,""))</f>
        <v>3.1781770699078123E-2</v>
      </c>
      <c r="K17" s="24">
        <f>IF(COUNT(Captura_Fin!Q17)&lt;1,"",IFERROR(IF(D17=2017,Captura_Fin!Q17/INDEX(Empresas!$I$2:$I$23,MATCH($A17,Empresas!$B$2:$B$23,0))-1,IF(COUNT(Captura_Fin!Q16)&lt;1,"",Captura_Fin!Q17/Captura_Fin!Q16-1)),""))</f>
        <v>0.30163271117042378</v>
      </c>
      <c r="L17" s="24">
        <f>IF(COUNT(Captura_Fin!P17,Captura_Fin!H17)&lt;2,"",IF(Captura_Fin!H17&lt;=0,"",Captura_Fin!P17/Captura_Fin!H17))</f>
        <v>0.1124985932146932</v>
      </c>
      <c r="M17" s="25">
        <f t="shared" si="0"/>
        <v>7</v>
      </c>
      <c r="N17" s="26" t="str">
        <f>IF(COUNT(Captura_Fin!F17,Captura_Fin!G17,Captura_Fin!H17)&lt;3,"",IF(ABS(Captura_Fin!F17-Captura_Fin!G17-Captura_Fin!H17)&lt;=0.005*ABS(Captura_Fin!F17),"OK","REVISAR"))</f>
        <v>OK</v>
      </c>
    </row>
    <row r="18" spans="1:14" ht="15" customHeight="1" x14ac:dyDescent="0.2">
      <c r="A18" s="20" t="str">
        <f>Captura_Fin!A18</f>
        <v>BCI</v>
      </c>
      <c r="B18" s="20">
        <f>Captura_Fin!B18</f>
        <v>4</v>
      </c>
      <c r="C18" s="20" t="str">
        <f>Captura_Fin!C18</f>
        <v>Financiero (bancos)</v>
      </c>
      <c r="D18" s="21">
        <f>Captura_Fin!D18</f>
        <v>2024</v>
      </c>
      <c r="E18" s="24">
        <f>IF(COUNT(Captura_Fin!I18,Captura_Fin!J18)&lt;2,"",IFERROR(Captura_Fin!I18/Captura_Fin!J18,""))</f>
        <v>7.2594217644548042E-2</v>
      </c>
      <c r="F18" s="24">
        <f>IF(COUNT(Captura_Fin!M18,Captura_Fin!L18)&lt;2,"",IFERROR(ABS(Captura_Fin!M18)/Captura_Fin!L18,""))</f>
        <v>0.48867547381505289</v>
      </c>
      <c r="G18" s="24">
        <f>IF(COUNT(Captura_Fin!P18,Captura_Fin!F18)&lt;2,"",IFERROR(Captura_Fin!P18/Captura_Fin!F18,""))</f>
        <v>9.6108960380292732E-3</v>
      </c>
      <c r="H18" s="24">
        <f>IF(COUNT(Captura_Fin!G18,Captura_Fin!F18)&lt;2,"",IFERROR(Captura_Fin!G18/Captura_Fin!F18,""))</f>
        <v>0.91611148892102134</v>
      </c>
      <c r="I18" s="23">
        <f>IF(COUNT(Captura_Fin!O18,Captura_Fin!N18)&lt;2,"",IFERROR((Captura_Fin!O18+ABS(Captura_Fin!N18))/ABS(Captura_Fin!N18),""))</f>
        <v>4.3543854799841268</v>
      </c>
      <c r="J18" s="24">
        <f>IF(COUNT(Captura_Fin!L18,Captura_Fin!F18)&lt;2,"",IFERROR(Captura_Fin!L18/Captura_Fin!F18,""))</f>
        <v>3.280939665670974E-2</v>
      </c>
      <c r="K18" s="24">
        <f>IF(COUNT(Captura_Fin!Q18)&lt;1,"",IFERROR(IF(D18=2017,Captura_Fin!Q18/INDEX(Empresas!$I$2:$I$23,MATCH($A18,Empresas!$B$2:$B$23,0))-1,IF(COUNT(Captura_Fin!Q17)&lt;1,"",Captura_Fin!Q18/Captura_Fin!Q17-1)),""))</f>
        <v>0.19945198698307309</v>
      </c>
      <c r="L18" s="24">
        <f>IF(COUNT(Captura_Fin!P18,Captura_Fin!H18)&lt;2,"",IF(Captura_Fin!H18&lt;=0,"",Captura_Fin!P18/Captura_Fin!H18))</f>
        <v>0.11456748861570415</v>
      </c>
      <c r="M18" s="25">
        <f t="shared" si="0"/>
        <v>7</v>
      </c>
      <c r="N18" s="26" t="str">
        <f>IF(COUNT(Captura_Fin!F18,Captura_Fin!G18,Captura_Fin!H18)&lt;3,"",IF(ABS(Captura_Fin!F18-Captura_Fin!G18-Captura_Fin!H18)&lt;=0.005*ABS(Captura_Fin!F18),"OK","REVISAR"))</f>
        <v>OK</v>
      </c>
    </row>
    <row r="19" spans="1:14" ht="15" customHeight="1" x14ac:dyDescent="0.2">
      <c r="A19" s="20" t="str">
        <f>Captura_Fin!A19</f>
        <v>BCI</v>
      </c>
      <c r="B19" s="20">
        <f>Captura_Fin!B19</f>
        <v>4</v>
      </c>
      <c r="C19" s="20" t="str">
        <f>Captura_Fin!C19</f>
        <v>Financiero (bancos)</v>
      </c>
      <c r="D19" s="21">
        <f>Captura_Fin!D19</f>
        <v>2025</v>
      </c>
      <c r="E19" s="24">
        <f>IF(COUNT(Captura_Fin!I19,Captura_Fin!J19)&lt;2,"",IFERROR(Captura_Fin!I19/Captura_Fin!J19,""))</f>
        <v>7.2127581841648331E-2</v>
      </c>
      <c r="F19" s="24">
        <f>IF(COUNT(Captura_Fin!M19,Captura_Fin!L19)&lt;2,"",IFERROR(ABS(Captura_Fin!M19)/Captura_Fin!L19,""))</f>
        <v>0.51662428740829791</v>
      </c>
      <c r="G19" s="24">
        <f>IF(COUNT(Captura_Fin!P19,Captura_Fin!F19)&lt;2,"",IFERROR(Captura_Fin!P19/Captura_Fin!F19,""))</f>
        <v>1.2213636955502448E-2</v>
      </c>
      <c r="H19" s="24">
        <f>IF(COUNT(Captura_Fin!G19,Captura_Fin!F19)&lt;2,"",IFERROR(Captura_Fin!G19/Captura_Fin!F19,""))</f>
        <v>0.90870802746006296</v>
      </c>
      <c r="I19" s="23">
        <f>IF(COUNT(Captura_Fin!O19,Captura_Fin!N19)&lt;2,"",IFERROR((Captura_Fin!O19+ABS(Captura_Fin!N19))/ABS(Captura_Fin!N19),""))</f>
        <v>4.734983592729356</v>
      </c>
      <c r="J19" s="24">
        <f>IF(COUNT(Captura_Fin!L19,Captura_Fin!F19)&lt;2,"",IFERROR(Captura_Fin!L19/Captura_Fin!F19,""))</f>
        <v>3.7505591338565902E-2</v>
      </c>
      <c r="K19" s="24">
        <f>IF(COUNT(Captura_Fin!Q19)&lt;1,"",IFERROR(IF(D19=2017,Captura_Fin!Q19/INDEX(Empresas!$I$2:$I$23,MATCH($A19,Empresas!$B$2:$B$23,0))-1,IF(COUNT(Captura_Fin!Q18)&lt;1,"",Captura_Fin!Q19/Captura_Fin!Q18-1)),""))</f>
        <v>1.1852476480957508</v>
      </c>
      <c r="L19" s="24">
        <f>IF(COUNT(Captura_Fin!P19,Captura_Fin!H19)&lt;2,"",IF(Captura_Fin!H19&lt;=0,"",Captura_Fin!P19/Captura_Fin!H19))</f>
        <v>0.13378653802402413</v>
      </c>
      <c r="M19" s="25">
        <f t="shared" si="0"/>
        <v>7</v>
      </c>
      <c r="N19" s="26" t="str">
        <f>IF(COUNT(Captura_Fin!F19,Captura_Fin!G19,Captura_Fin!H19)&lt;3,"",IF(ABS(Captura_Fin!F19-Captura_Fin!G19-Captura_Fin!H19)&lt;=0.005*ABS(Captura_Fin!F19),"OK","REVISAR"))</f>
        <v>OK</v>
      </c>
    </row>
    <row r="20" spans="1:14" ht="15" customHeight="1" x14ac:dyDescent="0.2">
      <c r="A20" s="20" t="str">
        <f>Captura_Fin!A20</f>
        <v>BSANTANDER</v>
      </c>
      <c r="B20" s="20">
        <f>Captura_Fin!B20</f>
        <v>4</v>
      </c>
      <c r="C20" s="20" t="str">
        <f>Captura_Fin!C20</f>
        <v>Financiero (bancos)</v>
      </c>
      <c r="D20" s="21">
        <f>Captura_Fin!D20</f>
        <v>2017</v>
      </c>
      <c r="E20" s="24">
        <f>IF(COUNT(Captura_Fin!I20,Captura_Fin!J20)&lt;2,"",IFERROR(Captura_Fin!I20/Captura_Fin!J20,""))</f>
        <v>7.3819419065363462E-2</v>
      </c>
      <c r="F20" s="24">
        <f>IF(COUNT(Captura_Fin!M20,Captura_Fin!L20)&lt;2,"",IFERROR(ABS(Captura_Fin!M20)/Captura_Fin!L20,""))</f>
        <v>0.44251095508838961</v>
      </c>
      <c r="G20" s="24">
        <f>IF(COUNT(Captura_Fin!P20,Captura_Fin!F20)&lt;2,"",IFERROR(Captura_Fin!P20/Captura_Fin!F20,""))</f>
        <v>1.6122737731990078E-2</v>
      </c>
      <c r="H20" s="24">
        <f>IF(COUNT(Captura_Fin!G20,Captura_Fin!F20)&lt;2,"",IFERROR(Captura_Fin!G20/Captura_Fin!F20,""))</f>
        <v>0.91319297338734284</v>
      </c>
      <c r="I20" s="23">
        <f>IF(COUNT(Captura_Fin!O20,Captura_Fin!N20)&lt;2,"",IFERROR((Captura_Fin!O20+ABS(Captura_Fin!N20))/ABS(Captura_Fin!N20),""))</f>
        <v>3.4093046573419561</v>
      </c>
      <c r="J20" s="24">
        <f>IF(COUNT(Captura_Fin!L20,Captura_Fin!F20)&lt;2,"",IFERROR(Captura_Fin!L20/Captura_Fin!F20,""))</f>
        <v>5.0906457298022956E-2</v>
      </c>
      <c r="K20" s="24">
        <f>IF(COUNT(Captura_Fin!Q20)&lt;1,"",IFERROR(IF(D20=2017,Captura_Fin!Q20/INDEX(Empresas!$I$2:$I$23,MATCH($A20,Empresas!$B$2:$B$23,0))-1,IF(COUNT(Captura_Fin!Q19)&lt;1,"",Captura_Fin!Q20/Captura_Fin!Q19-1)),""))</f>
        <v>0.35147819815277748</v>
      </c>
      <c r="L20" s="24">
        <f>IF(COUNT(Captura_Fin!P20,Captura_Fin!H20)&lt;2,"",IF(Captura_Fin!H20&lt;=0,"",Captura_Fin!P20/Captura_Fin!H20))</f>
        <v>0.18573079117122143</v>
      </c>
      <c r="M20" s="25">
        <f t="shared" si="0"/>
        <v>7</v>
      </c>
      <c r="N20" s="26" t="str">
        <f>IF(COUNT(Captura_Fin!F20,Captura_Fin!G20,Captura_Fin!H20)&lt;3,"",IF(ABS(Captura_Fin!F20-Captura_Fin!G20-Captura_Fin!H20)&lt;=0.005*ABS(Captura_Fin!F20),"OK","REVISAR"))</f>
        <v>OK</v>
      </c>
    </row>
    <row r="21" spans="1:14" ht="15" customHeight="1" x14ac:dyDescent="0.2">
      <c r="A21" s="20" t="str">
        <f>Captura_Fin!A21</f>
        <v>BSANTANDER</v>
      </c>
      <c r="B21" s="20">
        <f>Captura_Fin!B21</f>
        <v>4</v>
      </c>
      <c r="C21" s="20" t="str">
        <f>Captura_Fin!C21</f>
        <v>Financiero (bancos)</v>
      </c>
      <c r="D21" s="21">
        <f>Captura_Fin!D21</f>
        <v>2018</v>
      </c>
      <c r="E21" s="24">
        <f>IF(COUNT(Captura_Fin!I21,Captura_Fin!J21)&lt;2,"",IFERROR(Captura_Fin!I21/Captura_Fin!J21,""))</f>
        <v>9.4704876411076486E-2</v>
      </c>
      <c r="F21" s="24">
        <f>IF(COUNT(Captura_Fin!M21,Captura_Fin!L21)&lt;2,"",IFERROR(ABS(Captura_Fin!M21)/Captura_Fin!L21,""))</f>
        <v>0.41501064134007909</v>
      </c>
      <c r="G21" s="24">
        <f>IF(COUNT(Captura_Fin!P21,Captura_Fin!F21)&lt;2,"",IFERROR(Captura_Fin!P21/Captura_Fin!F21,""))</f>
        <v>1.5211791325925147E-2</v>
      </c>
      <c r="H21" s="24">
        <f>IF(COUNT(Captura_Fin!G21,Captura_Fin!F21)&lt;2,"",IFERROR(Captura_Fin!G21/Captura_Fin!F21,""))</f>
        <v>0.91617523896254638</v>
      </c>
      <c r="I21" s="23">
        <f>IF(COUNT(Captura_Fin!O21,Captura_Fin!N21)&lt;2,"",IFERROR((Captura_Fin!O21+ABS(Captura_Fin!N21))/ABS(Captura_Fin!N21),""))</f>
        <v>3.3444914407001245</v>
      </c>
      <c r="J21" s="24">
        <f>IF(COUNT(Captura_Fin!L21,Captura_Fin!F21)&lt;2,"",IFERROR(Captura_Fin!L21/Captura_Fin!F21,""))</f>
        <v>4.7193514787068798E-2</v>
      </c>
      <c r="K21" s="24">
        <f>IF(COUNT(Captura_Fin!Q21)&lt;1,"",IFERROR(IF(D21=2017,Captura_Fin!Q21/INDEX(Empresas!$I$2:$I$23,MATCH($A21,Empresas!$B$2:$B$23,0))-1,IF(COUNT(Captura_Fin!Q20)&lt;1,"",Captura_Fin!Q21/Captura_Fin!Q20-1)),""))</f>
        <v>0.12095706752532465</v>
      </c>
      <c r="L21" s="24">
        <f>IF(COUNT(Captura_Fin!P21,Captura_Fin!H21)&lt;2,"",IF(Captura_Fin!H21&lt;=0,"",Captura_Fin!P21/Captura_Fin!H21))</f>
        <v>0.18147133541040913</v>
      </c>
      <c r="M21" s="25">
        <f t="shared" si="0"/>
        <v>7</v>
      </c>
      <c r="N21" s="26" t="str">
        <f>IF(COUNT(Captura_Fin!F21,Captura_Fin!G21,Captura_Fin!H21)&lt;3,"",IF(ABS(Captura_Fin!F21-Captura_Fin!G21-Captura_Fin!H21)&lt;=0.005*ABS(Captura_Fin!F21),"OK","REVISAR"))</f>
        <v>OK</v>
      </c>
    </row>
    <row r="22" spans="1:14" ht="15" customHeight="1" x14ac:dyDescent="0.2">
      <c r="A22" s="20" t="str">
        <f>Captura_Fin!A22</f>
        <v>BSANTANDER</v>
      </c>
      <c r="B22" s="20">
        <f>Captura_Fin!B22</f>
        <v>4</v>
      </c>
      <c r="C22" s="20" t="str">
        <f>Captura_Fin!C22</f>
        <v>Financiero (bancos)</v>
      </c>
      <c r="D22" s="21">
        <f>Captura_Fin!D22</f>
        <v>2019</v>
      </c>
      <c r="E22" s="24">
        <f>IF(COUNT(Captura_Fin!I22,Captura_Fin!J22)&lt;2,"",IFERROR(Captura_Fin!I22/Captura_Fin!J22,""))</f>
        <v>0.15131895792164654</v>
      </c>
      <c r="F22" s="24">
        <f>IF(COUNT(Captura_Fin!M22,Captura_Fin!L22)&lt;2,"",IFERROR(ABS(Captura_Fin!M22)/Captura_Fin!L22,""))</f>
        <v>0.42034890269142583</v>
      </c>
      <c r="G22" s="24">
        <f>IF(COUNT(Captura_Fin!P22,Captura_Fin!F22)&lt;2,"",IFERROR(Captura_Fin!P22/Captura_Fin!F22,""))</f>
        <v>1.0956805421840844E-2</v>
      </c>
      <c r="H22" s="24">
        <f>IF(COUNT(Captura_Fin!G22,Captura_Fin!F22)&lt;2,"",IFERROR(Captura_Fin!G22/Captura_Fin!F22,""))</f>
        <v>0.93138716198264371</v>
      </c>
      <c r="I22" s="23">
        <f>IF(COUNT(Captura_Fin!O22,Captura_Fin!N22)&lt;2,"",IFERROR((Captura_Fin!O22+ABS(Captura_Fin!N22))/ABS(Captura_Fin!N22),""))</f>
        <v>2.6711856666833156</v>
      </c>
      <c r="J22" s="24">
        <f>IF(COUNT(Captura_Fin!L22,Captura_Fin!F22)&lt;2,"",IFERROR(Captura_Fin!L22/Captura_Fin!F22,""))</f>
        <v>3.8268507769130627E-2</v>
      </c>
      <c r="K22" s="24">
        <f>IF(COUNT(Captura_Fin!Q22)&lt;1,"",IFERROR(IF(D22=2017,Captura_Fin!Q22/INDEX(Empresas!$I$2:$I$23,MATCH($A22,Empresas!$B$2:$B$23,0))-1,IF(COUNT(Captura_Fin!Q21)&lt;1,"",Captura_Fin!Q22/Captura_Fin!Q21-1)),""))</f>
        <v>-0.13629517914835543</v>
      </c>
      <c r="L22" s="24">
        <f>IF(COUNT(Captura_Fin!P22,Captura_Fin!H22)&lt;2,"",IF(Captura_Fin!H22&lt;=0,"",Captura_Fin!P22/Captura_Fin!H22))</f>
        <v>0.15969031071224907</v>
      </c>
      <c r="M22" s="25">
        <f t="shared" si="0"/>
        <v>7</v>
      </c>
      <c r="N22" s="26" t="str">
        <f>IF(COUNT(Captura_Fin!F22,Captura_Fin!G22,Captura_Fin!H22)&lt;3,"",IF(ABS(Captura_Fin!F22-Captura_Fin!G22-Captura_Fin!H22)&lt;=0.005*ABS(Captura_Fin!F22),"OK","REVISAR"))</f>
        <v>OK</v>
      </c>
    </row>
    <row r="23" spans="1:14" ht="15" customHeight="1" x14ac:dyDescent="0.2">
      <c r="A23" s="20" t="str">
        <f>Captura_Fin!A23</f>
        <v>BSANTANDER</v>
      </c>
      <c r="B23" s="20">
        <f>Captura_Fin!B23</f>
        <v>4</v>
      </c>
      <c r="C23" s="20" t="str">
        <f>Captura_Fin!C23</f>
        <v>Financiero (bancos)</v>
      </c>
      <c r="D23" s="21">
        <f>Captura_Fin!D23</f>
        <v>2020</v>
      </c>
      <c r="E23" s="24">
        <f>IF(COUNT(Captura_Fin!I23,Captura_Fin!J23)&lt;2,"",IFERROR(Captura_Fin!I23/Captura_Fin!J23,""))</f>
        <v>0.11149517688724084</v>
      </c>
      <c r="F23" s="24">
        <f>IF(COUNT(Captura_Fin!M23,Captura_Fin!L23)&lt;2,"",IFERROR(ABS(Captura_Fin!M23)/Captura_Fin!L23,""))</f>
        <v>0.42531502502268614</v>
      </c>
      <c r="G23" s="24">
        <f>IF(COUNT(Captura_Fin!P23,Captura_Fin!F23)&lt;2,"",IFERROR(Captura_Fin!P23/Captura_Fin!F23,""))</f>
        <v>9.3689450407205936E-3</v>
      </c>
      <c r="H23" s="24">
        <f>IF(COUNT(Captura_Fin!G23,Captura_Fin!F23)&lt;2,"",IFERROR(Captura_Fin!G23/Captura_Fin!F23,""))</f>
        <v>0.93451316054372202</v>
      </c>
      <c r="I23" s="23">
        <f>IF(COUNT(Captura_Fin!O23,Captura_Fin!N23)&lt;2,"",IFERROR((Captura_Fin!O23+ABS(Captura_Fin!N23))/ABS(Captura_Fin!N23),""))</f>
        <v>2.2790462419263</v>
      </c>
      <c r="J23" s="24">
        <f>IF(COUNT(Captura_Fin!L23,Captura_Fin!F23)&lt;2,"",IFERROR(Captura_Fin!L23/Captura_Fin!F23,""))</f>
        <v>3.6294467249821098E-2</v>
      </c>
      <c r="K23" s="24">
        <f>IF(COUNT(Captura_Fin!Q23)&lt;1,"",IFERROR(IF(D23=2017,Captura_Fin!Q23/INDEX(Empresas!$I$2:$I$23,MATCH($A23,Empresas!$B$2:$B$23,0))-1,IF(COUNT(Captura_Fin!Q22)&lt;1,"",Captura_Fin!Q23/Captura_Fin!Q22-1)),""))</f>
        <v>-0.16376167836387767</v>
      </c>
      <c r="L23" s="24">
        <f>IF(COUNT(Captura_Fin!P23,Captura_Fin!H23)&lt;2,"",IF(Captura_Fin!H23&lt;=0,"",Captura_Fin!P23/Captura_Fin!H23))</f>
        <v>0.14306607432132573</v>
      </c>
      <c r="M23" s="25">
        <f t="shared" si="0"/>
        <v>7</v>
      </c>
      <c r="N23" s="26" t="str">
        <f>IF(COUNT(Captura_Fin!F23,Captura_Fin!G23,Captura_Fin!H23)&lt;3,"",IF(ABS(Captura_Fin!F23-Captura_Fin!G23-Captura_Fin!H23)&lt;=0.005*ABS(Captura_Fin!F23),"OK","REVISAR"))</f>
        <v>OK</v>
      </c>
    </row>
    <row r="24" spans="1:14" ht="15" customHeight="1" x14ac:dyDescent="0.2">
      <c r="A24" s="20" t="str">
        <f>Captura_Fin!A24</f>
        <v>BSANTANDER</v>
      </c>
      <c r="B24" s="20">
        <f>Captura_Fin!B24</f>
        <v>4</v>
      </c>
      <c r="C24" s="20" t="str">
        <f>Captura_Fin!C24</f>
        <v>Financiero (bancos)</v>
      </c>
      <c r="D24" s="21">
        <f>Captura_Fin!D24</f>
        <v>2021</v>
      </c>
      <c r="E24" s="24">
        <f>IF(COUNT(Captura_Fin!I24,Captura_Fin!J24)&lt;2,"",IFERROR(Captura_Fin!I24/Captura_Fin!J24,""))</f>
        <v>0.10279533103479299</v>
      </c>
      <c r="F24" s="24">
        <f>IF(COUNT(Captura_Fin!M24,Captura_Fin!L24)&lt;2,"",IFERROR(ABS(Captura_Fin!M24)/Captura_Fin!L24,""))</f>
        <v>0.39818304596016513</v>
      </c>
      <c r="G24" s="24">
        <f>IF(COUNT(Captura_Fin!P24,Captura_Fin!F24)&lt;2,"",IFERROR(Captura_Fin!P24/Captura_Fin!F24,""))</f>
        <v>1.2327742485691098E-2</v>
      </c>
      <c r="H24" s="24">
        <f>IF(COUNT(Captura_Fin!G24,Captura_Fin!F24)&lt;2,"",IFERROR(Captura_Fin!G24/Captura_Fin!F24,""))</f>
        <v>0.94511506607597406</v>
      </c>
      <c r="I24" s="23">
        <f>IF(COUNT(Captura_Fin!O24,Captura_Fin!N24)&lt;2,"",IFERROR((Captura_Fin!O24+ABS(Captura_Fin!N24))/ABS(Captura_Fin!N24),""))</f>
        <v>3.4153337853664549</v>
      </c>
      <c r="J24" s="24">
        <f>IF(COUNT(Captura_Fin!L24,Captura_Fin!F24)&lt;2,"",IFERROR(Captura_Fin!L24/Captura_Fin!F24,""))</f>
        <v>3.6166450909185147E-2</v>
      </c>
      <c r="K24" s="24">
        <f>IF(COUNT(Captura_Fin!Q24)&lt;1,"",IFERROR(IF(D24=2017,Captura_Fin!Q24/INDEX(Empresas!$I$2:$I$23,MATCH($A24,Empresas!$B$2:$B$23,0))-1,IF(COUNT(Captura_Fin!Q23)&lt;1,"",Captura_Fin!Q24/Captura_Fin!Q23-1)),""))</f>
        <v>4.4098085339218107E-2</v>
      </c>
      <c r="L24" s="24">
        <f>IF(COUNT(Captura_Fin!P24,Captura_Fin!H24)&lt;2,"",IF(Captura_Fin!H24&lt;=0,"",Captura_Fin!P24/Captura_Fin!H24))</f>
        <v>0.22461068282883781</v>
      </c>
      <c r="M24" s="25">
        <f t="shared" si="0"/>
        <v>7</v>
      </c>
      <c r="N24" s="26" t="str">
        <f>IF(COUNT(Captura_Fin!F24,Captura_Fin!G24,Captura_Fin!H24)&lt;3,"",IF(ABS(Captura_Fin!F24-Captura_Fin!G24-Captura_Fin!H24)&lt;=0.005*ABS(Captura_Fin!F24),"OK","REVISAR"))</f>
        <v>OK</v>
      </c>
    </row>
    <row r="25" spans="1:14" ht="15" customHeight="1" x14ac:dyDescent="0.2">
      <c r="A25" s="20" t="str">
        <f>Captura_Fin!A25</f>
        <v>BSANTANDER</v>
      </c>
      <c r="B25" s="20">
        <f>Captura_Fin!B25</f>
        <v>4</v>
      </c>
      <c r="C25" s="20" t="str">
        <f>Captura_Fin!C25</f>
        <v>Financiero (bancos)</v>
      </c>
      <c r="D25" s="21">
        <f>Captura_Fin!D25</f>
        <v>2022</v>
      </c>
      <c r="E25" s="24">
        <f>IF(COUNT(Captura_Fin!I25,Captura_Fin!J25)&lt;2,"",IFERROR(Captura_Fin!I25/Captura_Fin!J25,""))</f>
        <v>7.3265879608189616E-2</v>
      </c>
      <c r="F25" s="24">
        <f>IF(COUNT(Captura_Fin!M25,Captura_Fin!L25)&lt;2,"",IFERROR(ABS(Captura_Fin!M25)/Captura_Fin!L25,""))</f>
        <v>0.42814238093376217</v>
      </c>
      <c r="G25" s="24">
        <f>IF(COUNT(Captura_Fin!P25,Captura_Fin!F25)&lt;2,"",IFERROR(Captura_Fin!P25/Captura_Fin!F25,""))</f>
        <v>1.2086288702109482E-2</v>
      </c>
      <c r="H25" s="24">
        <f>IF(COUNT(Captura_Fin!G25,Captura_Fin!F25)&lt;2,"",IFERROR(Captura_Fin!G25/Captura_Fin!F25,""))</f>
        <v>0.93782151781086742</v>
      </c>
      <c r="I25" s="23">
        <f>IF(COUNT(Captura_Fin!O25,Captura_Fin!N25)&lt;2,"",IFERROR((Captura_Fin!O25+ABS(Captura_Fin!N25))/ABS(Captura_Fin!N25),""))</f>
        <v>3.4635060684445786</v>
      </c>
      <c r="J25" s="24">
        <f>IF(COUNT(Captura_Fin!L25,Captura_Fin!F25)&lt;2,"",IFERROR(Captura_Fin!L25/Captura_Fin!F25,""))</f>
        <v>3.2939949741079062E-2</v>
      </c>
      <c r="K25" s="24">
        <f>IF(COUNT(Captura_Fin!Q25)&lt;1,"",IFERROR(IF(D25=2017,Captura_Fin!Q25/INDEX(Empresas!$I$2:$I$23,MATCH($A25,Empresas!$B$2:$B$23,0))-1,IF(COUNT(Captura_Fin!Q24)&lt;1,"",Captura_Fin!Q25/Captura_Fin!Q24-1)),""))</f>
        <v>4.912620500613607E-2</v>
      </c>
      <c r="L25" s="24">
        <f>IF(COUNT(Captura_Fin!P25,Captura_Fin!H25)&lt;2,"",IF(Captura_Fin!H25&lt;=0,"",Captura_Fin!P25/Captura_Fin!H25))</f>
        <v>0.19438056827031888</v>
      </c>
      <c r="M25" s="25">
        <f t="shared" si="0"/>
        <v>7</v>
      </c>
      <c r="N25" s="26" t="str">
        <f>IF(COUNT(Captura_Fin!F25,Captura_Fin!G25,Captura_Fin!H25)&lt;3,"",IF(ABS(Captura_Fin!F25-Captura_Fin!G25-Captura_Fin!H25)&lt;=0.005*ABS(Captura_Fin!F25),"OK","REVISAR"))</f>
        <v>OK</v>
      </c>
    </row>
    <row r="26" spans="1:14" ht="15" customHeight="1" x14ac:dyDescent="0.2">
      <c r="A26" s="20" t="str">
        <f>Captura_Fin!A26</f>
        <v>BSANTANDER</v>
      </c>
      <c r="B26" s="20">
        <f>Captura_Fin!B26</f>
        <v>4</v>
      </c>
      <c r="C26" s="20" t="str">
        <f>Captura_Fin!C26</f>
        <v>Financiero (bancos)</v>
      </c>
      <c r="D26" s="21">
        <f>Captura_Fin!D26</f>
        <v>2023</v>
      </c>
      <c r="E26" s="24">
        <f>IF(COUNT(Captura_Fin!I26,Captura_Fin!J26)&lt;2,"",IFERROR(Captura_Fin!I26/Captura_Fin!J26,""))</f>
        <v>9.1767878068146139E-2</v>
      </c>
      <c r="F26" s="24">
        <f>IF(COUNT(Captura_Fin!M26,Captura_Fin!L26)&lt;2,"",IFERROR(ABS(Captura_Fin!M26)/Captura_Fin!L26,""))</f>
        <v>0.46640488922494483</v>
      </c>
      <c r="G26" s="24">
        <f>IF(COUNT(Captura_Fin!P26,Captura_Fin!F26)&lt;2,"",IFERROR(Captura_Fin!P26/Captura_Fin!F26,""))</f>
        <v>7.2089879578814088E-3</v>
      </c>
      <c r="H26" s="24">
        <f>IF(COUNT(Captura_Fin!G26,Captura_Fin!F26)&lt;2,"",IFERROR(Captura_Fin!G26/Captura_Fin!F26,""))</f>
        <v>0.93660700832897636</v>
      </c>
      <c r="I26" s="23">
        <f>IF(COUNT(Captura_Fin!O26,Captura_Fin!N26)&lt;2,"",IFERROR((Captura_Fin!O26+ABS(Captura_Fin!N26))/ABS(Captura_Fin!N26),""))</f>
        <v>2.1975587278217517</v>
      </c>
      <c r="J26" s="24">
        <f>IF(COUNT(Captura_Fin!L26,Captura_Fin!F26)&lt;2,"",IFERROR(Captura_Fin!L26/Captura_Fin!F26,""))</f>
        <v>2.7526141938946654E-2</v>
      </c>
      <c r="K26" s="24">
        <f>IF(COUNT(Captura_Fin!Q26)&lt;1,"",IFERROR(IF(D26=2017,Captura_Fin!Q26/INDEX(Empresas!$I$2:$I$23,MATCH($A26,Empresas!$B$2:$B$23,0))-1,IF(COUNT(Captura_Fin!Q25)&lt;1,"",Captura_Fin!Q26/Captura_Fin!Q25-1)),""))</f>
        <v>0.35893501457299704</v>
      </c>
      <c r="L26" s="24">
        <f>IF(COUNT(Captura_Fin!P26,Captura_Fin!H26)&lt;2,"",IF(Captura_Fin!H26&lt;=0,"",Captura_Fin!P26/Captura_Fin!H26))</f>
        <v>0.11371900533251815</v>
      </c>
      <c r="M26" s="25">
        <f t="shared" si="0"/>
        <v>7</v>
      </c>
      <c r="N26" s="26" t="str">
        <f>IF(COUNT(Captura_Fin!F26,Captura_Fin!G26,Captura_Fin!H26)&lt;3,"",IF(ABS(Captura_Fin!F26-Captura_Fin!G26-Captura_Fin!H26)&lt;=0.005*ABS(Captura_Fin!F26),"OK","REVISAR"))</f>
        <v>OK</v>
      </c>
    </row>
    <row r="27" spans="1:14" ht="15" customHeight="1" x14ac:dyDescent="0.2">
      <c r="A27" s="20" t="str">
        <f>Captura_Fin!A27</f>
        <v>BSANTANDER</v>
      </c>
      <c r="B27" s="20">
        <f>Captura_Fin!B27</f>
        <v>4</v>
      </c>
      <c r="C27" s="20" t="str">
        <f>Captura_Fin!C27</f>
        <v>Financiero (bancos)</v>
      </c>
      <c r="D27" s="21">
        <f>Captura_Fin!D27</f>
        <v>2024</v>
      </c>
      <c r="E27" s="24">
        <f>IF(COUNT(Captura_Fin!I27,Captura_Fin!J27)&lt;2,"",IFERROR(Captura_Fin!I27/Captura_Fin!J27,""))</f>
        <v>8.5957447812556334E-2</v>
      </c>
      <c r="F27" s="24">
        <f>IF(COUNT(Captura_Fin!M27,Captura_Fin!L27)&lt;2,"",IFERROR(ABS(Captura_Fin!M27)/Captura_Fin!L27,""))</f>
        <v>0.38992370650038854</v>
      </c>
      <c r="G27" s="24">
        <f>IF(COUNT(Captura_Fin!P27,Captura_Fin!F27)&lt;2,"",IFERROR(Captura_Fin!P27/Captura_Fin!F27,""))</f>
        <v>1.2628136978714722E-2</v>
      </c>
      <c r="H27" s="24">
        <f>IF(COUNT(Captura_Fin!G27,Captura_Fin!F27)&lt;2,"",IFERROR(Captura_Fin!G27/Captura_Fin!F27,""))</f>
        <v>0.93577414503525647</v>
      </c>
      <c r="I27" s="23">
        <f>IF(COUNT(Captura_Fin!O27,Captura_Fin!N27)&lt;2,"",IFERROR((Captura_Fin!O27+ABS(Captura_Fin!N27))/ABS(Captura_Fin!N27),""))</f>
        <v>3.0430879143805805</v>
      </c>
      <c r="J27" s="24">
        <f>IF(COUNT(Captura_Fin!L27,Captura_Fin!F27)&lt;2,"",IFERROR(Captura_Fin!L27/Captura_Fin!F27,""))</f>
        <v>3.831304275794721E-2</v>
      </c>
      <c r="K27" s="24">
        <f>IF(COUNT(Captura_Fin!Q27)&lt;1,"",IFERROR(IF(D27=2017,Captura_Fin!Q27/INDEX(Empresas!$I$2:$I$23,MATCH($A27,Empresas!$B$2:$B$23,0))-1,IF(COUNT(Captura_Fin!Q26)&lt;1,"",Captura_Fin!Q27/Captura_Fin!Q26-1)),""))</f>
        <v>0.14646141537652735</v>
      </c>
      <c r="L27" s="24">
        <f>IF(COUNT(Captura_Fin!P27,Captura_Fin!H27)&lt;2,"",IF(Captura_Fin!H27&lt;=0,"",Captura_Fin!P27/Captura_Fin!H27))</f>
        <v>0.19662076877990795</v>
      </c>
      <c r="M27" s="25">
        <f t="shared" si="0"/>
        <v>7</v>
      </c>
      <c r="N27" s="26" t="str">
        <f>IF(COUNT(Captura_Fin!F27,Captura_Fin!G27,Captura_Fin!H27)&lt;3,"",IF(ABS(Captura_Fin!F27-Captura_Fin!G27-Captura_Fin!H27)&lt;=0.005*ABS(Captura_Fin!F27),"OK","REVISAR"))</f>
        <v>OK</v>
      </c>
    </row>
    <row r="28" spans="1:14" ht="15" customHeight="1" x14ac:dyDescent="0.2">
      <c r="A28" s="20" t="str">
        <f>Captura_Fin!A28</f>
        <v>BSANTANDER</v>
      </c>
      <c r="B28" s="20">
        <f>Captura_Fin!B28</f>
        <v>4</v>
      </c>
      <c r="C28" s="20" t="str">
        <f>Captura_Fin!C28</f>
        <v>Financiero (bancos)</v>
      </c>
      <c r="D28" s="21">
        <f>Captura_Fin!D28</f>
        <v>2025</v>
      </c>
      <c r="E28" s="24">
        <f>IF(COUNT(Captura_Fin!I28,Captura_Fin!J28)&lt;2,"",IFERROR(Captura_Fin!I28/Captura_Fin!J28,""))</f>
        <v>6.4628228770411564E-2</v>
      </c>
      <c r="F28" s="24">
        <f>IF(COUNT(Captura_Fin!M28,Captura_Fin!L28)&lt;2,"",IFERROR(ABS(Captura_Fin!M28)/Captura_Fin!L28,""))</f>
        <v>0.36006910340608644</v>
      </c>
      <c r="G28" s="24">
        <f>IF(COUNT(Captura_Fin!P28,Captura_Fin!F28)&lt;2,"",IFERROR(Captura_Fin!P28/Captura_Fin!F28,""))</f>
        <v>1.5707647924682808E-2</v>
      </c>
      <c r="H28" s="24">
        <f>IF(COUNT(Captura_Fin!G28,Captura_Fin!F28)&lt;2,"",IFERROR(Captura_Fin!G28/Captura_Fin!F28,""))</f>
        <v>0.92892808399886106</v>
      </c>
      <c r="I28" s="23">
        <f>IF(COUNT(Captura_Fin!O28,Captura_Fin!N28)&lt;2,"",IFERROR((Captura_Fin!O28+ABS(Captura_Fin!N28))/ABS(Captura_Fin!N28),""))</f>
        <v>3.23046290784424</v>
      </c>
      <c r="J28" s="24">
        <f>IF(COUNT(Captura_Fin!L28,Captura_Fin!F28)&lt;2,"",IFERROR(Captura_Fin!L28/Captura_Fin!F28,""))</f>
        <v>4.2461790747243468E-2</v>
      </c>
      <c r="K28" s="24">
        <f>IF(COUNT(Captura_Fin!Q28)&lt;1,"",IFERROR(IF(D28=2017,Captura_Fin!Q28/INDEX(Empresas!$I$2:$I$23,MATCH($A28,Empresas!$B$2:$B$23,0))-1,IF(COUNT(Captura_Fin!Q27)&lt;1,"",Captura_Fin!Q28/Captura_Fin!Q27-1)),""))</f>
        <v>0.5887074078730079</v>
      </c>
      <c r="L28" s="24">
        <f>IF(COUNT(Captura_Fin!P28,Captura_Fin!H28)&lt;2,"",IF(Captura_Fin!H28&lt;=0,"",Captura_Fin!P28/Captura_Fin!H28))</f>
        <v>0.22101061584481693</v>
      </c>
      <c r="M28" s="25">
        <f t="shared" si="0"/>
        <v>7</v>
      </c>
      <c r="N28" s="26" t="str">
        <f>IF(COUNT(Captura_Fin!F28,Captura_Fin!G28,Captura_Fin!H28)&lt;3,"",IF(ABS(Captura_Fin!F28-Captura_Fin!G28-Captura_Fin!H28)&lt;=0.005*ABS(Captura_Fin!F28),"OK","REVISAR"))</f>
        <v>OK</v>
      </c>
    </row>
    <row r="29" spans="1:14" ht="15" customHeight="1" x14ac:dyDescent="0.2">
      <c r="A29" s="20" t="str">
        <f>Captura_Fin!A29</f>
        <v>ITAUCL</v>
      </c>
      <c r="B29" s="20">
        <f>Captura_Fin!B29</f>
        <v>4</v>
      </c>
      <c r="C29" s="20" t="str">
        <f>Captura_Fin!C29</f>
        <v>Financiero (bancos)</v>
      </c>
      <c r="D29" s="21">
        <f>Captura_Fin!D29</f>
        <v>2017</v>
      </c>
      <c r="E29" s="24">
        <f>IF(COUNT(Captura_Fin!I29,Captura_Fin!J29)&lt;2,"",IFERROR(Captura_Fin!I29/Captura_Fin!J29,""))</f>
        <v>6.78564163495088E-2</v>
      </c>
      <c r="F29" s="24">
        <f>IF(COUNT(Captura_Fin!M29,Captura_Fin!L29)&lt;2,"",IFERROR(ABS(Captura_Fin!M29)/Captura_Fin!L29,""))</f>
        <v>0.69167236602090854</v>
      </c>
      <c r="G29" s="24">
        <f>IF(COUNT(Captura_Fin!P29,Captura_Fin!F29)&lt;2,"",IFERROR(Captura_Fin!P29/Captura_Fin!F29,""))</f>
        <v>1.8975322613228726E-3</v>
      </c>
      <c r="H29" s="24">
        <f>IF(COUNT(Captura_Fin!G29,Captura_Fin!F29)&lt;2,"",IFERROR(Captura_Fin!G29/Captura_Fin!F29,""))</f>
        <v>0.87899450223180886</v>
      </c>
      <c r="I29" s="23">
        <f>IF(COUNT(Captura_Fin!O29,Captura_Fin!N29)&lt;2,"",IFERROR((Captura_Fin!O29+ABS(Captura_Fin!N29))/ABS(Captura_Fin!N29),""))</f>
        <v>0.96285658679279784</v>
      </c>
      <c r="J29" s="24">
        <f>IF(COUNT(Captura_Fin!L29,Captura_Fin!F29)&lt;2,"",IFERROR(Captura_Fin!L29/Captura_Fin!F29,""))</f>
        <v>3.752116100472614E-2</v>
      </c>
      <c r="K29" s="24">
        <f>IF(COUNT(Captura_Fin!Q29)&lt;1,"",IFERROR(IF(D29=2017,Captura_Fin!Q29/INDEX(Empresas!$I$2:$I$23,MATCH($A29,Empresas!$B$2:$B$23,0))-1,IF(COUNT(Captura_Fin!Q28)&lt;1,"",Captura_Fin!Q29/Captura_Fin!Q28-1)),""))</f>
        <v>-3.713337925125515E-3</v>
      </c>
      <c r="L29" s="24">
        <f>IF(COUNT(Captura_Fin!P29,Captura_Fin!H29)&lt;2,"",IF(Captura_Fin!H29&lt;=0,"",Captura_Fin!P29/Captura_Fin!H29))</f>
        <v>1.5681372303909313E-2</v>
      </c>
      <c r="M29" s="25">
        <f t="shared" si="0"/>
        <v>7</v>
      </c>
      <c r="N29" s="26" t="str">
        <f>IF(COUNT(Captura_Fin!F29,Captura_Fin!G29,Captura_Fin!H29)&lt;3,"",IF(ABS(Captura_Fin!F29-Captura_Fin!G29-Captura_Fin!H29)&lt;=0.005*ABS(Captura_Fin!F29),"OK","REVISAR"))</f>
        <v>OK</v>
      </c>
    </row>
    <row r="30" spans="1:14" ht="15" customHeight="1" x14ac:dyDescent="0.2">
      <c r="A30" s="20" t="str">
        <f>Captura_Fin!A30</f>
        <v>ITAUCL</v>
      </c>
      <c r="B30" s="20">
        <f>Captura_Fin!B30</f>
        <v>4</v>
      </c>
      <c r="C30" s="20" t="str">
        <f>Captura_Fin!C30</f>
        <v>Financiero (bancos)</v>
      </c>
      <c r="D30" s="21">
        <f>Captura_Fin!D30</f>
        <v>2018</v>
      </c>
      <c r="E30" s="24">
        <f>IF(COUNT(Captura_Fin!I30,Captura_Fin!J30)&lt;2,"",IFERROR(Captura_Fin!I30/Captura_Fin!J30,""))</f>
        <v>6.8486226133519568E-2</v>
      </c>
      <c r="F30" s="24">
        <f>IF(COUNT(Captura_Fin!M30,Captura_Fin!L30)&lt;2,"",IFERROR(ABS(Captura_Fin!M30)/Captura_Fin!L30,""))</f>
        <v>0.6018947069155357</v>
      </c>
      <c r="G30" s="24">
        <f>IF(COUNT(Captura_Fin!P30,Captura_Fin!F30)&lt;2,"",IFERROR(Captura_Fin!P30/Captura_Fin!F30,""))</f>
        <v>5.9943925654970419E-3</v>
      </c>
      <c r="H30" s="24">
        <f>IF(COUNT(Captura_Fin!G30,Captura_Fin!F30)&lt;2,"",IFERROR(Captura_Fin!G30/Captura_Fin!F30,""))</f>
        <v>0.87974973141564927</v>
      </c>
      <c r="I30" s="23">
        <f>IF(COUNT(Captura_Fin!O30,Captura_Fin!N30)&lt;2,"",IFERROR((Captura_Fin!O30+ABS(Captura_Fin!N30))/ABS(Captura_Fin!N30),""))</f>
        <v>2.0505175471153452</v>
      </c>
      <c r="J30" s="24">
        <f>IF(COUNT(Captura_Fin!L30,Captura_Fin!F30)&lt;2,"",IFERROR(Captura_Fin!L30/Captura_Fin!F30,""))</f>
        <v>4.2205850774721158E-2</v>
      </c>
      <c r="K30" s="24">
        <f>IF(COUNT(Captura_Fin!Q30)&lt;1,"",IFERROR(IF(D30=2017,Captura_Fin!Q30/INDEX(Empresas!$I$2:$I$23,MATCH($A30,Empresas!$B$2:$B$23,0))-1,IF(COUNT(Captura_Fin!Q29)&lt;1,"",Captura_Fin!Q30/Captura_Fin!Q29-1)),""))</f>
        <v>0.16666329438784611</v>
      </c>
      <c r="L30" s="24">
        <f>IF(COUNT(Captura_Fin!P30,Captura_Fin!H30)&lt;2,"",IF(Captura_Fin!H30&lt;=0,"",Captura_Fin!P30/Captura_Fin!H30))</f>
        <v>4.9849307083187223E-2</v>
      </c>
      <c r="M30" s="25">
        <f t="shared" si="0"/>
        <v>7</v>
      </c>
      <c r="N30" s="26" t="str">
        <f>IF(COUNT(Captura_Fin!F30,Captura_Fin!G30,Captura_Fin!H30)&lt;3,"",IF(ABS(Captura_Fin!F30-Captura_Fin!G30-Captura_Fin!H30)&lt;=0.005*ABS(Captura_Fin!F30),"OK","REVISAR"))</f>
        <v>OK</v>
      </c>
    </row>
    <row r="31" spans="1:14" ht="15" customHeight="1" x14ac:dyDescent="0.2">
      <c r="A31" s="20" t="str">
        <f>Captura_Fin!A31</f>
        <v>ITAUCL</v>
      </c>
      <c r="B31" s="20">
        <f>Captura_Fin!B31</f>
        <v>4</v>
      </c>
      <c r="C31" s="20" t="str">
        <f>Captura_Fin!C31</f>
        <v>Financiero (bancos)</v>
      </c>
      <c r="D31" s="21">
        <f>Captura_Fin!D31</f>
        <v>2019</v>
      </c>
      <c r="E31" s="24">
        <f>IF(COUNT(Captura_Fin!I31,Captura_Fin!J31)&lt;2,"",IFERROR(Captura_Fin!I31/Captura_Fin!J31,""))</f>
        <v>6.1216402569839817E-2</v>
      </c>
      <c r="F31" s="24">
        <f>IF(COUNT(Captura_Fin!M31,Captura_Fin!L31)&lt;2,"",IFERROR(ABS(Captura_Fin!M31)/Captura_Fin!L31,""))</f>
        <v>0.59945359700473433</v>
      </c>
      <c r="G31" s="24">
        <f>IF(COUNT(Captura_Fin!P31,Captura_Fin!F31)&lt;2,"",IFERROR(Captura_Fin!P31/Captura_Fin!F31,""))</f>
        <v>3.9207135258193804E-3</v>
      </c>
      <c r="H31" s="24">
        <f>IF(COUNT(Captura_Fin!G31,Captura_Fin!F31)&lt;2,"",IFERROR(Captura_Fin!G31/Captura_Fin!F31,""))</f>
        <v>0.89817034059422851</v>
      </c>
      <c r="I31" s="23">
        <f>IF(COUNT(Captura_Fin!O31,Captura_Fin!N31)&lt;2,"",IFERROR((Captura_Fin!O31+ABS(Captura_Fin!N31))/ABS(Captura_Fin!N31),""))</f>
        <v>1.5554753279432774</v>
      </c>
      <c r="J31" s="24">
        <f>IF(COUNT(Captura_Fin!L31,Captura_Fin!F31)&lt;2,"",IFERROR(Captura_Fin!L31/Captura_Fin!F31,""))</f>
        <v>3.6586025318946454E-2</v>
      </c>
      <c r="K31" s="24">
        <f>IF(COUNT(Captura_Fin!Q31)&lt;1,"",IFERROR(IF(D31=2017,Captura_Fin!Q31/INDEX(Empresas!$I$2:$I$23,MATCH($A31,Empresas!$B$2:$B$23,0))-1,IF(COUNT(Captura_Fin!Q30)&lt;1,"",Captura_Fin!Q31/Captura_Fin!Q30-1)),""))</f>
        <v>-0.31576567459373561</v>
      </c>
      <c r="L31" s="24">
        <f>IF(COUNT(Captura_Fin!P31,Captura_Fin!H31)&lt;2,"",IF(Captura_Fin!H31&lt;=0,"",Captura_Fin!P31/Captura_Fin!H31))</f>
        <v>3.8502667579355221E-2</v>
      </c>
      <c r="M31" s="25">
        <f t="shared" si="0"/>
        <v>7</v>
      </c>
      <c r="N31" s="26" t="str">
        <f>IF(COUNT(Captura_Fin!F31,Captura_Fin!G31,Captura_Fin!H31)&lt;3,"",IF(ABS(Captura_Fin!F31-Captura_Fin!G31-Captura_Fin!H31)&lt;=0.005*ABS(Captura_Fin!F31),"OK","REVISAR"))</f>
        <v>OK</v>
      </c>
    </row>
    <row r="32" spans="1:14" ht="15" customHeight="1" x14ac:dyDescent="0.2">
      <c r="A32" s="20" t="str">
        <f>Captura_Fin!A32</f>
        <v>ITAUCL</v>
      </c>
      <c r="B32" s="20">
        <f>Captura_Fin!B32</f>
        <v>4</v>
      </c>
      <c r="C32" s="20" t="str">
        <f>Captura_Fin!C32</f>
        <v>Financiero (bancos)</v>
      </c>
      <c r="D32" s="21">
        <f>Captura_Fin!D32</f>
        <v>2020</v>
      </c>
      <c r="E32" s="24">
        <f>IF(COUNT(Captura_Fin!I32,Captura_Fin!J32)&lt;2,"",IFERROR(Captura_Fin!I32/Captura_Fin!J32,""))</f>
        <v>0.17521211856518856</v>
      </c>
      <c r="F32" s="24">
        <f>IF(COUNT(Captura_Fin!M32,Captura_Fin!L32)&lt;2,"",IFERROR(ABS(Captura_Fin!M32)/Captura_Fin!L32,""))</f>
        <v>1.509517976545599</v>
      </c>
      <c r="G32" s="24">
        <f>IF(COUNT(Captura_Fin!P32,Captura_Fin!F32)&lt;2,"",IFERROR(Captura_Fin!P32/Captura_Fin!F32,""))</f>
        <v>-2.6301009121123396E-2</v>
      </c>
      <c r="H32" s="24">
        <f>IF(COUNT(Captura_Fin!G32,Captura_Fin!F32)&lt;2,"",IFERROR(Captura_Fin!G32/Captura_Fin!F32,""))</f>
        <v>0.93307666075703277</v>
      </c>
      <c r="I32" s="23">
        <f>IF(COUNT(Captura_Fin!O32,Captura_Fin!N32)&lt;2,"",IFERROR((Captura_Fin!O32+ABS(Captura_Fin!N32))/ABS(Captura_Fin!N32),""))</f>
        <v>-1.042313594810572</v>
      </c>
      <c r="J32" s="24">
        <f>IF(COUNT(Captura_Fin!L32,Captura_Fin!F32)&lt;2,"",IFERROR(Captura_Fin!L32/Captura_Fin!F32,""))</f>
        <v>3.0218796558682048E-2</v>
      </c>
      <c r="K32" s="24">
        <f>IF(COUNT(Captura_Fin!Q32)&lt;1,"",IFERROR(IF(D32=2017,Captura_Fin!Q32/INDEX(Empresas!$I$2:$I$23,MATCH($A32,Empresas!$B$2:$B$23,0))-1,IF(COUNT(Captura_Fin!Q31)&lt;1,"",Captura_Fin!Q32/Captura_Fin!Q31-1)),""))</f>
        <v>-0.40297381087780038</v>
      </c>
      <c r="L32" s="24">
        <f>IF(COUNT(Captura_Fin!P32,Captura_Fin!H32)&lt;2,"",IF(Captura_Fin!H32&lt;=0,"",Captura_Fin!P32/Captura_Fin!H32))</f>
        <v>-0.39300204410955625</v>
      </c>
      <c r="M32" s="25">
        <f t="shared" si="0"/>
        <v>7</v>
      </c>
      <c r="N32" s="26" t="str">
        <f>IF(COUNT(Captura_Fin!F32,Captura_Fin!G32,Captura_Fin!H32)&lt;3,"",IF(ABS(Captura_Fin!F32-Captura_Fin!G32-Captura_Fin!H32)&lt;=0.005*ABS(Captura_Fin!F32),"OK","REVISAR"))</f>
        <v>OK</v>
      </c>
    </row>
    <row r="33" spans="1:14" ht="15" customHeight="1" x14ac:dyDescent="0.2">
      <c r="A33" s="20" t="str">
        <f>Captura_Fin!A33</f>
        <v>ITAUCL</v>
      </c>
      <c r="B33" s="20">
        <f>Captura_Fin!B33</f>
        <v>4</v>
      </c>
      <c r="C33" s="20" t="str">
        <f>Captura_Fin!C33</f>
        <v>Financiero (bancos)</v>
      </c>
      <c r="D33" s="21">
        <f>Captura_Fin!D33</f>
        <v>2021</v>
      </c>
      <c r="E33" s="24">
        <f>IF(COUNT(Captura_Fin!I33,Captura_Fin!J33)&lt;2,"",IFERROR(Captura_Fin!I33/Captura_Fin!J33,""))</f>
        <v>0.19653065503918909</v>
      </c>
      <c r="F33" s="24">
        <f>IF(COUNT(Captura_Fin!M33,Captura_Fin!L33)&lt;2,"",IFERROR(ABS(Captura_Fin!M33)/Captura_Fin!L33,""))</f>
        <v>0.53905832923640251</v>
      </c>
      <c r="G33" s="24">
        <f>IF(COUNT(Captura_Fin!P33,Captura_Fin!F33)&lt;2,"",IFERROR(Captura_Fin!P33/Captura_Fin!F33,""))</f>
        <v>7.371430913160097E-3</v>
      </c>
      <c r="H33" s="24">
        <f>IF(COUNT(Captura_Fin!G33,Captura_Fin!F33)&lt;2,"",IFERROR(Captura_Fin!G33/Captura_Fin!F33,""))</f>
        <v>0.91136775061767894</v>
      </c>
      <c r="I33" s="23">
        <f>IF(COUNT(Captura_Fin!O33,Captura_Fin!N33)&lt;2,"",IFERROR((Captura_Fin!O33+ABS(Captura_Fin!N33))/ABS(Captura_Fin!N33),""))</f>
        <v>2.7646400765046057</v>
      </c>
      <c r="J33" s="24">
        <f>IF(COUNT(Captura_Fin!L33,Captura_Fin!F33)&lt;2,"",IFERROR(Captura_Fin!L33/Captura_Fin!F33,""))</f>
        <v>3.5063169152143997E-2</v>
      </c>
      <c r="K33" s="24">
        <f>IF(COUNT(Captura_Fin!Q33)&lt;1,"",IFERROR(IF(D33=2017,Captura_Fin!Q33/INDEX(Empresas!$I$2:$I$23,MATCH($A33,Empresas!$B$2:$B$23,0))-1,IF(COUNT(Captura_Fin!Q32)&lt;1,"",Captura_Fin!Q33/Captura_Fin!Q32-1)),""))</f>
        <v>-0.31046021561789461</v>
      </c>
      <c r="L33" s="24">
        <f>IF(COUNT(Captura_Fin!P33,Captura_Fin!H33)&lt;2,"",IF(Captura_Fin!H33&lt;=0,"",Captura_Fin!P33/Captura_Fin!H33))</f>
        <v>8.3168722045662405E-2</v>
      </c>
      <c r="M33" s="25">
        <f t="shared" si="0"/>
        <v>7</v>
      </c>
      <c r="N33" s="26" t="str">
        <f>IF(COUNT(Captura_Fin!F33,Captura_Fin!G33,Captura_Fin!H33)&lt;3,"",IF(ABS(Captura_Fin!F33-Captura_Fin!G33-Captura_Fin!H33)&lt;=0.005*ABS(Captura_Fin!F33),"OK","REVISAR"))</f>
        <v>OK</v>
      </c>
    </row>
    <row r="34" spans="1:14" ht="15" customHeight="1" x14ac:dyDescent="0.2">
      <c r="A34" s="20" t="str">
        <f>Captura_Fin!A34</f>
        <v>ITAUCL</v>
      </c>
      <c r="B34" s="20">
        <f>Captura_Fin!B34</f>
        <v>4</v>
      </c>
      <c r="C34" s="20" t="str">
        <f>Captura_Fin!C34</f>
        <v>Financiero (bancos)</v>
      </c>
      <c r="D34" s="21">
        <f>Captura_Fin!D34</f>
        <v>2022</v>
      </c>
      <c r="E34" s="24">
        <f>IF(COUNT(Captura_Fin!I34,Captura_Fin!J34)&lt;2,"",IFERROR(Captura_Fin!I34/Captura_Fin!J34,""))</f>
        <v>0.16667233410124627</v>
      </c>
      <c r="F34" s="24">
        <f>IF(COUNT(Captura_Fin!M34,Captura_Fin!L34)&lt;2,"",IFERROR(ABS(Captura_Fin!M34)/Captura_Fin!L34,""))</f>
        <v>0.52098434081110701</v>
      </c>
      <c r="G34" s="24">
        <f>IF(COUNT(Captura_Fin!P34,Captura_Fin!F34)&lt;2,"",IFERROR(Captura_Fin!P34/Captura_Fin!F34,""))</f>
        <v>1.0701109204361467E-2</v>
      </c>
      <c r="H34" s="24">
        <f>IF(COUNT(Captura_Fin!G34,Captura_Fin!F34)&lt;2,"",IFERROR(Captura_Fin!G34/Captura_Fin!F34,""))</f>
        <v>0.91803039644970086</v>
      </c>
      <c r="I34" s="23">
        <f>IF(COUNT(Captura_Fin!O34,Captura_Fin!N34)&lt;2,"",IFERROR((Captura_Fin!O34+ABS(Captura_Fin!N34))/ABS(Captura_Fin!N34),""))</f>
        <v>2.3779066783974163</v>
      </c>
      <c r="J34" s="24">
        <f>IF(COUNT(Captura_Fin!L34,Captura_Fin!F34)&lt;2,"",IFERROR(Captura_Fin!L34/Captura_Fin!F34,""))</f>
        <v>3.5752500132936404E-2</v>
      </c>
      <c r="K34" s="24">
        <f>IF(COUNT(Captura_Fin!Q34)&lt;1,"",IFERROR(IF(D34=2017,Captura_Fin!Q34/INDEX(Empresas!$I$2:$I$23,MATCH($A34,Empresas!$B$2:$B$23,0))-1,IF(COUNT(Captura_Fin!Q33)&lt;1,"",Captura_Fin!Q34/Captura_Fin!Q33-1)),""))</f>
        <v>0.19487996103525562</v>
      </c>
      <c r="L34" s="24">
        <f>IF(COUNT(Captura_Fin!P34,Captura_Fin!H34)&lt;2,"",IF(Captura_Fin!H34&lt;=0,"",Captura_Fin!P34/Captura_Fin!H34))</f>
        <v>0.13054972503063211</v>
      </c>
      <c r="M34" s="25">
        <f t="shared" si="0"/>
        <v>7</v>
      </c>
      <c r="N34" s="26" t="str">
        <f>IF(COUNT(Captura_Fin!F34,Captura_Fin!G34,Captura_Fin!H34)&lt;3,"",IF(ABS(Captura_Fin!F34-Captura_Fin!G34-Captura_Fin!H34)&lt;=0.005*ABS(Captura_Fin!F34),"OK","REVISAR"))</f>
        <v>OK</v>
      </c>
    </row>
    <row r="35" spans="1:14" ht="15" customHeight="1" x14ac:dyDescent="0.2">
      <c r="A35" s="20" t="str">
        <f>Captura_Fin!A35</f>
        <v>ITAUCL</v>
      </c>
      <c r="B35" s="20">
        <f>Captura_Fin!B35</f>
        <v>4</v>
      </c>
      <c r="C35" s="20" t="str">
        <f>Captura_Fin!C35</f>
        <v>Financiero (bancos)</v>
      </c>
      <c r="D35" s="21">
        <f>Captura_Fin!D35</f>
        <v>2023</v>
      </c>
      <c r="E35" s="24">
        <f>IF(COUNT(Captura_Fin!I35,Captura_Fin!J35)&lt;2,"",IFERROR(Captura_Fin!I35/Captura_Fin!J35,""))</f>
        <v>0.12418549779993159</v>
      </c>
      <c r="F35" s="24">
        <f>IF(COUNT(Captura_Fin!M35,Captura_Fin!L35)&lt;2,"",IFERROR(ABS(Captura_Fin!M35)/Captura_Fin!L35,""))</f>
        <v>0.51082088046934782</v>
      </c>
      <c r="G35" s="24">
        <f>IF(COUNT(Captura_Fin!P35,Captura_Fin!F35)&lt;2,"",IFERROR(Captura_Fin!P35/Captura_Fin!F35,""))</f>
        <v>8.4503612490689963E-3</v>
      </c>
      <c r="H35" s="24">
        <f>IF(COUNT(Captura_Fin!G35,Captura_Fin!F35)&lt;2,"",IFERROR(Captura_Fin!G35/Captura_Fin!F35,""))</f>
        <v>0.91102682886784347</v>
      </c>
      <c r="I35" s="23">
        <f>IF(COUNT(Captura_Fin!O35,Captura_Fin!N35)&lt;2,"",IFERROR((Captura_Fin!O35+ABS(Captura_Fin!N35))/ABS(Captura_Fin!N35),""))</f>
        <v>2.0988060430510922</v>
      </c>
      <c r="J35" s="24">
        <f>IF(COUNT(Captura_Fin!L35,Captura_Fin!F35)&lt;2,"",IFERROR(Captura_Fin!L35/Captura_Fin!F35,""))</f>
        <v>3.5764969492576876E-2</v>
      </c>
      <c r="K35" s="24">
        <f>IF(COUNT(Captura_Fin!Q35)&lt;1,"",IFERROR(IF(D35=2017,Captura_Fin!Q35/INDEX(Empresas!$I$2:$I$23,MATCH($A35,Empresas!$B$2:$B$23,0))-1,IF(COUNT(Captura_Fin!Q34)&lt;1,"",Captura_Fin!Q35/Captura_Fin!Q34-1)),""))</f>
        <v>9.4805497254165205E-2</v>
      </c>
      <c r="L35" s="24">
        <f>IF(COUNT(Captura_Fin!P35,Captura_Fin!H35)&lt;2,"",IF(Captura_Fin!H35&lt;=0,"",Captura_Fin!P35/Captura_Fin!H35))</f>
        <v>9.4976509677475743E-2</v>
      </c>
      <c r="M35" s="25">
        <f t="shared" si="0"/>
        <v>7</v>
      </c>
      <c r="N35" s="26" t="str">
        <f>IF(COUNT(Captura_Fin!F35,Captura_Fin!G35,Captura_Fin!H35)&lt;3,"",IF(ABS(Captura_Fin!F35-Captura_Fin!G35-Captura_Fin!H35)&lt;=0.005*ABS(Captura_Fin!F35),"OK","REVISAR"))</f>
        <v>OK</v>
      </c>
    </row>
    <row r="36" spans="1:14" ht="15" customHeight="1" x14ac:dyDescent="0.2">
      <c r="A36" s="20" t="str">
        <f>Captura_Fin!A36</f>
        <v>ITAUCL</v>
      </c>
      <c r="B36" s="20">
        <f>Captura_Fin!B36</f>
        <v>4</v>
      </c>
      <c r="C36" s="20" t="str">
        <f>Captura_Fin!C36</f>
        <v>Financiero (bancos)</v>
      </c>
      <c r="D36" s="21">
        <f>Captura_Fin!D36</f>
        <v>2024</v>
      </c>
      <c r="E36" s="24">
        <f>IF(COUNT(Captura_Fin!I36,Captura_Fin!J36)&lt;2,"",IFERROR(Captura_Fin!I36/Captura_Fin!J36,""))</f>
        <v>0.16065868894818949</v>
      </c>
      <c r="F36" s="24">
        <f>IF(COUNT(Captura_Fin!M36,Captura_Fin!L36)&lt;2,"",IFERROR(ABS(Captura_Fin!M36)/Captura_Fin!L36,""))</f>
        <v>0.4975079769191309</v>
      </c>
      <c r="G36" s="24">
        <f>IF(COUNT(Captura_Fin!P36,Captura_Fin!F36)&lt;2,"",IFERROR(Captura_Fin!P36/Captura_Fin!F36,""))</f>
        <v>8.8532182711932236E-3</v>
      </c>
      <c r="H36" s="24">
        <f>IF(COUNT(Captura_Fin!G36,Captura_Fin!F36)&lt;2,"",IFERROR(Captura_Fin!G36/Captura_Fin!F36,""))</f>
        <v>0.90658377707969817</v>
      </c>
      <c r="I36" s="23">
        <f>IF(COUNT(Captura_Fin!O36,Captura_Fin!N36)&lt;2,"",IFERROR((Captura_Fin!O36+ABS(Captura_Fin!N36))/ABS(Captura_Fin!N36),""))</f>
        <v>2.5225091754780662</v>
      </c>
      <c r="J36" s="24">
        <f>IF(COUNT(Captura_Fin!L36,Captura_Fin!F36)&lt;2,"",IFERROR(Captura_Fin!L36/Captura_Fin!F36,""))</f>
        <v>3.8208272219866189E-2</v>
      </c>
      <c r="K36" s="24">
        <f>IF(COUNT(Captura_Fin!Q36)&lt;1,"",IFERROR(IF(D36=2017,Captura_Fin!Q36/INDEX(Empresas!$I$2:$I$23,MATCH($A36,Empresas!$B$2:$B$23,0))-1,IF(COUNT(Captura_Fin!Q35)&lt;1,"",Captura_Fin!Q36/Captura_Fin!Q35-1)),""))</f>
        <v>0.2432819381232838</v>
      </c>
      <c r="L36" s="24">
        <f>IF(COUNT(Captura_Fin!P36,Captura_Fin!H36)&lt;2,"",IF(Captura_Fin!H36&lt;=0,"",Captura_Fin!P36/Captura_Fin!H36))</f>
        <v>9.4771743005991199E-2</v>
      </c>
      <c r="M36" s="25">
        <f t="shared" si="0"/>
        <v>7</v>
      </c>
      <c r="N36" s="26" t="str">
        <f>IF(COUNT(Captura_Fin!F36,Captura_Fin!G36,Captura_Fin!H36)&lt;3,"",IF(ABS(Captura_Fin!F36-Captura_Fin!G36-Captura_Fin!H36)&lt;=0.005*ABS(Captura_Fin!F36),"OK","REVISAR"))</f>
        <v>OK</v>
      </c>
    </row>
    <row r="37" spans="1:14" ht="15" customHeight="1" x14ac:dyDescent="0.2">
      <c r="A37" s="20" t="str">
        <f>Captura_Fin!A37</f>
        <v>ITAUCL</v>
      </c>
      <c r="B37" s="20">
        <f>Captura_Fin!B37</f>
        <v>4</v>
      </c>
      <c r="C37" s="20" t="str">
        <f>Captura_Fin!C37</f>
        <v>Financiero (bancos)</v>
      </c>
      <c r="D37" s="21">
        <f>Captura_Fin!D37</f>
        <v>2025</v>
      </c>
      <c r="E37" s="24">
        <f>IF(COUNT(Captura_Fin!I37,Captura_Fin!J37)&lt;2,"",IFERROR(Captura_Fin!I37/Captura_Fin!J37,""))</f>
        <v>0.13481312872122528</v>
      </c>
      <c r="F37" s="24">
        <f>IF(COUNT(Captura_Fin!M37,Captura_Fin!L37)&lt;2,"",IFERROR(ABS(Captura_Fin!M37)/Captura_Fin!L37,""))</f>
        <v>0.54987856650900191</v>
      </c>
      <c r="G37" s="24">
        <f>IF(COUNT(Captura_Fin!P37,Captura_Fin!F37)&lt;2,"",IFERROR(Captura_Fin!P37/Captura_Fin!F37,""))</f>
        <v>9.7482879657179531E-3</v>
      </c>
      <c r="H37" s="24">
        <f>IF(COUNT(Captura_Fin!G37,Captura_Fin!F37)&lt;2,"",IFERROR(Captura_Fin!G37/Captura_Fin!F37,""))</f>
        <v>0.90188711546377398</v>
      </c>
      <c r="I37" s="23">
        <f>IF(COUNT(Captura_Fin!O37,Captura_Fin!N37)&lt;2,"",IFERROR((Captura_Fin!O37+ABS(Captura_Fin!N37))/ABS(Captura_Fin!N37),""))</f>
        <v>2.1399419152984134</v>
      </c>
      <c r="J37" s="24">
        <f>IF(COUNT(Captura_Fin!L37,Captura_Fin!F37)&lt;2,"",IFERROR(Captura_Fin!L37/Captura_Fin!F37,""))</f>
        <v>3.4568799142849306E-2</v>
      </c>
      <c r="K37" s="24">
        <f>IF(COUNT(Captura_Fin!Q37)&lt;1,"",IFERROR(IF(D37=2017,Captura_Fin!Q37/INDEX(Empresas!$I$2:$I$23,MATCH($A37,Empresas!$B$2:$B$23,0))-1,IF(COUNT(Captura_Fin!Q36)&lt;1,"",Captura_Fin!Q37/Captura_Fin!Q36-1)),""))</f>
        <v>1.0398206235160083</v>
      </c>
      <c r="L37" s="24">
        <f>IF(COUNT(Captura_Fin!P37,Captura_Fin!H37)&lt;2,"",IF(Captura_Fin!H37&lt;=0,"",Captura_Fin!P37/Captura_Fin!H37))</f>
        <v>9.9357877528497687E-2</v>
      </c>
      <c r="M37" s="25">
        <f t="shared" si="0"/>
        <v>7</v>
      </c>
      <c r="N37" s="26" t="str">
        <f>IF(COUNT(Captura_Fin!F37,Captura_Fin!G37,Captura_Fin!H37)&lt;3,"",IF(ABS(Captura_Fin!F37-Captura_Fin!G37-Captura_Fin!H37)&lt;=0.005*ABS(Captura_Fin!F37),"OK","REVISAR"))</f>
        <v>OK</v>
      </c>
    </row>
    <row r="39" spans="1:14" ht="15" customHeight="1" x14ac:dyDescent="0.2">
      <c r="A39" s="2" t="s">
        <v>287</v>
      </c>
    </row>
    <row r="40" spans="1:14" ht="15" customHeight="1" x14ac:dyDescent="0.2">
      <c r="A40" s="2" t="s">
        <v>288</v>
      </c>
    </row>
    <row r="41" spans="1:14" ht="15" customHeight="1" x14ac:dyDescent="0.2">
      <c r="A41" s="2" t="s">
        <v>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40" customWidth="1"/>
    <col min="3" max="3" width="14" customWidth="1"/>
    <col min="4" max="4" width="12" customWidth="1"/>
    <col min="5" max="5" width="44" customWidth="1"/>
    <col min="6" max="6" width="14" customWidth="1"/>
    <col min="7" max="7" width="12" customWidth="1"/>
  </cols>
  <sheetData>
    <row r="1" spans="1:7" ht="22.25" customHeight="1" x14ac:dyDescent="0.2">
      <c r="A1" s="12" t="s">
        <v>290</v>
      </c>
      <c r="B1" s="12" t="s">
        <v>291</v>
      </c>
      <c r="C1" s="12" t="s">
        <v>292</v>
      </c>
      <c r="D1" s="12" t="s">
        <v>293</v>
      </c>
      <c r="E1" s="12" t="s">
        <v>294</v>
      </c>
      <c r="F1" s="12" t="s">
        <v>292</v>
      </c>
      <c r="G1" s="12" t="s">
        <v>293</v>
      </c>
    </row>
    <row r="2" spans="1:7" ht="15" customHeight="1" x14ac:dyDescent="0.2">
      <c r="A2" s="16" t="s">
        <v>295</v>
      </c>
      <c r="B2" s="16" t="s">
        <v>296</v>
      </c>
      <c r="C2" s="16" t="s">
        <v>297</v>
      </c>
      <c r="D2" s="16">
        <v>1</v>
      </c>
      <c r="E2" s="16" t="s">
        <v>298</v>
      </c>
      <c r="F2" s="16" t="s">
        <v>297</v>
      </c>
      <c r="G2" s="16">
        <v>1</v>
      </c>
    </row>
    <row r="3" spans="1:7" ht="15" customHeight="1" x14ac:dyDescent="0.2">
      <c r="A3" s="16" t="s">
        <v>299</v>
      </c>
      <c r="B3" s="16" t="s">
        <v>300</v>
      </c>
      <c r="C3" s="16" t="s">
        <v>297</v>
      </c>
      <c r="D3" s="16">
        <v>1</v>
      </c>
      <c r="E3" s="16" t="s">
        <v>301</v>
      </c>
      <c r="F3" s="16" t="s">
        <v>302</v>
      </c>
      <c r="G3" s="16"/>
    </row>
    <row r="4" spans="1:7" ht="15" customHeight="1" x14ac:dyDescent="0.2">
      <c r="A4" s="16" t="s">
        <v>303</v>
      </c>
      <c r="B4" s="16" t="s">
        <v>304</v>
      </c>
      <c r="C4" s="16" t="s">
        <v>297</v>
      </c>
      <c r="D4" s="16">
        <v>1</v>
      </c>
      <c r="E4" s="16" t="s">
        <v>305</v>
      </c>
      <c r="F4" s="16" t="s">
        <v>306</v>
      </c>
      <c r="G4" s="16">
        <v>-1</v>
      </c>
    </row>
    <row r="5" spans="1:7" ht="15" customHeight="1" x14ac:dyDescent="0.2">
      <c r="A5" s="16" t="s">
        <v>307</v>
      </c>
      <c r="B5" s="16" t="s">
        <v>308</v>
      </c>
      <c r="C5" s="16" t="s">
        <v>297</v>
      </c>
      <c r="D5" s="16">
        <v>1</v>
      </c>
      <c r="E5" s="16" t="s">
        <v>308</v>
      </c>
      <c r="F5" s="16" t="s">
        <v>297</v>
      </c>
      <c r="G5" s="16">
        <v>1</v>
      </c>
    </row>
    <row r="6" spans="1:7" ht="15" customHeight="1" x14ac:dyDescent="0.2">
      <c r="A6" s="16" t="s">
        <v>309</v>
      </c>
      <c r="B6" s="16" t="s">
        <v>310</v>
      </c>
      <c r="C6" s="16" t="s">
        <v>306</v>
      </c>
      <c r="D6" s="16">
        <v>-1</v>
      </c>
      <c r="E6" s="16" t="s">
        <v>310</v>
      </c>
      <c r="F6" s="16" t="s">
        <v>306</v>
      </c>
      <c r="G6" s="16">
        <v>-1</v>
      </c>
    </row>
    <row r="7" spans="1:7" ht="15" customHeight="1" x14ac:dyDescent="0.2">
      <c r="A7" s="16" t="s">
        <v>311</v>
      </c>
      <c r="B7" s="16" t="s">
        <v>312</v>
      </c>
      <c r="C7" s="16" t="s">
        <v>297</v>
      </c>
      <c r="D7" s="16">
        <v>1</v>
      </c>
      <c r="E7" s="16" t="s">
        <v>313</v>
      </c>
      <c r="F7" s="16" t="s">
        <v>297</v>
      </c>
      <c r="G7" s="16">
        <v>1</v>
      </c>
    </row>
    <row r="8" spans="1:7" ht="15" customHeight="1" x14ac:dyDescent="0.2">
      <c r="A8" s="16" t="s">
        <v>314</v>
      </c>
      <c r="B8" s="16" t="s">
        <v>315</v>
      </c>
      <c r="C8" s="16" t="s">
        <v>297</v>
      </c>
      <c r="D8" s="16">
        <v>1</v>
      </c>
      <c r="E8" s="16" t="s">
        <v>316</v>
      </c>
      <c r="F8" s="16" t="s">
        <v>297</v>
      </c>
      <c r="G8" s="16">
        <v>1</v>
      </c>
    </row>
    <row r="9" spans="1:7" ht="15" customHeight="1" x14ac:dyDescent="0.2">
      <c r="A9" s="16" t="s">
        <v>317</v>
      </c>
      <c r="B9" s="16" t="s">
        <v>318</v>
      </c>
      <c r="C9" s="16" t="s">
        <v>297</v>
      </c>
      <c r="D9" s="16">
        <v>1</v>
      </c>
      <c r="E9" s="16" t="s">
        <v>318</v>
      </c>
      <c r="F9" s="16" t="s">
        <v>297</v>
      </c>
      <c r="G9" s="16">
        <v>1</v>
      </c>
    </row>
    <row r="11" spans="1:7" ht="15" customHeight="1" x14ac:dyDescent="0.2">
      <c r="A11" s="2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5" width="14" customWidth="1"/>
    <col min="6" max="6" width="16" customWidth="1"/>
    <col min="7" max="7" width="18" customWidth="1"/>
  </cols>
  <sheetData>
    <row r="1" spans="1:7" ht="31.5" customHeight="1" x14ac:dyDescent="0.2">
      <c r="A1" s="12" t="s">
        <v>60</v>
      </c>
      <c r="B1" s="12" t="s">
        <v>65</v>
      </c>
      <c r="C1" s="12" t="s">
        <v>320</v>
      </c>
      <c r="D1" s="12" t="s">
        <v>321</v>
      </c>
      <c r="E1" s="12" t="s">
        <v>322</v>
      </c>
      <c r="F1" s="12" t="s">
        <v>323</v>
      </c>
      <c r="G1" s="12" t="s">
        <v>324</v>
      </c>
    </row>
    <row r="2" spans="1:7" ht="15" customHeight="1" x14ac:dyDescent="0.2">
      <c r="A2" s="27" t="s">
        <v>69</v>
      </c>
      <c r="B2" s="28" t="s">
        <v>73</v>
      </c>
      <c r="C2" s="28">
        <f>COUNTIFS(Captura_NoFin!$A$2:$A$163,$A2,Captura_NoFin!$H$2:$H$163,"&lt;&gt;")</f>
        <v>9</v>
      </c>
      <c r="D2" s="28">
        <f>COUNTIFS(Captura_NoFin!$A$2:$A$163,$A2,Captura_NoFin!$F$2:$F$163,"")+COUNTIFS(Captura_NoFin!$A$2:$A$163,$A2,Captura_NoFin!$G$2:$G$163,"")+COUNTIFS(Captura_NoFin!$A$2:$A$163,$A2,Captura_NoFin!$H$2:$H$163,"")+COUNTIFS(Captura_NoFin!$A$2:$A$163,$A2,Captura_NoFin!$I$2:$I$163,"")+COUNTIFS(Captura_NoFin!$A$2:$A$163,$A2,Captura_NoFin!$J$2:$J$163,"")+COUNTIFS(Captura_NoFin!$A$2:$A$163,$A2,Captura_NoFin!$K$2:$K$163,"")+COUNTIFS(Captura_NoFin!$A$2:$A$163,$A2,Captura_NoFin!$L$2:$L$163,"")+COUNTIFS(Captura_NoFin!$A$2:$A$163,$A2,Captura_NoFin!$M$2:$M$163,"")+COUNTIFS(Captura_NoFin!$A$2:$A$163,$A2,Captura_NoFin!$N$2:$N$163,"")+COUNTIFS(Captura_NoFin!$A$2:$A$163,$A2,Captura_NoFin!$R$2:$R$163,"")</f>
        <v>0</v>
      </c>
      <c r="E2" s="28">
        <f>COUNTIFS(Ratios_NoFin!$A$2:$A$163,$A2,Ratios_NoFin!$P$2:$P$163,"REVISAR")</f>
        <v>0</v>
      </c>
      <c r="F2" s="29">
        <f>IFERROR(AVERAGEIFS(Ratios_NoFin!$O$2:$O$163,Ratios_NoFin!$A$2:$A$163,$A2),0)</f>
        <v>8</v>
      </c>
      <c r="G2" s="28" t="str">
        <f t="shared" ref="G2:G23" si="0">IF(D2=0,IF(E2=0,"COMPLETA","REVISAR CUADRE"),"PENDIENTE")</f>
        <v>COMPLETA</v>
      </c>
    </row>
    <row r="3" spans="1:7" ht="15" customHeight="1" x14ac:dyDescent="0.2">
      <c r="A3" s="27" t="s">
        <v>75</v>
      </c>
      <c r="B3" s="28" t="s">
        <v>73</v>
      </c>
      <c r="C3" s="28">
        <f>COUNTIFS(Captura_NoFin!$A$2:$A$163,$A3,Captura_NoFin!$H$2:$H$163,"&lt;&gt;")</f>
        <v>9</v>
      </c>
      <c r="D3" s="28">
        <f>COUNTIFS(Captura_NoFin!$A$2:$A$163,$A3,Captura_NoFin!$F$2:$F$163,"")+COUNTIFS(Captura_NoFin!$A$2:$A$163,$A3,Captura_NoFin!$G$2:$G$163,"")+COUNTIFS(Captura_NoFin!$A$2:$A$163,$A3,Captura_NoFin!$H$2:$H$163,"")+COUNTIFS(Captura_NoFin!$A$2:$A$163,$A3,Captura_NoFin!$I$2:$I$163,"")+COUNTIFS(Captura_NoFin!$A$2:$A$163,$A3,Captura_NoFin!$J$2:$J$163,"")+COUNTIFS(Captura_NoFin!$A$2:$A$163,$A3,Captura_NoFin!$K$2:$K$163,"")+COUNTIFS(Captura_NoFin!$A$2:$A$163,$A3,Captura_NoFin!$L$2:$L$163,"")+COUNTIFS(Captura_NoFin!$A$2:$A$163,$A3,Captura_NoFin!$M$2:$M$163,"")+COUNTIFS(Captura_NoFin!$A$2:$A$163,$A3,Captura_NoFin!$N$2:$N$163,"")+COUNTIFS(Captura_NoFin!$A$2:$A$163,$A3,Captura_NoFin!$R$2:$R$163,"")</f>
        <v>0</v>
      </c>
      <c r="E3" s="28">
        <f>COUNTIFS(Ratios_NoFin!$A$2:$A$163,$A3,Ratios_NoFin!$P$2:$P$163,"REVISAR")</f>
        <v>0</v>
      </c>
      <c r="F3" s="29">
        <f>IFERROR(AVERAGEIFS(Ratios_NoFin!$O$2:$O$163,Ratios_NoFin!$A$2:$A$163,$A3),0)</f>
        <v>8</v>
      </c>
      <c r="G3" s="28" t="str">
        <f t="shared" si="0"/>
        <v>COMPLETA</v>
      </c>
    </row>
    <row r="4" spans="1:7" ht="15" customHeight="1" x14ac:dyDescent="0.2">
      <c r="A4" s="27" t="s">
        <v>78</v>
      </c>
      <c r="B4" s="28" t="s">
        <v>73</v>
      </c>
      <c r="C4" s="28">
        <f>COUNTIFS(Captura_NoFin!$A$2:$A$163,$A4,Captura_NoFin!$H$2:$H$163,"&lt;&gt;")</f>
        <v>9</v>
      </c>
      <c r="D4" s="28">
        <f>COUNTIFS(Captura_NoFin!$A$2:$A$163,$A4,Captura_NoFin!$F$2:$F$163,"")+COUNTIFS(Captura_NoFin!$A$2:$A$163,$A4,Captura_NoFin!$G$2:$G$163,"")+COUNTIFS(Captura_NoFin!$A$2:$A$163,$A4,Captura_NoFin!$H$2:$H$163,"")+COUNTIFS(Captura_NoFin!$A$2:$A$163,$A4,Captura_NoFin!$I$2:$I$163,"")+COUNTIFS(Captura_NoFin!$A$2:$A$163,$A4,Captura_NoFin!$J$2:$J$163,"")+COUNTIFS(Captura_NoFin!$A$2:$A$163,$A4,Captura_NoFin!$K$2:$K$163,"")+COUNTIFS(Captura_NoFin!$A$2:$A$163,$A4,Captura_NoFin!$L$2:$L$163,"")+COUNTIFS(Captura_NoFin!$A$2:$A$163,$A4,Captura_NoFin!$M$2:$M$163,"")+COUNTIFS(Captura_NoFin!$A$2:$A$163,$A4,Captura_NoFin!$N$2:$N$163,"")+COUNTIFS(Captura_NoFin!$A$2:$A$163,$A4,Captura_NoFin!$R$2:$R$163,"")</f>
        <v>0</v>
      </c>
      <c r="E4" s="28">
        <f>COUNTIFS(Ratios_NoFin!$A$2:$A$163,$A4,Ratios_NoFin!$P$2:$P$163,"REVISAR")</f>
        <v>0</v>
      </c>
      <c r="F4" s="29">
        <f>IFERROR(AVERAGEIFS(Ratios_NoFin!$O$2:$O$163,Ratios_NoFin!$A$2:$A$163,$A4),0)</f>
        <v>8</v>
      </c>
      <c r="G4" s="28" t="str">
        <f t="shared" si="0"/>
        <v>COMPLETA</v>
      </c>
    </row>
    <row r="5" spans="1:7" ht="15" customHeight="1" x14ac:dyDescent="0.2">
      <c r="A5" s="27" t="s">
        <v>81</v>
      </c>
      <c r="B5" s="28" t="s">
        <v>73</v>
      </c>
      <c r="C5" s="28">
        <f>COUNTIFS(Captura_NoFin!$A$2:$A$163,$A5,Captura_NoFin!$H$2:$H$163,"&lt;&gt;")</f>
        <v>9</v>
      </c>
      <c r="D5" s="28">
        <f>COUNTIFS(Captura_NoFin!$A$2:$A$163,$A5,Captura_NoFin!$F$2:$F$163,"")+COUNTIFS(Captura_NoFin!$A$2:$A$163,$A5,Captura_NoFin!$G$2:$G$163,"")+COUNTIFS(Captura_NoFin!$A$2:$A$163,$A5,Captura_NoFin!$H$2:$H$163,"")+COUNTIFS(Captura_NoFin!$A$2:$A$163,$A5,Captura_NoFin!$I$2:$I$163,"")+COUNTIFS(Captura_NoFin!$A$2:$A$163,$A5,Captura_NoFin!$J$2:$J$163,"")+COUNTIFS(Captura_NoFin!$A$2:$A$163,$A5,Captura_NoFin!$K$2:$K$163,"")+COUNTIFS(Captura_NoFin!$A$2:$A$163,$A5,Captura_NoFin!$L$2:$L$163,"")+COUNTIFS(Captura_NoFin!$A$2:$A$163,$A5,Captura_NoFin!$M$2:$M$163,"")+COUNTIFS(Captura_NoFin!$A$2:$A$163,$A5,Captura_NoFin!$N$2:$N$163,"")+COUNTIFS(Captura_NoFin!$A$2:$A$163,$A5,Captura_NoFin!$R$2:$R$163,"")</f>
        <v>0</v>
      </c>
      <c r="E5" s="28">
        <f>COUNTIFS(Ratios_NoFin!$A$2:$A$163,$A5,Ratios_NoFin!$P$2:$P$163,"REVISAR")</f>
        <v>0</v>
      </c>
      <c r="F5" s="29">
        <f>IFERROR(AVERAGEIFS(Ratios_NoFin!$O$2:$O$163,Ratios_NoFin!$A$2:$A$163,$A5),0)</f>
        <v>8</v>
      </c>
      <c r="G5" s="28" t="str">
        <f t="shared" si="0"/>
        <v>COMPLETA</v>
      </c>
    </row>
    <row r="6" spans="1:7" ht="15" customHeight="1" x14ac:dyDescent="0.2">
      <c r="A6" s="27" t="s">
        <v>83</v>
      </c>
      <c r="B6" s="28" t="s">
        <v>73</v>
      </c>
      <c r="C6" s="28">
        <f>COUNTIFS(Captura_NoFin!$A$2:$A$163,$A6,Captura_NoFin!$H$2:$H$163,"&lt;&gt;")</f>
        <v>9</v>
      </c>
      <c r="D6" s="28">
        <f>COUNTIFS(Captura_NoFin!$A$2:$A$163,$A6,Captura_NoFin!$F$2:$F$163,"")+COUNTIFS(Captura_NoFin!$A$2:$A$163,$A6,Captura_NoFin!$G$2:$G$163,"")+COUNTIFS(Captura_NoFin!$A$2:$A$163,$A6,Captura_NoFin!$H$2:$H$163,"")+COUNTIFS(Captura_NoFin!$A$2:$A$163,$A6,Captura_NoFin!$I$2:$I$163,"")+COUNTIFS(Captura_NoFin!$A$2:$A$163,$A6,Captura_NoFin!$J$2:$J$163,"")+COUNTIFS(Captura_NoFin!$A$2:$A$163,$A6,Captura_NoFin!$K$2:$K$163,"")+COUNTIFS(Captura_NoFin!$A$2:$A$163,$A6,Captura_NoFin!$L$2:$L$163,"")+COUNTIFS(Captura_NoFin!$A$2:$A$163,$A6,Captura_NoFin!$M$2:$M$163,"")+COUNTIFS(Captura_NoFin!$A$2:$A$163,$A6,Captura_NoFin!$N$2:$N$163,"")+COUNTIFS(Captura_NoFin!$A$2:$A$163,$A6,Captura_NoFin!$R$2:$R$163,"")</f>
        <v>0</v>
      </c>
      <c r="E6" s="28">
        <f>COUNTIFS(Ratios_NoFin!$A$2:$A$163,$A6,Ratios_NoFin!$P$2:$P$163,"REVISAR")</f>
        <v>0</v>
      </c>
      <c r="F6" s="29">
        <f>IFERROR(AVERAGEIFS(Ratios_NoFin!$O$2:$O$163,Ratios_NoFin!$A$2:$A$163,$A6),0)</f>
        <v>8</v>
      </c>
      <c r="G6" s="28" t="str">
        <f t="shared" si="0"/>
        <v>COMPLETA</v>
      </c>
    </row>
    <row r="7" spans="1:7" ht="15" customHeight="1" x14ac:dyDescent="0.2">
      <c r="A7" s="27" t="s">
        <v>86</v>
      </c>
      <c r="B7" s="28" t="s">
        <v>73</v>
      </c>
      <c r="C7" s="28">
        <f>COUNTIFS(Captura_NoFin!$A$2:$A$163,$A7,Captura_NoFin!$H$2:$H$163,"&lt;&gt;")</f>
        <v>9</v>
      </c>
      <c r="D7" s="28">
        <f>COUNTIFS(Captura_NoFin!$A$2:$A$163,$A7,Captura_NoFin!$F$2:$F$163,"")+COUNTIFS(Captura_NoFin!$A$2:$A$163,$A7,Captura_NoFin!$G$2:$G$163,"")+COUNTIFS(Captura_NoFin!$A$2:$A$163,$A7,Captura_NoFin!$H$2:$H$163,"")+COUNTIFS(Captura_NoFin!$A$2:$A$163,$A7,Captura_NoFin!$I$2:$I$163,"")+COUNTIFS(Captura_NoFin!$A$2:$A$163,$A7,Captura_NoFin!$J$2:$J$163,"")+COUNTIFS(Captura_NoFin!$A$2:$A$163,$A7,Captura_NoFin!$K$2:$K$163,"")+COUNTIFS(Captura_NoFin!$A$2:$A$163,$A7,Captura_NoFin!$L$2:$L$163,"")+COUNTIFS(Captura_NoFin!$A$2:$A$163,$A7,Captura_NoFin!$M$2:$M$163,"")+COUNTIFS(Captura_NoFin!$A$2:$A$163,$A7,Captura_NoFin!$N$2:$N$163,"")+COUNTIFS(Captura_NoFin!$A$2:$A$163,$A7,Captura_NoFin!$R$2:$R$163,"")</f>
        <v>0</v>
      </c>
      <c r="E7" s="28">
        <f>COUNTIFS(Ratios_NoFin!$A$2:$A$163,$A7,Ratios_NoFin!$P$2:$P$163,"REVISAR")</f>
        <v>0</v>
      </c>
      <c r="F7" s="29">
        <f>IFERROR(AVERAGEIFS(Ratios_NoFin!$O$2:$O$163,Ratios_NoFin!$A$2:$A$163,$A7),0)</f>
        <v>8</v>
      </c>
      <c r="G7" s="28" t="str">
        <f t="shared" si="0"/>
        <v>COMPLETA</v>
      </c>
    </row>
    <row r="8" spans="1:7" ht="15" customHeight="1" x14ac:dyDescent="0.2">
      <c r="A8" s="27" t="s">
        <v>89</v>
      </c>
      <c r="B8" s="28" t="s">
        <v>73</v>
      </c>
      <c r="C8" s="28">
        <f>COUNTIFS(Captura_NoFin!$A$2:$A$163,$A8,Captura_NoFin!$H$2:$H$163,"&lt;&gt;")</f>
        <v>9</v>
      </c>
      <c r="D8" s="28">
        <f>COUNTIFS(Captura_NoFin!$A$2:$A$163,$A8,Captura_NoFin!$F$2:$F$163,"")+COUNTIFS(Captura_NoFin!$A$2:$A$163,$A8,Captura_NoFin!$G$2:$G$163,"")+COUNTIFS(Captura_NoFin!$A$2:$A$163,$A8,Captura_NoFin!$H$2:$H$163,"")+COUNTIFS(Captura_NoFin!$A$2:$A$163,$A8,Captura_NoFin!$I$2:$I$163,"")+COUNTIFS(Captura_NoFin!$A$2:$A$163,$A8,Captura_NoFin!$J$2:$J$163,"")+COUNTIFS(Captura_NoFin!$A$2:$A$163,$A8,Captura_NoFin!$K$2:$K$163,"")+COUNTIFS(Captura_NoFin!$A$2:$A$163,$A8,Captura_NoFin!$L$2:$L$163,"")+COUNTIFS(Captura_NoFin!$A$2:$A$163,$A8,Captura_NoFin!$M$2:$M$163,"")+COUNTIFS(Captura_NoFin!$A$2:$A$163,$A8,Captura_NoFin!$N$2:$N$163,"")+COUNTIFS(Captura_NoFin!$A$2:$A$163,$A8,Captura_NoFin!$R$2:$R$163,"")</f>
        <v>0</v>
      </c>
      <c r="E8" s="28">
        <f>COUNTIFS(Ratios_NoFin!$A$2:$A$163,$A8,Ratios_NoFin!$P$2:$P$163,"REVISAR")</f>
        <v>0</v>
      </c>
      <c r="F8" s="29">
        <f>IFERROR(AVERAGEIFS(Ratios_NoFin!$O$2:$O$163,Ratios_NoFin!$A$2:$A$163,$A8),0)</f>
        <v>8</v>
      </c>
      <c r="G8" s="28" t="str">
        <f t="shared" si="0"/>
        <v>COMPLETA</v>
      </c>
    </row>
    <row r="9" spans="1:7" ht="15" customHeight="1" x14ac:dyDescent="0.2">
      <c r="A9" s="27" t="s">
        <v>94</v>
      </c>
      <c r="B9" s="28" t="s">
        <v>73</v>
      </c>
      <c r="C9" s="28">
        <f>COUNTIFS(Captura_NoFin!$A$2:$A$163,$A9,Captura_NoFin!$H$2:$H$163,"&lt;&gt;")</f>
        <v>9</v>
      </c>
      <c r="D9" s="28">
        <f>COUNTIFS(Captura_NoFin!$A$2:$A$163,$A9,Captura_NoFin!$F$2:$F$163,"")+COUNTIFS(Captura_NoFin!$A$2:$A$163,$A9,Captura_NoFin!$G$2:$G$163,"")+COUNTIFS(Captura_NoFin!$A$2:$A$163,$A9,Captura_NoFin!$H$2:$H$163,"")+COUNTIFS(Captura_NoFin!$A$2:$A$163,$A9,Captura_NoFin!$I$2:$I$163,"")+COUNTIFS(Captura_NoFin!$A$2:$A$163,$A9,Captura_NoFin!$J$2:$J$163,"")+COUNTIFS(Captura_NoFin!$A$2:$A$163,$A9,Captura_NoFin!$K$2:$K$163,"")+COUNTIFS(Captura_NoFin!$A$2:$A$163,$A9,Captura_NoFin!$L$2:$L$163,"")+COUNTIFS(Captura_NoFin!$A$2:$A$163,$A9,Captura_NoFin!$M$2:$M$163,"")+COUNTIFS(Captura_NoFin!$A$2:$A$163,$A9,Captura_NoFin!$N$2:$N$163,"")+COUNTIFS(Captura_NoFin!$A$2:$A$163,$A9,Captura_NoFin!$R$2:$R$163,"")</f>
        <v>0</v>
      </c>
      <c r="E9" s="28">
        <f>COUNTIFS(Ratios_NoFin!$A$2:$A$163,$A9,Ratios_NoFin!$P$2:$P$163,"REVISAR")</f>
        <v>0</v>
      </c>
      <c r="F9" s="29">
        <f>IFERROR(AVERAGEIFS(Ratios_NoFin!$O$2:$O$163,Ratios_NoFin!$A$2:$A$163,$A9),0)</f>
        <v>8</v>
      </c>
      <c r="G9" s="28" t="str">
        <f t="shared" si="0"/>
        <v>COMPLETA</v>
      </c>
    </row>
    <row r="10" spans="1:7" ht="15" customHeight="1" x14ac:dyDescent="0.2">
      <c r="A10" s="27" t="s">
        <v>97</v>
      </c>
      <c r="B10" s="28" t="s">
        <v>73</v>
      </c>
      <c r="C10" s="28">
        <f>COUNTIFS(Captura_NoFin!$A$2:$A$163,$A10,Captura_NoFin!$H$2:$H$163,"&lt;&gt;")</f>
        <v>9</v>
      </c>
      <c r="D10" s="28">
        <f>COUNTIFS(Captura_NoFin!$A$2:$A$163,$A10,Captura_NoFin!$F$2:$F$163,"")+COUNTIFS(Captura_NoFin!$A$2:$A$163,$A10,Captura_NoFin!$G$2:$G$163,"")+COUNTIFS(Captura_NoFin!$A$2:$A$163,$A10,Captura_NoFin!$H$2:$H$163,"")+COUNTIFS(Captura_NoFin!$A$2:$A$163,$A10,Captura_NoFin!$I$2:$I$163,"")+COUNTIFS(Captura_NoFin!$A$2:$A$163,$A10,Captura_NoFin!$J$2:$J$163,"")+COUNTIFS(Captura_NoFin!$A$2:$A$163,$A10,Captura_NoFin!$K$2:$K$163,"")+COUNTIFS(Captura_NoFin!$A$2:$A$163,$A10,Captura_NoFin!$L$2:$L$163,"")+COUNTIFS(Captura_NoFin!$A$2:$A$163,$A10,Captura_NoFin!$M$2:$M$163,"")+COUNTIFS(Captura_NoFin!$A$2:$A$163,$A10,Captura_NoFin!$N$2:$N$163,"")+COUNTIFS(Captura_NoFin!$A$2:$A$163,$A10,Captura_NoFin!$R$2:$R$163,"")</f>
        <v>0</v>
      </c>
      <c r="E10" s="28">
        <f>COUNTIFS(Ratios_NoFin!$A$2:$A$163,$A10,Ratios_NoFin!$P$2:$P$163,"REVISAR")</f>
        <v>0</v>
      </c>
      <c r="F10" s="29">
        <f>IFERROR(AVERAGEIFS(Ratios_NoFin!$O$2:$O$163,Ratios_NoFin!$A$2:$A$163,$A10),0)</f>
        <v>8</v>
      </c>
      <c r="G10" s="28" t="str">
        <f t="shared" si="0"/>
        <v>COMPLETA</v>
      </c>
    </row>
    <row r="11" spans="1:7" ht="15" customHeight="1" x14ac:dyDescent="0.2">
      <c r="A11" s="27" t="s">
        <v>99</v>
      </c>
      <c r="B11" s="28" t="s">
        <v>73</v>
      </c>
      <c r="C11" s="28">
        <f>COUNTIFS(Captura_NoFin!$A$2:$A$163,$A11,Captura_NoFin!$H$2:$H$163,"&lt;&gt;")</f>
        <v>9</v>
      </c>
      <c r="D11" s="28">
        <f>COUNTIFS(Captura_NoFin!$A$2:$A$163,$A11,Captura_NoFin!$F$2:$F$163,"")+COUNTIFS(Captura_NoFin!$A$2:$A$163,$A11,Captura_NoFin!$G$2:$G$163,"")+COUNTIFS(Captura_NoFin!$A$2:$A$163,$A11,Captura_NoFin!$H$2:$H$163,"")+COUNTIFS(Captura_NoFin!$A$2:$A$163,$A11,Captura_NoFin!$I$2:$I$163,"")+COUNTIFS(Captura_NoFin!$A$2:$A$163,$A11,Captura_NoFin!$J$2:$J$163,"")+COUNTIFS(Captura_NoFin!$A$2:$A$163,$A11,Captura_NoFin!$K$2:$K$163,"")+COUNTIFS(Captura_NoFin!$A$2:$A$163,$A11,Captura_NoFin!$L$2:$L$163,"")+COUNTIFS(Captura_NoFin!$A$2:$A$163,$A11,Captura_NoFin!$M$2:$M$163,"")+COUNTIFS(Captura_NoFin!$A$2:$A$163,$A11,Captura_NoFin!$N$2:$N$163,"")+COUNTIFS(Captura_NoFin!$A$2:$A$163,$A11,Captura_NoFin!$R$2:$R$163,"")</f>
        <v>0</v>
      </c>
      <c r="E11" s="28">
        <f>COUNTIFS(Ratios_NoFin!$A$2:$A$163,$A11,Ratios_NoFin!$P$2:$P$163,"REVISAR")</f>
        <v>0</v>
      </c>
      <c r="F11" s="29">
        <f>IFERROR(AVERAGEIFS(Ratios_NoFin!$O$2:$O$163,Ratios_NoFin!$A$2:$A$163,$A11),0)</f>
        <v>8</v>
      </c>
      <c r="G11" s="28" t="str">
        <f t="shared" si="0"/>
        <v>COMPLETA</v>
      </c>
    </row>
    <row r="12" spans="1:7" ht="15" customHeight="1" x14ac:dyDescent="0.2">
      <c r="A12" s="27" t="s">
        <v>102</v>
      </c>
      <c r="B12" s="28" t="s">
        <v>73</v>
      </c>
      <c r="C12" s="28">
        <f>COUNTIFS(Captura_NoFin!$A$2:$A$163,$A12,Captura_NoFin!$H$2:$H$163,"&lt;&gt;")</f>
        <v>9</v>
      </c>
      <c r="D12" s="28">
        <f>COUNTIFS(Captura_NoFin!$A$2:$A$163,$A12,Captura_NoFin!$F$2:$F$163,"")+COUNTIFS(Captura_NoFin!$A$2:$A$163,$A12,Captura_NoFin!$G$2:$G$163,"")+COUNTIFS(Captura_NoFin!$A$2:$A$163,$A12,Captura_NoFin!$H$2:$H$163,"")+COUNTIFS(Captura_NoFin!$A$2:$A$163,$A12,Captura_NoFin!$I$2:$I$163,"")+COUNTIFS(Captura_NoFin!$A$2:$A$163,$A12,Captura_NoFin!$J$2:$J$163,"")+COUNTIFS(Captura_NoFin!$A$2:$A$163,$A12,Captura_NoFin!$K$2:$K$163,"")+COUNTIFS(Captura_NoFin!$A$2:$A$163,$A12,Captura_NoFin!$L$2:$L$163,"")+COUNTIFS(Captura_NoFin!$A$2:$A$163,$A12,Captura_NoFin!$M$2:$M$163,"")+COUNTIFS(Captura_NoFin!$A$2:$A$163,$A12,Captura_NoFin!$N$2:$N$163,"")+COUNTIFS(Captura_NoFin!$A$2:$A$163,$A12,Captura_NoFin!$R$2:$R$163,"")</f>
        <v>0</v>
      </c>
      <c r="E12" s="28">
        <f>COUNTIFS(Ratios_NoFin!$A$2:$A$163,$A12,Ratios_NoFin!$P$2:$P$163,"REVISAR")</f>
        <v>0</v>
      </c>
      <c r="F12" s="29">
        <f>IFERROR(AVERAGEIFS(Ratios_NoFin!$O$2:$O$163,Ratios_NoFin!$A$2:$A$163,$A12),0)</f>
        <v>8</v>
      </c>
      <c r="G12" s="28" t="str">
        <f t="shared" si="0"/>
        <v>COMPLETA</v>
      </c>
    </row>
    <row r="13" spans="1:7" ht="15" customHeight="1" x14ac:dyDescent="0.2">
      <c r="A13" s="27" t="s">
        <v>104</v>
      </c>
      <c r="B13" s="28" t="s">
        <v>73</v>
      </c>
      <c r="C13" s="28">
        <f>COUNTIFS(Captura_NoFin!$A$2:$A$163,$A13,Captura_NoFin!$H$2:$H$163,"&lt;&gt;")</f>
        <v>9</v>
      </c>
      <c r="D13" s="28">
        <f>COUNTIFS(Captura_NoFin!$A$2:$A$163,$A13,Captura_NoFin!$F$2:$F$163,"")+COUNTIFS(Captura_NoFin!$A$2:$A$163,$A13,Captura_NoFin!$G$2:$G$163,"")+COUNTIFS(Captura_NoFin!$A$2:$A$163,$A13,Captura_NoFin!$H$2:$H$163,"")+COUNTIFS(Captura_NoFin!$A$2:$A$163,$A13,Captura_NoFin!$I$2:$I$163,"")+COUNTIFS(Captura_NoFin!$A$2:$A$163,$A13,Captura_NoFin!$J$2:$J$163,"")+COUNTIFS(Captura_NoFin!$A$2:$A$163,$A13,Captura_NoFin!$K$2:$K$163,"")+COUNTIFS(Captura_NoFin!$A$2:$A$163,$A13,Captura_NoFin!$L$2:$L$163,"")+COUNTIFS(Captura_NoFin!$A$2:$A$163,$A13,Captura_NoFin!$M$2:$M$163,"")+COUNTIFS(Captura_NoFin!$A$2:$A$163,$A13,Captura_NoFin!$N$2:$N$163,"")+COUNTIFS(Captura_NoFin!$A$2:$A$163,$A13,Captura_NoFin!$R$2:$R$163,"")</f>
        <v>0</v>
      </c>
      <c r="E13" s="28">
        <f>COUNTIFS(Ratios_NoFin!$A$2:$A$163,$A13,Ratios_NoFin!$P$2:$P$163,"REVISAR")</f>
        <v>0</v>
      </c>
      <c r="F13" s="29">
        <f>IFERROR(AVERAGEIFS(Ratios_NoFin!$O$2:$O$163,Ratios_NoFin!$A$2:$A$163,$A13),0)</f>
        <v>8</v>
      </c>
      <c r="G13" s="28" t="str">
        <f t="shared" si="0"/>
        <v>COMPLETA</v>
      </c>
    </row>
    <row r="14" spans="1:7" ht="15" customHeight="1" x14ac:dyDescent="0.2">
      <c r="A14" s="27" t="s">
        <v>106</v>
      </c>
      <c r="B14" s="28" t="s">
        <v>73</v>
      </c>
      <c r="C14" s="28">
        <f>COUNTIFS(Captura_NoFin!$A$2:$A$163,$A14,Captura_NoFin!$H$2:$H$163,"&lt;&gt;")</f>
        <v>9</v>
      </c>
      <c r="D14" s="28">
        <f>COUNTIFS(Captura_NoFin!$A$2:$A$163,$A14,Captura_NoFin!$F$2:$F$163,"")+COUNTIFS(Captura_NoFin!$A$2:$A$163,$A14,Captura_NoFin!$G$2:$G$163,"")+COUNTIFS(Captura_NoFin!$A$2:$A$163,$A14,Captura_NoFin!$H$2:$H$163,"")+COUNTIFS(Captura_NoFin!$A$2:$A$163,$A14,Captura_NoFin!$I$2:$I$163,"")+COUNTIFS(Captura_NoFin!$A$2:$A$163,$A14,Captura_NoFin!$J$2:$J$163,"")+COUNTIFS(Captura_NoFin!$A$2:$A$163,$A14,Captura_NoFin!$K$2:$K$163,"")+COUNTIFS(Captura_NoFin!$A$2:$A$163,$A14,Captura_NoFin!$L$2:$L$163,"")+COUNTIFS(Captura_NoFin!$A$2:$A$163,$A14,Captura_NoFin!$M$2:$M$163,"")+COUNTIFS(Captura_NoFin!$A$2:$A$163,$A14,Captura_NoFin!$N$2:$N$163,"")+COUNTIFS(Captura_NoFin!$A$2:$A$163,$A14,Captura_NoFin!$R$2:$R$163,"")</f>
        <v>0</v>
      </c>
      <c r="E14" s="28">
        <f>COUNTIFS(Ratios_NoFin!$A$2:$A$163,$A14,Ratios_NoFin!$P$2:$P$163,"REVISAR")</f>
        <v>0</v>
      </c>
      <c r="F14" s="29">
        <f>IFERROR(AVERAGEIFS(Ratios_NoFin!$O$2:$O$163,Ratios_NoFin!$A$2:$A$163,$A14),0)</f>
        <v>8</v>
      </c>
      <c r="G14" s="28" t="str">
        <f t="shared" si="0"/>
        <v>COMPLETA</v>
      </c>
    </row>
    <row r="15" spans="1:7" ht="15" customHeight="1" x14ac:dyDescent="0.2">
      <c r="A15" s="27" t="s">
        <v>111</v>
      </c>
      <c r="B15" s="28" t="s">
        <v>73</v>
      </c>
      <c r="C15" s="28">
        <f>COUNTIFS(Captura_NoFin!$A$2:$A$163,$A15,Captura_NoFin!$H$2:$H$163,"&lt;&gt;")</f>
        <v>9</v>
      </c>
      <c r="D15" s="28">
        <f>COUNTIFS(Captura_NoFin!$A$2:$A$163,$A15,Captura_NoFin!$F$2:$F$163,"")+COUNTIFS(Captura_NoFin!$A$2:$A$163,$A15,Captura_NoFin!$G$2:$G$163,"")+COUNTIFS(Captura_NoFin!$A$2:$A$163,$A15,Captura_NoFin!$H$2:$H$163,"")+COUNTIFS(Captura_NoFin!$A$2:$A$163,$A15,Captura_NoFin!$I$2:$I$163,"")+COUNTIFS(Captura_NoFin!$A$2:$A$163,$A15,Captura_NoFin!$J$2:$J$163,"")+COUNTIFS(Captura_NoFin!$A$2:$A$163,$A15,Captura_NoFin!$K$2:$K$163,"")+COUNTIFS(Captura_NoFin!$A$2:$A$163,$A15,Captura_NoFin!$L$2:$L$163,"")+COUNTIFS(Captura_NoFin!$A$2:$A$163,$A15,Captura_NoFin!$M$2:$M$163,"")+COUNTIFS(Captura_NoFin!$A$2:$A$163,$A15,Captura_NoFin!$N$2:$N$163,"")+COUNTIFS(Captura_NoFin!$A$2:$A$163,$A15,Captura_NoFin!$R$2:$R$163,"")</f>
        <v>0</v>
      </c>
      <c r="E15" s="28">
        <f>COUNTIFS(Ratios_NoFin!$A$2:$A$163,$A15,Ratios_NoFin!$P$2:$P$163,"REVISAR")</f>
        <v>0</v>
      </c>
      <c r="F15" s="29">
        <f>IFERROR(AVERAGEIFS(Ratios_NoFin!$O$2:$O$163,Ratios_NoFin!$A$2:$A$163,$A15),0)</f>
        <v>8</v>
      </c>
      <c r="G15" s="28" t="str">
        <f t="shared" si="0"/>
        <v>COMPLETA</v>
      </c>
    </row>
    <row r="16" spans="1:7" ht="15" customHeight="1" x14ac:dyDescent="0.2">
      <c r="A16" s="27" t="s">
        <v>115</v>
      </c>
      <c r="B16" s="28" t="s">
        <v>73</v>
      </c>
      <c r="C16" s="28">
        <f>COUNTIFS(Captura_NoFin!$A$2:$A$163,$A16,Captura_NoFin!$H$2:$H$163,"&lt;&gt;")</f>
        <v>9</v>
      </c>
      <c r="D16" s="28">
        <f>COUNTIFS(Captura_NoFin!$A$2:$A$163,$A16,Captura_NoFin!$F$2:$F$163,"")+COUNTIFS(Captura_NoFin!$A$2:$A$163,$A16,Captura_NoFin!$G$2:$G$163,"")+COUNTIFS(Captura_NoFin!$A$2:$A$163,$A16,Captura_NoFin!$H$2:$H$163,"")+COUNTIFS(Captura_NoFin!$A$2:$A$163,$A16,Captura_NoFin!$I$2:$I$163,"")+COUNTIFS(Captura_NoFin!$A$2:$A$163,$A16,Captura_NoFin!$J$2:$J$163,"")+COUNTIFS(Captura_NoFin!$A$2:$A$163,$A16,Captura_NoFin!$K$2:$K$163,"")+COUNTIFS(Captura_NoFin!$A$2:$A$163,$A16,Captura_NoFin!$L$2:$L$163,"")+COUNTIFS(Captura_NoFin!$A$2:$A$163,$A16,Captura_NoFin!$M$2:$M$163,"")+COUNTIFS(Captura_NoFin!$A$2:$A$163,$A16,Captura_NoFin!$N$2:$N$163,"")+COUNTIFS(Captura_NoFin!$A$2:$A$163,$A16,Captura_NoFin!$R$2:$R$163,"")</f>
        <v>0</v>
      </c>
      <c r="E16" s="28">
        <f>COUNTIFS(Ratios_NoFin!$A$2:$A$163,$A16,Ratios_NoFin!$P$2:$P$163,"REVISAR")</f>
        <v>0</v>
      </c>
      <c r="F16" s="29">
        <f>IFERROR(AVERAGEIFS(Ratios_NoFin!$O$2:$O$163,Ratios_NoFin!$A$2:$A$163,$A16),0)</f>
        <v>8</v>
      </c>
      <c r="G16" s="28" t="str">
        <f t="shared" si="0"/>
        <v>COMPLETA</v>
      </c>
    </row>
    <row r="17" spans="1:7" ht="15" customHeight="1" x14ac:dyDescent="0.2">
      <c r="A17" s="27" t="s">
        <v>118</v>
      </c>
      <c r="B17" s="28" t="s">
        <v>73</v>
      </c>
      <c r="C17" s="28">
        <f>COUNTIFS(Captura_NoFin!$A$2:$A$163,$A17,Captura_NoFin!$H$2:$H$163,"&lt;&gt;")</f>
        <v>9</v>
      </c>
      <c r="D17" s="28">
        <f>COUNTIFS(Captura_NoFin!$A$2:$A$163,$A17,Captura_NoFin!$F$2:$F$163,"")+COUNTIFS(Captura_NoFin!$A$2:$A$163,$A17,Captura_NoFin!$G$2:$G$163,"")+COUNTIFS(Captura_NoFin!$A$2:$A$163,$A17,Captura_NoFin!$H$2:$H$163,"")+COUNTIFS(Captura_NoFin!$A$2:$A$163,$A17,Captura_NoFin!$I$2:$I$163,"")+COUNTIFS(Captura_NoFin!$A$2:$A$163,$A17,Captura_NoFin!$J$2:$J$163,"")+COUNTIFS(Captura_NoFin!$A$2:$A$163,$A17,Captura_NoFin!$K$2:$K$163,"")+COUNTIFS(Captura_NoFin!$A$2:$A$163,$A17,Captura_NoFin!$L$2:$L$163,"")+COUNTIFS(Captura_NoFin!$A$2:$A$163,$A17,Captura_NoFin!$M$2:$M$163,"")+COUNTIFS(Captura_NoFin!$A$2:$A$163,$A17,Captura_NoFin!$N$2:$N$163,"")+COUNTIFS(Captura_NoFin!$A$2:$A$163,$A17,Captura_NoFin!$R$2:$R$163,"")</f>
        <v>0</v>
      </c>
      <c r="E17" s="28">
        <f>COUNTIFS(Ratios_NoFin!$A$2:$A$163,$A17,Ratios_NoFin!$P$2:$P$163,"REVISAR")</f>
        <v>0</v>
      </c>
      <c r="F17" s="29">
        <f>IFERROR(AVERAGEIFS(Ratios_NoFin!$O$2:$O$163,Ratios_NoFin!$A$2:$A$163,$A17),0)</f>
        <v>8</v>
      </c>
      <c r="G17" s="28" t="str">
        <f t="shared" si="0"/>
        <v>COMPLETA</v>
      </c>
    </row>
    <row r="18" spans="1:7" ht="15" customHeight="1" x14ac:dyDescent="0.2">
      <c r="A18" s="27" t="s">
        <v>120</v>
      </c>
      <c r="B18" s="28" t="s">
        <v>73</v>
      </c>
      <c r="C18" s="28">
        <f>COUNTIFS(Captura_NoFin!$A$2:$A$163,$A18,Captura_NoFin!$H$2:$H$163,"&lt;&gt;")</f>
        <v>9</v>
      </c>
      <c r="D18" s="28">
        <f>COUNTIFS(Captura_NoFin!$A$2:$A$163,$A18,Captura_NoFin!$F$2:$F$163,"")+COUNTIFS(Captura_NoFin!$A$2:$A$163,$A18,Captura_NoFin!$G$2:$G$163,"")+COUNTIFS(Captura_NoFin!$A$2:$A$163,$A18,Captura_NoFin!$H$2:$H$163,"")+COUNTIFS(Captura_NoFin!$A$2:$A$163,$A18,Captura_NoFin!$I$2:$I$163,"")+COUNTIFS(Captura_NoFin!$A$2:$A$163,$A18,Captura_NoFin!$J$2:$J$163,"")+COUNTIFS(Captura_NoFin!$A$2:$A$163,$A18,Captura_NoFin!$K$2:$K$163,"")+COUNTIFS(Captura_NoFin!$A$2:$A$163,$A18,Captura_NoFin!$L$2:$L$163,"")+COUNTIFS(Captura_NoFin!$A$2:$A$163,$A18,Captura_NoFin!$M$2:$M$163,"")+COUNTIFS(Captura_NoFin!$A$2:$A$163,$A18,Captura_NoFin!$N$2:$N$163,"")+COUNTIFS(Captura_NoFin!$A$2:$A$163,$A18,Captura_NoFin!$R$2:$R$163,"")</f>
        <v>0</v>
      </c>
      <c r="E18" s="28">
        <f>COUNTIFS(Ratios_NoFin!$A$2:$A$163,$A18,Ratios_NoFin!$P$2:$P$163,"REVISAR")</f>
        <v>0</v>
      </c>
      <c r="F18" s="29">
        <f>IFERROR(AVERAGEIFS(Ratios_NoFin!$O$2:$O$163,Ratios_NoFin!$A$2:$A$163,$A18),0)</f>
        <v>8</v>
      </c>
      <c r="G18" s="28" t="str">
        <f t="shared" si="0"/>
        <v>COMPLETA</v>
      </c>
    </row>
    <row r="19" spans="1:7" ht="15" customHeight="1" x14ac:dyDescent="0.2">
      <c r="A19" s="27" t="s">
        <v>123</v>
      </c>
      <c r="B19" s="28" t="s">
        <v>73</v>
      </c>
      <c r="C19" s="28">
        <f>COUNTIFS(Captura_NoFin!$A$2:$A$163,$A19,Captura_NoFin!$H$2:$H$163,"&lt;&gt;")</f>
        <v>9</v>
      </c>
      <c r="D19" s="28">
        <f>COUNTIFS(Captura_NoFin!$A$2:$A$163,$A19,Captura_NoFin!$F$2:$F$163,"")+COUNTIFS(Captura_NoFin!$A$2:$A$163,$A19,Captura_NoFin!$G$2:$G$163,"")+COUNTIFS(Captura_NoFin!$A$2:$A$163,$A19,Captura_NoFin!$H$2:$H$163,"")+COUNTIFS(Captura_NoFin!$A$2:$A$163,$A19,Captura_NoFin!$I$2:$I$163,"")+COUNTIFS(Captura_NoFin!$A$2:$A$163,$A19,Captura_NoFin!$J$2:$J$163,"")+COUNTIFS(Captura_NoFin!$A$2:$A$163,$A19,Captura_NoFin!$K$2:$K$163,"")+COUNTIFS(Captura_NoFin!$A$2:$A$163,$A19,Captura_NoFin!$L$2:$L$163,"")+COUNTIFS(Captura_NoFin!$A$2:$A$163,$A19,Captura_NoFin!$M$2:$M$163,"")+COUNTIFS(Captura_NoFin!$A$2:$A$163,$A19,Captura_NoFin!$N$2:$N$163,"")+COUNTIFS(Captura_NoFin!$A$2:$A$163,$A19,Captura_NoFin!$R$2:$R$163,"")</f>
        <v>0</v>
      </c>
      <c r="E19" s="28">
        <f>COUNTIFS(Ratios_NoFin!$A$2:$A$163,$A19,Ratios_NoFin!$P$2:$P$163,"REVISAR")</f>
        <v>0</v>
      </c>
      <c r="F19" s="29">
        <f>IFERROR(AVERAGEIFS(Ratios_NoFin!$O$2:$O$163,Ratios_NoFin!$A$2:$A$163,$A19),0)</f>
        <v>8</v>
      </c>
      <c r="G19" s="28" t="str">
        <f t="shared" si="0"/>
        <v>COMPLETA</v>
      </c>
    </row>
    <row r="20" spans="1:7" ht="15" customHeight="1" x14ac:dyDescent="0.2">
      <c r="A20" s="27" t="s">
        <v>126</v>
      </c>
      <c r="B20" s="28" t="s">
        <v>130</v>
      </c>
      <c r="C20" s="28">
        <f>COUNTIFS(Captura_Fin!$A$2:$A$37,$A20,Captura_Fin!$F$2:$F$37,"&lt;&gt;")</f>
        <v>9</v>
      </c>
      <c r="D20" s="28">
        <f>COUNTIFS(Captura_Fin!$A$2:$A$37,$A20,Captura_Fin!$F$2:$F$37,"")+COUNTIFS(Captura_Fin!$A$2:$A$37,$A20,Captura_Fin!$G$2:$G$37,"")+COUNTIFS(Captura_Fin!$A$2:$A$37,$A20,Captura_Fin!$H$2:$H$37,"")+COUNTIFS(Captura_Fin!$A$2:$A$37,$A20,Captura_Fin!$I$2:$I$37,"")+COUNTIFS(Captura_Fin!$A$2:$A$37,$A20,Captura_Fin!$J$2:$J$37,"")+COUNTIFS(Captura_Fin!$A$2:$A$37,$A20,Captura_Fin!$L$2:$L$37,"")+COUNTIFS(Captura_Fin!$A$2:$A$37,$A20,Captura_Fin!$M$2:$M$37,"")+COUNTIFS(Captura_Fin!$A$2:$A$37,$A20,Captura_Fin!$N$2:$N$37,"")+COUNTIFS(Captura_Fin!$A$2:$A$37,$A20,Captura_Fin!$O$2:$O$37,"")+COUNTIFS(Captura_Fin!$A$2:$A$37,$A20,Captura_Fin!$P$2:$P$37,"")+COUNTIFS(Captura_Fin!$A$2:$A$37,$A20,Captura_Fin!$Q$2:$Q$37,"")</f>
        <v>0</v>
      </c>
      <c r="E20" s="28">
        <f>COUNTIFS(Ratios_Fin!$A$2:$A$37,$A20,Ratios_Fin!$N$2:$N$37,"REVISAR")</f>
        <v>0</v>
      </c>
      <c r="F20" s="29">
        <f>IFERROR(AVERAGEIFS(Ratios_Fin!$M$2:$M$37,Ratios_Fin!$A$2:$A$37,$A20),0)</f>
        <v>7</v>
      </c>
      <c r="G20" s="28" t="str">
        <f t="shared" si="0"/>
        <v>COMPLETA</v>
      </c>
    </row>
    <row r="21" spans="1:7" ht="15" customHeight="1" x14ac:dyDescent="0.2">
      <c r="A21" s="27" t="s">
        <v>132</v>
      </c>
      <c r="B21" s="28" t="s">
        <v>130</v>
      </c>
      <c r="C21" s="28">
        <f>COUNTIFS(Captura_Fin!$A$2:$A$37,$A21,Captura_Fin!$F$2:$F$37,"&lt;&gt;")</f>
        <v>9</v>
      </c>
      <c r="D21" s="28">
        <f>COUNTIFS(Captura_Fin!$A$2:$A$37,$A21,Captura_Fin!$F$2:$F$37,"")+COUNTIFS(Captura_Fin!$A$2:$A$37,$A21,Captura_Fin!$G$2:$G$37,"")+COUNTIFS(Captura_Fin!$A$2:$A$37,$A21,Captura_Fin!$H$2:$H$37,"")+COUNTIFS(Captura_Fin!$A$2:$A$37,$A21,Captura_Fin!$I$2:$I$37,"")+COUNTIFS(Captura_Fin!$A$2:$A$37,$A21,Captura_Fin!$J$2:$J$37,"")+COUNTIFS(Captura_Fin!$A$2:$A$37,$A21,Captura_Fin!$L$2:$L$37,"")+COUNTIFS(Captura_Fin!$A$2:$A$37,$A21,Captura_Fin!$M$2:$M$37,"")+COUNTIFS(Captura_Fin!$A$2:$A$37,$A21,Captura_Fin!$N$2:$N$37,"")+COUNTIFS(Captura_Fin!$A$2:$A$37,$A21,Captura_Fin!$O$2:$O$37,"")+COUNTIFS(Captura_Fin!$A$2:$A$37,$A21,Captura_Fin!$P$2:$P$37,"")+COUNTIFS(Captura_Fin!$A$2:$A$37,$A21,Captura_Fin!$Q$2:$Q$37,"")</f>
        <v>0</v>
      </c>
      <c r="E21" s="28">
        <f>COUNTIFS(Ratios_Fin!$A$2:$A$37,$A21,Ratios_Fin!$N$2:$N$37,"REVISAR")</f>
        <v>0</v>
      </c>
      <c r="F21" s="29">
        <f>IFERROR(AVERAGEIFS(Ratios_Fin!$M$2:$M$37,Ratios_Fin!$A$2:$A$37,$A21),0)</f>
        <v>7</v>
      </c>
      <c r="G21" s="28" t="str">
        <f t="shared" si="0"/>
        <v>COMPLETA</v>
      </c>
    </row>
    <row r="22" spans="1:7" ht="15" customHeight="1" x14ac:dyDescent="0.2">
      <c r="A22" s="27" t="s">
        <v>134</v>
      </c>
      <c r="B22" s="28" t="s">
        <v>130</v>
      </c>
      <c r="C22" s="28">
        <f>COUNTIFS(Captura_Fin!$A$2:$A$37,$A22,Captura_Fin!$F$2:$F$37,"&lt;&gt;")</f>
        <v>9</v>
      </c>
      <c r="D22" s="28">
        <f>COUNTIFS(Captura_Fin!$A$2:$A$37,$A22,Captura_Fin!$F$2:$F$37,"")+COUNTIFS(Captura_Fin!$A$2:$A$37,$A22,Captura_Fin!$G$2:$G$37,"")+COUNTIFS(Captura_Fin!$A$2:$A$37,$A22,Captura_Fin!$H$2:$H$37,"")+COUNTIFS(Captura_Fin!$A$2:$A$37,$A22,Captura_Fin!$I$2:$I$37,"")+COUNTIFS(Captura_Fin!$A$2:$A$37,$A22,Captura_Fin!$J$2:$J$37,"")+COUNTIFS(Captura_Fin!$A$2:$A$37,$A22,Captura_Fin!$L$2:$L$37,"")+COUNTIFS(Captura_Fin!$A$2:$A$37,$A22,Captura_Fin!$M$2:$M$37,"")+COUNTIFS(Captura_Fin!$A$2:$A$37,$A22,Captura_Fin!$N$2:$N$37,"")+COUNTIFS(Captura_Fin!$A$2:$A$37,$A22,Captura_Fin!$O$2:$O$37,"")+COUNTIFS(Captura_Fin!$A$2:$A$37,$A22,Captura_Fin!$P$2:$P$37,"")+COUNTIFS(Captura_Fin!$A$2:$A$37,$A22,Captura_Fin!$Q$2:$Q$37,"")</f>
        <v>0</v>
      </c>
      <c r="E22" s="28">
        <f>COUNTIFS(Ratios_Fin!$A$2:$A$37,$A22,Ratios_Fin!$N$2:$N$37,"REVISAR")</f>
        <v>0</v>
      </c>
      <c r="F22" s="29">
        <f>IFERROR(AVERAGEIFS(Ratios_Fin!$M$2:$M$37,Ratios_Fin!$A$2:$A$37,$A22),0)</f>
        <v>7</v>
      </c>
      <c r="G22" s="28" t="str">
        <f t="shared" si="0"/>
        <v>COMPLETA</v>
      </c>
    </row>
    <row r="23" spans="1:7" ht="15" customHeight="1" x14ac:dyDescent="0.2">
      <c r="A23" s="27" t="s">
        <v>136</v>
      </c>
      <c r="B23" s="28" t="s">
        <v>130</v>
      </c>
      <c r="C23" s="28">
        <f>COUNTIFS(Captura_Fin!$A$2:$A$37,$A23,Captura_Fin!$F$2:$F$37,"&lt;&gt;")</f>
        <v>9</v>
      </c>
      <c r="D23" s="28">
        <f>COUNTIFS(Captura_Fin!$A$2:$A$37,$A23,Captura_Fin!$F$2:$F$37,"")+COUNTIFS(Captura_Fin!$A$2:$A$37,$A23,Captura_Fin!$G$2:$G$37,"")+COUNTIFS(Captura_Fin!$A$2:$A$37,$A23,Captura_Fin!$H$2:$H$37,"")+COUNTIFS(Captura_Fin!$A$2:$A$37,$A23,Captura_Fin!$I$2:$I$37,"")+COUNTIFS(Captura_Fin!$A$2:$A$37,$A23,Captura_Fin!$J$2:$J$37,"")+COUNTIFS(Captura_Fin!$A$2:$A$37,$A23,Captura_Fin!$L$2:$L$37,"")+COUNTIFS(Captura_Fin!$A$2:$A$37,$A23,Captura_Fin!$M$2:$M$37,"")+COUNTIFS(Captura_Fin!$A$2:$A$37,$A23,Captura_Fin!$N$2:$N$37,"")+COUNTIFS(Captura_Fin!$A$2:$A$37,$A23,Captura_Fin!$O$2:$O$37,"")+COUNTIFS(Captura_Fin!$A$2:$A$37,$A23,Captura_Fin!$P$2:$P$37,"")+COUNTIFS(Captura_Fin!$A$2:$A$37,$A23,Captura_Fin!$Q$2:$Q$37,"")</f>
        <v>0</v>
      </c>
      <c r="E23" s="28">
        <f>COUNTIFS(Ratios_Fin!$A$2:$A$37,$A23,Ratios_Fin!$N$2:$N$37,"REVISAR")</f>
        <v>0</v>
      </c>
      <c r="F23" s="29">
        <f>IFERROR(AVERAGEIFS(Ratios_Fin!$M$2:$M$37,Ratios_Fin!$A$2:$A$37,$A23),0)</f>
        <v>7</v>
      </c>
      <c r="G23" s="28" t="str">
        <f t="shared" si="0"/>
        <v>COMPLETA</v>
      </c>
    </row>
    <row r="25" spans="1:7" ht="15" customHeight="1" x14ac:dyDescent="0.2">
      <c r="A25" s="9" t="s">
        <v>325</v>
      </c>
      <c r="C25" s="26" t="str">
        <f>COUNTIF(G2:G23,"COMPLETA")&amp;" de 22"</f>
        <v>22 de 22</v>
      </c>
    </row>
    <row r="26" spans="1:7" ht="15" customHeight="1" x14ac:dyDescent="0.2">
      <c r="A26" s="2" t="s">
        <v>326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Empresas</vt:lpstr>
      <vt:lpstr>Diccionario</vt:lpstr>
      <vt:lpstr>Captura_NoFin</vt:lpstr>
      <vt:lpstr>Captura_Fin</vt:lpstr>
      <vt:lpstr>Ratios_NoFin</vt:lpstr>
      <vt:lpstr>Ratios_Fin</vt:lpstr>
      <vt:lpstr>Direccion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ARMINDA MAGDALENA VARGAS CLAROS</cp:lastModifiedBy>
  <cp:revision>0</cp:revision>
  <dcterms:created xsi:type="dcterms:W3CDTF">2026-09-21T23:41:14Z</dcterms:created>
  <dcterms:modified xsi:type="dcterms:W3CDTF">2026-09-23T01:54:46Z</dcterms:modified>
  <dc:language>en-US</dc:language>
</cp:coreProperties>
</file>