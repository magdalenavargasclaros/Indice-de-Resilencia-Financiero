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resas" sheetId="2" state="visible" r:id="rId2"/>
    <sheet xmlns:r="http://schemas.openxmlformats.org/officeDocument/2006/relationships" name="Diccionario" sheetId="3" state="visible" r:id="rId3"/>
    <sheet xmlns:r="http://schemas.openxmlformats.org/officeDocument/2006/relationships" name="Captura_NoFin" sheetId="4" state="visible" r:id="rId4"/>
    <sheet xmlns:r="http://schemas.openxmlformats.org/officeDocument/2006/relationships" name="Captura_Fin" sheetId="5" state="visible" r:id="rId5"/>
    <sheet xmlns:r="http://schemas.openxmlformats.org/officeDocument/2006/relationships" name="Ratios_NoFin" sheetId="6" state="visible" r:id="rId6"/>
    <sheet xmlns:r="http://schemas.openxmlformats.org/officeDocument/2006/relationships" name="Ratios_Fin" sheetId="7" state="visible" r:id="rId7"/>
    <sheet xmlns:r="http://schemas.openxmlformats.org/officeDocument/2006/relationships" name="Direccion" sheetId="8" state="visible" r:id="rId8"/>
    <sheet xmlns:r="http://schemas.openxmlformats.org/officeDocument/2006/relationships" name="Control" sheetId="9" state="visible" r:id="rId9"/>
    <sheet xmlns:r="http://schemas.openxmlformats.org/officeDocument/2006/relationships" name="Fase3_KPI" sheetId="10" state="visible" r:id="rId10"/>
    <sheet xmlns:r="http://schemas.openxmlformats.org/officeDocument/2006/relationships" name="Fase5_Pesos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;\(#,##0\);\-"/>
    <numFmt numFmtId="165" formatCode="0.00\x"/>
    <numFmt numFmtId="166" formatCode="0.0%"/>
    <numFmt numFmtId="167" formatCode="0.0"/>
    <numFmt numFmtId="168" formatCode="0.0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2E75B6"/>
      <sz val="11"/>
    </font>
    <font>
      <name val="Arial"/>
      <charset val="1"/>
      <family val="0"/>
      <color rgb="FF0000FF"/>
      <sz val="9"/>
    </font>
    <font>
      <name val="Arial"/>
      <charset val="1"/>
      <family val="0"/>
      <sz val="10"/>
    </font>
    <font>
      <name val="Arial"/>
      <charset val="1"/>
      <family val="0"/>
      <color rgb="FF000000"/>
      <sz val="9"/>
    </font>
    <font>
      <name val="Arial"/>
      <charset val="1"/>
      <family val="0"/>
      <color rgb="FF008000"/>
      <sz val="9"/>
    </font>
    <font>
      <name val="Arial"/>
      <charset val="1"/>
      <family val="0"/>
      <b val="1"/>
      <sz val="9"/>
    </font>
    <font>
      <name val="Arial"/>
      <charset val="1"/>
      <family val="0"/>
      <b val="1"/>
      <color rgb="FFFFFFFF"/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DDEBF7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001F3864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4" fontId="7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1" fontId="11" fillId="3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67" fontId="9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1" fillId="3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top" wrapText="1"/>
    </xf>
    <xf numFmtId="0" fontId="12" fillId="4" borderId="1" applyAlignment="1" pivotButton="0" quotePrefix="0" xfId="0">
      <alignment horizontal="general" vertical="bottom"/>
    </xf>
    <xf numFmtId="0" fontId="12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bottom"/>
    </xf>
    <xf numFmtId="4" fontId="7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 wrapText="1"/>
    </xf>
    <xf numFmtId="0" fontId="8" fillId="0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general" vertical="top" wrapText="1"/>
    </xf>
    <xf numFmtId="1" fontId="11" fillId="3" borderId="1" applyAlignment="1" pivotButton="0" quotePrefix="0" xfId="0">
      <alignment horizontal="general" vertical="bottom"/>
    </xf>
    <xf numFmtId="164" fontId="7" fillId="2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" fontId="1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" fontId="9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bottom"/>
    </xf>
    <xf numFmtId="167" fontId="9" fillId="0" borderId="1" applyAlignment="1" pivotButton="0" quotePrefix="0" xfId="0">
      <alignment horizontal="center" vertical="bottom"/>
    </xf>
    <xf numFmtId="0" fontId="13" fillId="6" borderId="0" pivotButton="0" quotePrefix="0" xfId="0"/>
    <xf numFmtId="168" fontId="0" fillId="0" borderId="0" pivotButton="0" quotePrefix="0" xfId="0"/>
    <xf numFmtId="0" fontId="13" fillId="7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3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30" min="1" max="1"/>
    <col width="30" customWidth="1" style="30" min="2" max="2"/>
    <col width="95" customWidth="1" style="30" min="3" max="3"/>
    <col width="40" customWidth="1" style="30" min="4" max="4"/>
  </cols>
  <sheetData>
    <row r="2" ht="17.35" customHeight="1" s="31">
      <c r="B2" s="32" t="inlineStr">
        <is>
          <t>FASE 2 — BASE CONTABLE ANUAL · Matriz empresa–año–ratio</t>
        </is>
      </c>
    </row>
    <row r="3" ht="15" customHeight="1" s="31">
      <c r="B3" s="33" t="inlineStr">
        <is>
          <t>Índice de resiliencia financiera sectorial · Empresas del S&amp;P IPSA · 2017–2025</t>
        </is>
      </c>
    </row>
    <row r="5" ht="15" customHeight="1" s="31">
      <c r="B5" s="34" t="inlineStr">
        <is>
          <t>Leyenda</t>
        </is>
      </c>
    </row>
    <row r="6" ht="15" customHeight="1" s="31">
      <c r="B6" s="35" t="inlineStr">
        <is>
          <t>Celda de ingreso</t>
        </is>
      </c>
      <c r="C6" s="36" t="inlineStr">
        <is>
          <t>Datos a extraer de los estados financieros de la CMF. Texto azul sobre fondo amarillo.</t>
        </is>
      </c>
    </row>
    <row r="7" ht="15" customHeight="1" s="31">
      <c r="B7" s="37" t="inlineStr">
        <is>
          <t>Celda calculada</t>
        </is>
      </c>
      <c r="C7" s="36" t="inlineStr">
        <is>
          <t>Fórmula automática. No modificar.</t>
        </is>
      </c>
    </row>
    <row r="8" ht="15" customHeight="1" s="31">
      <c r="B8" s="38" t="inlineStr">
        <is>
          <t>Vínculo a otra hoja</t>
        </is>
      </c>
      <c r="C8" s="36" t="inlineStr">
        <is>
          <t>Fórmula que trae datos de otra hoja del libro (texto verde).</t>
        </is>
      </c>
    </row>
    <row r="9" ht="15" customHeight="1" s="31">
      <c r="B9" s="39" t="inlineStr">
        <is>
          <t>Campo clave</t>
        </is>
      </c>
      <c r="C9" s="36" t="inlineStr">
        <is>
          <t>Empresa, sector y año. Ya vienen completados.</t>
        </is>
      </c>
    </row>
    <row r="11" ht="15" customHeight="1" s="31">
      <c r="B11" s="34" t="inlineStr">
        <is>
          <t>Secuencia de trabajo</t>
        </is>
      </c>
    </row>
    <row r="12" ht="30" customHeight="1" s="31">
      <c r="B12" s="40" t="inlineStr">
        <is>
          <t>Paso 1</t>
        </is>
      </c>
      <c r="C12" s="41" t="inlineStr">
        <is>
          <t>Hoja «Empresas»: registre la moneda de presentación de cada sociedad (CLP o USD) y el precio ajustado de cierre al 31-12-2016, tomado de su archivo de precios de Yahoo Finance.</t>
        </is>
      </c>
    </row>
    <row r="13" ht="30" customHeight="1" s="31">
      <c r="B13" s="40" t="inlineStr">
        <is>
          <t>Paso 2</t>
        </is>
      </c>
      <c r="C13" s="41" t="inlineStr">
        <is>
          <t>Hojas «Captura_NoFin» y «Captura_Fin»: ingrese las partidas de los estados financieros consolidados anuales al 31 de diciembre, en miles de la moneda de presentación, tal como figuran en el documento de la CMF.</t>
        </is>
      </c>
    </row>
    <row r="14" ht="30" customHeight="1" s="31">
      <c r="B14" s="40" t="inlineStr">
        <is>
          <t>Paso 3</t>
        </is>
      </c>
      <c r="C14" s="41" t="inlineStr">
        <is>
          <t>Estrategia de extracción: cada estado financiero anual trae la columna del año y la comparativa del año anterior. Basta con abrir cinco documentos por empresa — ejercicios 2018, 2020, 2022, 2024 y 2025 — para cubrir los nueve años.</t>
        </is>
      </c>
    </row>
    <row r="15" ht="30" customHeight="1" s="31">
      <c r="B15" s="40" t="inlineStr">
        <is>
          <t>Paso 4</t>
        </is>
      </c>
      <c r="C15" s="41" t="inlineStr">
        <is>
          <t>Registre en la columna «fuente» el documento y la columna de donde tomó cada fila (p. ej. «EEFF 2020, comparativo»). Es la trazabilidad que declara su metodología.</t>
        </is>
      </c>
    </row>
    <row r="16" ht="30" customHeight="1" s="31">
      <c r="B16" s="40" t="inlineStr">
        <is>
          <t>Paso 5</t>
        </is>
      </c>
      <c r="C16" s="41" t="inlineStr">
        <is>
          <t>Hojas «Ratios_NoFin» y «Ratios_Fin»: se calculan solas. Revise la hoja «Control» antes de pasar a la Fase 3.</t>
        </is>
      </c>
    </row>
    <row r="18" ht="15" customHeight="1" s="31">
      <c r="B18" s="34" t="inlineStr">
        <is>
          <t>Convenciones</t>
        </is>
      </c>
    </row>
    <row r="19" ht="30" customHeight="1" s="31">
      <c r="B19" s="40" t="inlineStr">
        <is>
          <t>Signos</t>
        </is>
      </c>
      <c r="C19" s="41" t="inlineStr">
        <is>
          <t>Ingrese los costos financieros y el gasto en provisiones como números positivos. Las fórmulas usan su valor absoluto, de modo que un signo negativo tampoco produce error.</t>
        </is>
      </c>
    </row>
    <row r="20" ht="30" customHeight="1" s="31">
      <c r="B20" s="40" t="inlineStr">
        <is>
          <t>Moneda</t>
        </is>
      </c>
      <c r="C20" s="41" t="inlineStr">
        <is>
          <t>No convierta a pesos. Todos los ratios son cocientes adimensionales y no cambian con la moneda. La conversión solo sería necesaria para variables de tamaño, que este diseño no utiliza.</t>
        </is>
      </c>
    </row>
    <row r="21" ht="30" customHeight="1" s="31">
      <c r="B21" s="40" t="inlineStr">
        <is>
          <t>Sin dato</t>
        </is>
      </c>
      <c r="C21" s="41" t="inlineStr">
        <is>
          <t>Deje la celda vacía. Nunca ingrese cero para un dato faltante: un cero se calcula como valor real y sesga el ratio.</t>
        </is>
      </c>
    </row>
    <row r="22" ht="30" customHeight="1" s="31">
      <c r="B22" s="40" t="inlineStr">
        <is>
          <t>EBIT</t>
        </is>
      </c>
      <c r="C22" s="41" t="inlineStr">
        <is>
          <t>Se calcula para todas las empresas como Ganancia antes de impuestos + Costos financieros. La columna «resultado operacional presentado» es solo informativa, porque NIC 1 no obliga a presentar ese subtotal.</t>
        </is>
      </c>
    </row>
    <row r="23" ht="30" customHeight="1" s="31">
      <c r="B23" s="40" t="inlineStr">
        <is>
          <t>ROE</t>
        </is>
      </c>
      <c r="C23" s="41" t="inlineStr">
        <is>
          <t>Es descriptivo, no entra al KPI. Se deja en blanco cuando el patrimonio de la controladora es cero o negativo (caso Latam 2020–2021).</t>
        </is>
      </c>
    </row>
    <row r="24" ht="30" customHeight="1" s="31">
      <c r="B24" s="40" t="inlineStr">
        <is>
          <t>Bancos</t>
        </is>
      </c>
      <c r="C24" s="41" t="inlineStr">
        <is>
          <t>Usan una plantilla propia y se ingresan en millones (MM$), tal como vienen. «Capital de trabajo» no aplica: sus estados no distinguen corriente de no corriente.</t>
        </is>
      </c>
    </row>
    <row r="26" ht="15" customHeight="1" s="31">
      <c r="B26" s="34" t="inlineStr">
        <is>
          <t>Fila de ejemplo — formato esperado (valores ilustrativos, NO son datos reales de ninguna empresa)</t>
        </is>
      </c>
    </row>
    <row r="27" ht="15" customHeight="1" s="31">
      <c r="B27" s="42" t="inlineStr">
        <is>
          <t>Campo</t>
        </is>
      </c>
      <c r="C27" s="42" t="inlineStr">
        <is>
          <t>Ejemplo</t>
        </is>
      </c>
      <c r="D27" s="42" t="inlineStr">
        <is>
          <t>Formato</t>
        </is>
      </c>
    </row>
    <row r="28" ht="15" customHeight="1" s="31">
      <c r="B28" s="36" t="inlineStr">
        <is>
          <t>activo_corriente</t>
        </is>
      </c>
      <c r="C28" s="35" t="inlineStr">
        <is>
          <t>845320</t>
        </is>
      </c>
      <c r="D28" s="33" t="inlineStr">
        <is>
          <t>Miles de la moneda de presentación, sin puntos ni signo</t>
        </is>
      </c>
    </row>
    <row r="29" ht="15" customHeight="1" s="31">
      <c r="B29" s="36" t="inlineStr">
        <is>
          <t>activo_total</t>
        </is>
      </c>
      <c r="C29" s="35" t="inlineStr">
        <is>
          <t>4120550</t>
        </is>
      </c>
      <c r="D29" s="33" t="inlineStr">
        <is>
          <t>Miles</t>
        </is>
      </c>
    </row>
    <row r="30" ht="15" customHeight="1" s="31">
      <c r="B30" s="36" t="inlineStr">
        <is>
          <t>ingresos</t>
        </is>
      </c>
      <c r="C30" s="35" t="inlineStr">
        <is>
          <t>1985400</t>
        </is>
      </c>
      <c r="D30" s="33" t="inlineStr">
        <is>
          <t>Miles</t>
        </is>
      </c>
    </row>
    <row r="31" ht="15" customHeight="1" s="31">
      <c r="B31" s="36" t="inlineStr">
        <is>
          <t>costos_financieros</t>
        </is>
      </c>
      <c r="C31" s="35" t="inlineStr">
        <is>
          <t>62300</t>
        </is>
      </c>
      <c r="D31" s="33" t="inlineStr">
        <is>
          <t>Positivo, en miles</t>
        </is>
      </c>
    </row>
    <row r="32" ht="15" customHeight="1" s="31">
      <c r="B32" s="36" t="inlineStr">
        <is>
          <t>ganancia_antes_impuestos</t>
        </is>
      </c>
      <c r="C32" s="35" t="inlineStr">
        <is>
          <t>210880</t>
        </is>
      </c>
      <c r="D32" s="33" t="inlineStr">
        <is>
          <t>Puede ser negativo si hubo pérdida</t>
        </is>
      </c>
    </row>
    <row r="33" ht="15" customHeight="1" s="31">
      <c r="B33" s="36" t="inlineStr">
        <is>
          <t>precio_ajustado_cierre</t>
        </is>
      </c>
      <c r="C33" s="35" t="inlineStr">
        <is>
          <t>412,35</t>
        </is>
      </c>
      <c r="D33" s="33" t="inlineStr">
        <is>
          <t>Precio ajustado por dividendos al último día hábil del año</t>
        </is>
      </c>
    </row>
    <row r="34" ht="15" customHeight="1" s="31">
      <c r="B34" s="36" t="inlineStr">
        <is>
          <t>fuente</t>
        </is>
      </c>
      <c r="C34" s="35" t="inlineStr">
        <is>
          <t>EEFF 2020, comparativo</t>
        </is>
      </c>
      <c r="D34" s="33" t="inlineStr">
        <is>
          <t>Texto libre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30" min="1" max="1"/>
    <col width="13" customWidth="1" style="30" min="2" max="2"/>
    <col width="44" customWidth="1" style="30" min="3" max="3"/>
    <col width="26" customWidth="1" style="30" min="4" max="4"/>
    <col width="8" customWidth="1" style="30" min="5" max="5"/>
    <col width="38" customWidth="1" style="30" min="6" max="6"/>
    <col width="14" customWidth="1" style="30" min="7" max="7"/>
    <col width="13" customWidth="1" style="30" min="8" max="8"/>
    <col width="15" customWidth="1" style="30" min="9" max="9"/>
    <col width="50" customWidth="1" style="30" min="10" max="10"/>
  </cols>
  <sheetData>
    <row r="1" ht="31.5" customHeight="1" s="31">
      <c r="A1" s="43" t="inlineStr">
        <is>
          <t>N.º</t>
        </is>
      </c>
      <c r="B1" s="43" t="inlineStr">
        <is>
          <t>Nemotécnico</t>
        </is>
      </c>
      <c r="C1" s="43" t="inlineStr">
        <is>
          <t>Razón social</t>
        </is>
      </c>
      <c r="D1" s="43" t="inlineStr">
        <is>
          <t>Sector GICS</t>
        </is>
      </c>
      <c r="E1" s="43" t="inlineStr">
        <is>
          <t>Cód. sector</t>
        </is>
      </c>
      <c r="F1" s="43" t="inlineStr">
        <is>
          <t>Sector de análisis</t>
        </is>
      </c>
      <c r="G1" s="43" t="inlineStr">
        <is>
          <t>Plantilla</t>
        </is>
      </c>
      <c r="H1" s="43" t="inlineStr">
        <is>
          <t>Moneda de presentación</t>
        </is>
      </c>
      <c r="I1" s="43" t="inlineStr">
        <is>
          <t>Precio ajustado 31-12-2016</t>
        </is>
      </c>
      <c r="J1" s="43" t="inlineStr">
        <is>
          <t>Observaciones</t>
        </is>
      </c>
    </row>
    <row r="2" ht="15" customHeight="1" s="31">
      <c r="A2" s="44" t="n">
        <v>1</v>
      </c>
      <c r="B2" s="44" t="inlineStr">
        <is>
          <t>AGUAS-A</t>
        </is>
      </c>
      <c r="C2" s="44" t="inlineStr">
        <is>
          <t>Aguas Andinas S.A., Serie A</t>
        </is>
      </c>
      <c r="D2" s="44" t="inlineStr">
        <is>
          <t>Utilities</t>
        </is>
      </c>
      <c r="E2" s="44" t="n">
        <v>1</v>
      </c>
      <c r="F2" s="44" t="inlineStr">
        <is>
          <t>Servicios básicos e infraestructura</t>
        </is>
      </c>
      <c r="G2" s="44" t="inlineStr">
        <is>
          <t>No financiera</t>
        </is>
      </c>
      <c r="H2" s="35" t="inlineStr">
        <is>
          <t>CLP</t>
        </is>
      </c>
      <c r="I2" s="45" t="n">
        <v>191.329833984375</v>
      </c>
      <c r="J2" s="46" t="n"/>
    </row>
    <row r="3" ht="15" customHeight="1" s="31">
      <c r="A3" s="44" t="n">
        <v>2</v>
      </c>
      <c r="B3" s="44" t="inlineStr">
        <is>
          <t>COLBUN</t>
        </is>
      </c>
      <c r="C3" s="44" t="inlineStr">
        <is>
          <t>Colbún S.A.</t>
        </is>
      </c>
      <c r="D3" s="44" t="inlineStr">
        <is>
          <t>Utilities</t>
        </is>
      </c>
      <c r="E3" s="44" t="n">
        <v>1</v>
      </c>
      <c r="F3" s="44" t="inlineStr">
        <is>
          <t>Servicios básicos e infraestructura</t>
        </is>
      </c>
      <c r="G3" s="44" t="inlineStr">
        <is>
          <t>No financiera</t>
        </is>
      </c>
      <c r="H3" s="35" t="inlineStr">
        <is>
          <t>USD</t>
        </is>
      </c>
      <c r="I3" s="45" t="n">
        <v>125.3100051879883</v>
      </c>
      <c r="J3" s="46" t="n"/>
    </row>
    <row r="4" ht="22.35" customHeight="1" s="31">
      <c r="A4" s="44" t="n">
        <v>3</v>
      </c>
      <c r="B4" s="44" t="inlineStr">
        <is>
          <t>ENELAM</t>
        </is>
      </c>
      <c r="C4" s="44" t="inlineStr">
        <is>
          <t>Enel Américas S.A.</t>
        </is>
      </c>
      <c r="D4" s="44" t="inlineStr">
        <is>
          <t>Utilities</t>
        </is>
      </c>
      <c r="E4" s="44" t="n">
        <v>1</v>
      </c>
      <c r="F4" s="44" t="inlineStr">
        <is>
          <t>Servicios básicos e infraestructura</t>
        </is>
      </c>
      <c r="G4" s="44" t="inlineStr">
        <is>
          <t>No financiera</t>
        </is>
      </c>
      <c r="H4" s="35" t="inlineStr">
        <is>
          <t>USD</t>
        </is>
      </c>
      <c r="I4" s="45" t="n">
        <v>104.2692031860352</v>
      </c>
      <c r="J4" s="46" t="inlineStr">
        <is>
          <t>USD. Resultados por naturaleza (sin costo de ventas). 2024: ganancia extraordinaria por venta de activos en Perú.</t>
        </is>
      </c>
    </row>
    <row r="5" ht="15" customHeight="1" s="31">
      <c r="A5" s="44" t="n">
        <v>4</v>
      </c>
      <c r="B5" s="44" t="inlineStr">
        <is>
          <t>ENELCHILE</t>
        </is>
      </c>
      <c r="C5" s="44" t="inlineStr">
        <is>
          <t>Enel Chile S.A.</t>
        </is>
      </c>
      <c r="D5" s="44" t="inlineStr">
        <is>
          <t>Utilities</t>
        </is>
      </c>
      <c r="E5" s="44" t="n">
        <v>1</v>
      </c>
      <c r="F5" s="44" t="inlineStr">
        <is>
          <t>Servicios básicos e infraestructura</t>
        </is>
      </c>
      <c r="G5" s="44" t="inlineStr">
        <is>
          <t>No financiera</t>
        </is>
      </c>
      <c r="H5" s="35" t="n"/>
      <c r="I5" s="45" t="n">
        <v>38.45893096923828</v>
      </c>
      <c r="J5" s="46" t="n"/>
    </row>
    <row r="6" ht="15" customHeight="1" s="31">
      <c r="A6" s="44" t="n">
        <v>5</v>
      </c>
      <c r="B6" s="44" t="inlineStr">
        <is>
          <t>ECL</t>
        </is>
      </c>
      <c r="C6" s="44" t="inlineStr">
        <is>
          <t>Engie Energía Chile S.A.</t>
        </is>
      </c>
      <c r="D6" s="44" t="inlineStr">
        <is>
          <t>Utilities</t>
        </is>
      </c>
      <c r="E6" s="44" t="n">
        <v>1</v>
      </c>
      <c r="F6" s="44" t="inlineStr">
        <is>
          <t>Servicios básicos e infraestructura</t>
        </is>
      </c>
      <c r="G6" s="44" t="inlineStr">
        <is>
          <t>No financiera</t>
        </is>
      </c>
      <c r="H6" s="35" t="inlineStr">
        <is>
          <t>USD</t>
        </is>
      </c>
      <c r="I6" s="45" t="n">
        <v>1052.5234375</v>
      </c>
      <c r="J6" s="46" t="inlineStr">
        <is>
          <t>USD (kUSD en los EEFF).</t>
        </is>
      </c>
    </row>
    <row r="7" ht="15" customHeight="1" s="31">
      <c r="A7" s="44" t="n">
        <v>6</v>
      </c>
      <c r="B7" s="44" t="inlineStr">
        <is>
          <t>ENTEL</t>
        </is>
      </c>
      <c r="C7" s="44" t="inlineStr">
        <is>
          <t>Empresa Nacional de Telecomunicaciones S.A.</t>
        </is>
      </c>
      <c r="D7" s="44" t="inlineStr">
        <is>
          <t>Communication Services</t>
        </is>
      </c>
      <c r="E7" s="44" t="n">
        <v>1</v>
      </c>
      <c r="F7" s="44" t="inlineStr">
        <is>
          <t>Servicios básicos e infraestructura</t>
        </is>
      </c>
      <c r="G7" s="44" t="inlineStr">
        <is>
          <t>No financiera</t>
        </is>
      </c>
      <c r="H7" s="35" t="inlineStr">
        <is>
          <t>CLP</t>
        </is>
      </c>
      <c r="I7" s="45" t="n">
        <v>3329.676513671875</v>
      </c>
      <c r="J7" s="46" t="n"/>
    </row>
    <row r="8" ht="22.35" customHeight="1" s="31">
      <c r="A8" s="44" t="n">
        <v>7</v>
      </c>
      <c r="B8" s="44" t="inlineStr">
        <is>
          <t>CENCOSUD</t>
        </is>
      </c>
      <c r="C8" s="44" t="inlineStr">
        <is>
          <t>Cencosud S.A.</t>
        </is>
      </c>
      <c r="D8" s="44" t="inlineStr">
        <is>
          <t>Consumer Staples (verificar)</t>
        </is>
      </c>
      <c r="E8" s="44" t="n">
        <v>2</v>
      </c>
      <c r="F8" s="44" t="inlineStr">
        <is>
          <t>Consumo</t>
        </is>
      </c>
      <c r="G8" s="44" t="inlineStr">
        <is>
          <t>No financiera</t>
        </is>
      </c>
      <c r="H8" s="35" t="inlineStr">
        <is>
          <t>CLP</t>
        </is>
      </c>
      <c r="I8" s="45" t="n">
        <v>1171.80517578125</v>
      </c>
      <c r="J8" s="46" t="inlineStr">
        <is>
          <t>Verificar sector GICS contra archivo de constituyentes de S&amp;P DJI; no afecta la normalización.</t>
        </is>
      </c>
    </row>
    <row r="9" ht="15" customHeight="1" s="31">
      <c r="A9" s="44" t="n">
        <v>8</v>
      </c>
      <c r="B9" s="44" t="inlineStr">
        <is>
          <t>FALABELLA</t>
        </is>
      </c>
      <c r="C9" s="44" t="inlineStr">
        <is>
          <t>Falabella S.A.</t>
        </is>
      </c>
      <c r="D9" s="44" t="inlineStr">
        <is>
          <t>Consumer Discretionary</t>
        </is>
      </c>
      <c r="E9" s="44" t="n">
        <v>2</v>
      </c>
      <c r="F9" s="44" t="inlineStr">
        <is>
          <t>Consumo</t>
        </is>
      </c>
      <c r="G9" s="44" t="inlineStr">
        <is>
          <t>No financiera</t>
        </is>
      </c>
      <c r="H9" s="35" t="inlineStr">
        <is>
          <t>CLP</t>
        </is>
      </c>
      <c r="I9" s="45" t="n">
        <v>4588.80615234375</v>
      </c>
      <c r="J9" s="46" t="n"/>
    </row>
    <row r="10" ht="15" customHeight="1" s="31">
      <c r="A10" s="44" t="n">
        <v>9</v>
      </c>
      <c r="B10" s="44" t="inlineStr">
        <is>
          <t>RIPLEY</t>
        </is>
      </c>
      <c r="C10" s="44" t="inlineStr">
        <is>
          <t>Ripley Corp S.A.</t>
        </is>
      </c>
      <c r="D10" s="44" t="inlineStr">
        <is>
          <t>Consumer Discretionary</t>
        </is>
      </c>
      <c r="E10" s="44" t="n">
        <v>2</v>
      </c>
      <c r="F10" s="44" t="inlineStr">
        <is>
          <t>Consumo</t>
        </is>
      </c>
      <c r="G10" s="44" t="inlineStr">
        <is>
          <t>No financiera</t>
        </is>
      </c>
      <c r="H10" s="35" t="inlineStr">
        <is>
          <t>CLP</t>
        </is>
      </c>
      <c r="I10" s="45" t="n">
        <v>260.3517456054688</v>
      </c>
      <c r="J10" s="46" t="n"/>
    </row>
    <row r="11" ht="15" customHeight="1" s="31">
      <c r="A11" s="44" t="n">
        <v>10</v>
      </c>
      <c r="B11" s="44" t="inlineStr">
        <is>
          <t>CCU</t>
        </is>
      </c>
      <c r="C11" s="44" t="inlineStr">
        <is>
          <t>Compañía Cervecerías Unidas S.A.</t>
        </is>
      </c>
      <c r="D11" s="44" t="inlineStr">
        <is>
          <t>Consumer Staples</t>
        </is>
      </c>
      <c r="E11" s="44" t="n">
        <v>2</v>
      </c>
      <c r="F11" s="44" t="inlineStr">
        <is>
          <t>Consumo</t>
        </is>
      </c>
      <c r="G11" s="44" t="inlineStr">
        <is>
          <t>No financiera</t>
        </is>
      </c>
      <c r="H11" s="35" t="inlineStr">
        <is>
          <t>CLP</t>
        </is>
      </c>
      <c r="I11" s="45" t="n">
        <v>4615.25927734375</v>
      </c>
      <c r="J11" s="46" t="n"/>
    </row>
    <row r="12" ht="15" customHeight="1" s="31">
      <c r="A12" s="44" t="n">
        <v>11</v>
      </c>
      <c r="B12" s="44" t="inlineStr">
        <is>
          <t>ANDINA-B</t>
        </is>
      </c>
      <c r="C12" s="44" t="inlineStr">
        <is>
          <t>Embotelladora Andina S.A., Serie B</t>
        </is>
      </c>
      <c r="D12" s="44" t="inlineStr">
        <is>
          <t>Consumer Staples</t>
        </is>
      </c>
      <c r="E12" s="44" t="n">
        <v>2</v>
      </c>
      <c r="F12" s="44" t="inlineStr">
        <is>
          <t>Consumo</t>
        </is>
      </c>
      <c r="G12" s="44" t="inlineStr">
        <is>
          <t>No financiera</t>
        </is>
      </c>
      <c r="H12" s="35" t="inlineStr">
        <is>
          <t>CLP</t>
        </is>
      </c>
      <c r="I12" s="45" t="n">
        <v>1467.355346679688</v>
      </c>
      <c r="J12" s="46" t="n"/>
    </row>
    <row r="13" ht="15" customHeight="1" s="31">
      <c r="A13" s="44" t="n">
        <v>12</v>
      </c>
      <c r="B13" s="44" t="inlineStr">
        <is>
          <t>CONCHATORO</t>
        </is>
      </c>
      <c r="C13" s="44" t="inlineStr">
        <is>
          <t>Viña Concha y Toro S.A.</t>
        </is>
      </c>
      <c r="D13" s="44" t="inlineStr">
        <is>
          <t>Consumer Staples</t>
        </is>
      </c>
      <c r="E13" s="44" t="n">
        <v>2</v>
      </c>
      <c r="F13" s="44" t="inlineStr">
        <is>
          <t>Consumo</t>
        </is>
      </c>
      <c r="G13" s="44" t="inlineStr">
        <is>
          <t>No financiera</t>
        </is>
      </c>
      <c r="H13" s="35" t="inlineStr">
        <is>
          <t>CLP</t>
        </is>
      </c>
      <c r="I13" s="45" t="n">
        <v>789.899169921875</v>
      </c>
      <c r="J13" s="46" t="n"/>
    </row>
    <row r="14" ht="22.35" customHeight="1" s="31">
      <c r="A14" s="44" t="n">
        <v>13</v>
      </c>
      <c r="B14" s="44" t="inlineStr">
        <is>
          <t>LTM</t>
        </is>
      </c>
      <c r="C14" s="44" t="inlineStr">
        <is>
          <t>Latam Airlines Group S.A.</t>
        </is>
      </c>
      <c r="D14" s="44" t="inlineStr">
        <is>
          <t>Industrials</t>
        </is>
      </c>
      <c r="E14" s="44" t="n">
        <v>3</v>
      </c>
      <c r="F14" s="44" t="inlineStr">
        <is>
          <t>Industria, recursos naturales e inmobiliario</t>
        </is>
      </c>
      <c r="G14" s="44" t="inlineStr">
        <is>
          <t>No financiera</t>
        </is>
      </c>
      <c r="H14" s="35" t="inlineStr">
        <is>
          <t>USD</t>
        </is>
      </c>
      <c r="I14" s="45" t="n">
        <v>313.1433410644531</v>
      </c>
      <c r="J14" s="46" t="inlineStr">
        <is>
          <t>USD. ROE no disponible 2020–2021 por patrimonio negativo (reorganización Capítulo 11).</t>
        </is>
      </c>
    </row>
    <row r="15" ht="22.35" customHeight="1" s="31">
      <c r="A15" s="44" t="n">
        <v>14</v>
      </c>
      <c r="B15" s="44" t="inlineStr">
        <is>
          <t>PARAUCO</t>
        </is>
      </c>
      <c r="C15" s="44" t="inlineStr">
        <is>
          <t>Parque Arauco S.A.</t>
        </is>
      </c>
      <c r="D15" s="44" t="inlineStr">
        <is>
          <t>Real Estate</t>
        </is>
      </c>
      <c r="E15" s="44" t="n">
        <v>3</v>
      </c>
      <c r="F15" s="44" t="inlineStr">
        <is>
          <t>Industria, recursos naturales e inmobiliario</t>
        </is>
      </c>
      <c r="G15" s="44" t="inlineStr">
        <is>
          <t>No financiera</t>
        </is>
      </c>
      <c r="H15" s="35" t="inlineStr">
        <is>
          <t>CLP</t>
        </is>
      </c>
      <c r="I15" s="45" t="n">
        <v>1274.450561523438</v>
      </c>
      <c r="J15" s="46" t="inlineStr">
        <is>
          <t>Propiedades de inversión a valor razonable (NIC 40): la utilidad puede incluir revalorizaciones.</t>
        </is>
      </c>
    </row>
    <row r="16" ht="15" customHeight="1" s="31">
      <c r="A16" s="44" t="n">
        <v>15</v>
      </c>
      <c r="B16" s="44" t="inlineStr">
        <is>
          <t>CAP</t>
        </is>
      </c>
      <c r="C16" s="44" t="inlineStr">
        <is>
          <t>CAP S.A.</t>
        </is>
      </c>
      <c r="D16" s="44" t="inlineStr">
        <is>
          <t>Materials</t>
        </is>
      </c>
      <c r="E16" s="44" t="n">
        <v>3</v>
      </c>
      <c r="F16" s="44" t="inlineStr">
        <is>
          <t>Industria, recursos naturales e inmobiliario</t>
        </is>
      </c>
      <c r="G16" s="44" t="inlineStr">
        <is>
          <t>No financiera</t>
        </is>
      </c>
      <c r="H16" s="35" t="inlineStr">
        <is>
          <t>USD</t>
        </is>
      </c>
      <c r="I16" s="45" t="n">
        <v>2815.33837890625</v>
      </c>
      <c r="J16" s="46" t="n"/>
    </row>
    <row r="17" ht="15" customHeight="1" s="31">
      <c r="A17" s="44" t="n">
        <v>16</v>
      </c>
      <c r="B17" s="44" t="inlineStr">
        <is>
          <t>CMPC</t>
        </is>
      </c>
      <c r="C17" s="44" t="inlineStr">
        <is>
          <t>Empresas CMPC S.A.</t>
        </is>
      </c>
      <c r="D17" s="44" t="inlineStr">
        <is>
          <t>Materials</t>
        </is>
      </c>
      <c r="E17" s="44" t="n">
        <v>3</v>
      </c>
      <c r="F17" s="44" t="inlineStr">
        <is>
          <t>Industria, recursos naturales e inmobiliario</t>
        </is>
      </c>
      <c r="G17" s="44" t="inlineStr">
        <is>
          <t>No financiera</t>
        </is>
      </c>
      <c r="H17" s="35" t="inlineStr">
        <is>
          <t>USD</t>
        </is>
      </c>
      <c r="I17" s="45" t="n">
        <v>1224.225952148438</v>
      </c>
      <c r="J17" s="46" t="n"/>
    </row>
    <row r="18" ht="22.35" customHeight="1" s="31">
      <c r="A18" s="44" t="n">
        <v>17</v>
      </c>
      <c r="B18" s="44" t="inlineStr">
        <is>
          <t>SQM-B</t>
        </is>
      </c>
      <c r="C18" s="44" t="inlineStr">
        <is>
          <t>Sociedad Química y Minera de Chile S.A., Serie B</t>
        </is>
      </c>
      <c r="D18" s="44" t="inlineStr">
        <is>
          <t>Materials</t>
        </is>
      </c>
      <c r="E18" s="44" t="n">
        <v>3</v>
      </c>
      <c r="F18" s="44" t="inlineStr">
        <is>
          <t>Industria, recursos naturales e inmobiliario</t>
        </is>
      </c>
      <c r="G18" s="44" t="inlineStr">
        <is>
          <t>No financiera</t>
        </is>
      </c>
      <c r="H18" s="35" t="inlineStr">
        <is>
          <t>USD</t>
        </is>
      </c>
      <c r="I18" s="45" t="n">
        <v>16181.3125</v>
      </c>
      <c r="J18" s="46" t="inlineStr">
        <is>
          <t>USD. 2025: revisar perímetro por la sociedad NovaAndino Litio con Codelco.</t>
        </is>
      </c>
    </row>
    <row r="19" ht="15" customHeight="1" s="31">
      <c r="A19" s="44" t="n">
        <v>18</v>
      </c>
      <c r="B19" s="44" t="inlineStr">
        <is>
          <t>COPEC</t>
        </is>
      </c>
      <c r="C19" s="44" t="inlineStr">
        <is>
          <t>Empresas Copec S.A.</t>
        </is>
      </c>
      <c r="D19" s="44" t="inlineStr">
        <is>
          <t>Energy</t>
        </is>
      </c>
      <c r="E19" s="44" t="n">
        <v>3</v>
      </c>
      <c r="F19" s="44" t="inlineStr">
        <is>
          <t>Industria, recursos naturales e inmobiliario</t>
        </is>
      </c>
      <c r="G19" s="44" t="inlineStr">
        <is>
          <t>No financiera</t>
        </is>
      </c>
      <c r="H19" s="35" t="inlineStr">
        <is>
          <t>USD</t>
        </is>
      </c>
      <c r="I19" s="45" t="n">
        <v>6182.064453125</v>
      </c>
      <c r="J19" s="46" t="n"/>
    </row>
    <row r="20" ht="15" customHeight="1" s="31">
      <c r="A20" s="44" t="n">
        <v>19</v>
      </c>
      <c r="B20" s="44" t="inlineStr">
        <is>
          <t>CHILE</t>
        </is>
      </c>
      <c r="C20" s="44" t="inlineStr">
        <is>
          <t>Banco de Chile</t>
        </is>
      </c>
      <c r="D20" s="44" t="inlineStr">
        <is>
          <t>Financials</t>
        </is>
      </c>
      <c r="E20" s="44" t="n">
        <v>4</v>
      </c>
      <c r="F20" s="44" t="inlineStr">
        <is>
          <t>Financiero (bancos)</t>
        </is>
      </c>
      <c r="G20" s="44" t="inlineStr">
        <is>
          <t>Financiera</t>
        </is>
      </c>
      <c r="H20" s="35" t="inlineStr">
        <is>
          <t>CLP</t>
        </is>
      </c>
      <c r="I20" s="45" t="n">
        <v>44.93333435058594</v>
      </c>
      <c r="J20" s="46" t="inlineStr">
        <is>
          <t>Montos en MM$ (millones), tal como vienen del EEFF bancario.</t>
        </is>
      </c>
    </row>
    <row r="21" ht="15" customHeight="1" s="31">
      <c r="A21" s="44" t="n">
        <v>20</v>
      </c>
      <c r="B21" s="44" t="inlineStr">
        <is>
          <t>BCI</t>
        </is>
      </c>
      <c r="C21" s="44" t="inlineStr">
        <is>
          <t>Banco de Crédito e Inversiones</t>
        </is>
      </c>
      <c r="D21" s="44" t="inlineStr">
        <is>
          <t>Financials</t>
        </is>
      </c>
      <c r="E21" s="44" t="n">
        <v>4</v>
      </c>
      <c r="F21" s="44" t="inlineStr">
        <is>
          <t>Financiero (bancos)</t>
        </is>
      </c>
      <c r="G21" s="44" t="inlineStr">
        <is>
          <t>Financiera</t>
        </is>
      </c>
      <c r="H21" s="35" t="inlineStr">
        <is>
          <t>CLP</t>
        </is>
      </c>
      <c r="I21" s="45" t="n">
        <v>15494.48828125</v>
      </c>
      <c r="J21" s="46" t="inlineStr">
        <is>
          <t>Montos en MM$ (millones), tal como vienen del EEFF bancario.</t>
        </is>
      </c>
    </row>
    <row r="22" ht="15" customHeight="1" s="31">
      <c r="A22" s="44" t="n">
        <v>21</v>
      </c>
      <c r="B22" s="44" t="inlineStr">
        <is>
          <t>BSANTANDER</t>
        </is>
      </c>
      <c r="C22" s="44" t="inlineStr">
        <is>
          <t>Banco Santander-Chile</t>
        </is>
      </c>
      <c r="D22" s="44" t="inlineStr">
        <is>
          <t>Financials</t>
        </is>
      </c>
      <c r="E22" s="44" t="n">
        <v>4</v>
      </c>
      <c r="F22" s="44" t="inlineStr">
        <is>
          <t>Financiero (bancos)</t>
        </is>
      </c>
      <c r="G22" s="44" t="inlineStr">
        <is>
          <t>Financiera</t>
        </is>
      </c>
      <c r="H22" s="35" t="inlineStr">
        <is>
          <t>CLP</t>
        </is>
      </c>
      <c r="I22" s="45" t="n">
        <v>22.88047027587891</v>
      </c>
      <c r="J22" s="46" t="inlineStr">
        <is>
          <t>Montos en MM$ (millones), tal como vienen del EEFF bancario.</t>
        </is>
      </c>
    </row>
    <row r="23" ht="22.35" customHeight="1" s="31">
      <c r="A23" s="44" t="n">
        <v>22</v>
      </c>
      <c r="B23" s="44" t="inlineStr">
        <is>
          <t>ITAUCL</t>
        </is>
      </c>
      <c r="C23" s="44" t="inlineStr">
        <is>
          <t>Banco Itaú Chile</t>
        </is>
      </c>
      <c r="D23" s="44" t="inlineStr">
        <is>
          <t>Financials</t>
        </is>
      </c>
      <c r="E23" s="44" t="n">
        <v>4</v>
      </c>
      <c r="F23" s="44" t="inlineStr">
        <is>
          <t>Financiero (bancos)</t>
        </is>
      </c>
      <c r="G23" s="44" t="inlineStr">
        <is>
          <t>Financiera</t>
        </is>
      </c>
      <c r="H23" s="35" t="inlineStr">
        <is>
          <t>CLP</t>
        </is>
      </c>
      <c r="I23" s="45" t="n">
        <v>17342.9921875</v>
      </c>
      <c r="J23" s="46" t="inlineStr">
        <is>
          <t>Montos en MM$ (millones). Hasta 2021 figura como Itaú Corpbanca.</t>
        </is>
      </c>
    </row>
    <row r="25" ht="15" customHeight="1" s="31">
      <c r="B25" s="40" t="inlineStr">
        <is>
          <t>Excluidas del panel:</t>
        </is>
      </c>
    </row>
    <row r="26" ht="15" customHeight="1" s="31">
      <c r="B26" s="33" t="inlineStr">
        <is>
          <t>MALLPLAZA, SMU, CENCOMALLS — ingresaron al índice con posterioridad a 2017.</t>
        </is>
      </c>
    </row>
    <row r="27" ht="15" customHeight="1" s="31">
      <c r="B27" s="33" t="inlineStr">
        <is>
          <t>IAM — salió en septiembre de 2018 y reingresó en septiembre de 2019.</t>
        </is>
      </c>
    </row>
    <row r="28" ht="15" customHeight="1" s="31">
      <c r="B28" s="33" t="inlineStr">
        <is>
          <t>SALFACORP — salió en junio de 2020 y reingresó en septiembre de 2025.</t>
        </is>
      </c>
    </row>
    <row r="29" ht="15" customHeight="1" s="31">
      <c r="B29" s="33" t="inlineStr">
        <is>
          <t>QUINENCO — registró una salida y reingresó en marzo de 2022.</t>
        </is>
      </c>
    </row>
    <row r="30" ht="15" customHeight="1" s="31">
      <c r="B30" s="33" t="inlineStr">
        <is>
          <t>ILC — salió en septiembre de 2021 y reingresó en marzo de 2025.</t>
        </is>
      </c>
    </row>
    <row r="31" ht="15" customHeight="1" s="31">
      <c r="B31" s="33" t="inlineStr">
        <is>
          <t>VAPORES — vehículo de inversión: la participación en Hapag-Lloyd concentra más del 92% de sus activos.</t>
        </is>
      </c>
    </row>
    <row r="32" ht="15" customHeight="1" s="31">
      <c r="B32" s="33" t="inlineStr">
        <is>
          <t>Criterio: presencia ininterrumpida en el S&amp;P IPSA 2017–2025 (anuncios de rebalanceo de S&amp;P DJI).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30" min="1" max="1"/>
    <col width="26" customWidth="1" style="30" min="2" max="2"/>
    <col width="46" customWidth="1" style="30" min="3" max="3"/>
    <col width="40" customWidth="1" style="30" min="4" max="4"/>
    <col width="22" customWidth="1" style="30" min="5" max="5"/>
    <col width="12" customWidth="1" style="30" min="6" max="6"/>
    <col width="44" customWidth="1" style="30" min="7" max="7"/>
  </cols>
  <sheetData>
    <row r="1" ht="15" customHeight="1" s="31">
      <c r="A1" s="43" t="inlineStr">
        <is>
          <t>Código</t>
        </is>
      </c>
      <c r="B1" s="43" t="inlineStr">
        <is>
          <t>Campo</t>
        </is>
      </c>
      <c r="C1" s="43" t="inlineStr">
        <is>
          <t>Partida en los EEFF (CMF)</t>
        </is>
      </c>
      <c r="D1" s="43" t="inlineStr">
        <is>
          <t>Elemento taxonomía IFRS</t>
        </is>
      </c>
      <c r="E1" s="43" t="inlineStr">
        <is>
          <t>Estado financiero</t>
        </is>
      </c>
      <c r="F1" s="43" t="inlineStr">
        <is>
          <t>Condición</t>
        </is>
      </c>
      <c r="G1" s="43" t="inlineStr">
        <is>
          <t>Se usa en</t>
        </is>
      </c>
    </row>
    <row r="2" ht="15" customHeight="1" s="31">
      <c r="A2" s="47" t="inlineStr">
        <is>
          <t>P01</t>
        </is>
      </c>
      <c r="B2" s="47" t="inlineStr">
        <is>
          <t>activo_corriente</t>
        </is>
      </c>
      <c r="C2" s="47" t="inlineStr">
        <is>
          <t>Total de activos corrientes</t>
        </is>
      </c>
      <c r="D2" s="47" t="inlineStr">
        <is>
          <t>ifrs-full:CurrentAssets</t>
        </is>
      </c>
      <c r="E2" s="47" t="inlineStr">
        <is>
          <t>Situación financiera</t>
        </is>
      </c>
      <c r="F2" s="48" t="inlineStr">
        <is>
          <t>Núcleo</t>
        </is>
      </c>
      <c r="G2" s="47" t="inlineStr">
        <is>
          <t>Liquidez; Capital de trabajo</t>
        </is>
      </c>
    </row>
    <row r="3" ht="15" customHeight="1" s="31">
      <c r="A3" s="47" t="inlineStr">
        <is>
          <t>P02</t>
        </is>
      </c>
      <c r="B3" s="47" t="inlineStr">
        <is>
          <t>pasivo_corriente</t>
        </is>
      </c>
      <c r="C3" s="47" t="inlineStr">
        <is>
          <t>Total de pasivos corrientes</t>
        </is>
      </c>
      <c r="D3" s="47" t="inlineStr">
        <is>
          <t>ifrs-full:CurrentLiabilities</t>
        </is>
      </c>
      <c r="E3" s="47" t="inlineStr">
        <is>
          <t>Situación financiera</t>
        </is>
      </c>
      <c r="F3" s="48" t="inlineStr">
        <is>
          <t>Núcleo</t>
        </is>
      </c>
      <c r="G3" s="47" t="inlineStr">
        <is>
          <t>Liquidez; Capital de trabajo</t>
        </is>
      </c>
    </row>
    <row r="4" ht="23.85" customHeight="1" s="31">
      <c r="A4" s="47" t="inlineStr">
        <is>
          <t>P03</t>
        </is>
      </c>
      <c r="B4" s="47" t="inlineStr">
        <is>
          <t>activo_total</t>
        </is>
      </c>
      <c r="C4" s="47" t="inlineStr">
        <is>
          <t>Total de activos</t>
        </is>
      </c>
      <c r="D4" s="47" t="inlineStr">
        <is>
          <t>ifrs-full:Assets</t>
        </is>
      </c>
      <c r="E4" s="47" t="inlineStr">
        <is>
          <t>Situación financiera</t>
        </is>
      </c>
      <c r="F4" s="48" t="inlineStr">
        <is>
          <t>Núcleo</t>
        </is>
      </c>
      <c r="G4" s="47" t="inlineStr">
        <is>
          <t>Capital de trabajo; Rentabilidad; Endeudamiento; Uso de activos</t>
        </is>
      </c>
    </row>
    <row r="5" ht="15" customHeight="1" s="31">
      <c r="A5" s="47" t="inlineStr">
        <is>
          <t>P04</t>
        </is>
      </c>
      <c r="B5" s="47" t="inlineStr">
        <is>
          <t>pasivo_total</t>
        </is>
      </c>
      <c r="C5" s="47" t="inlineStr">
        <is>
          <t>Total de pasivos</t>
        </is>
      </c>
      <c r="D5" s="47" t="inlineStr">
        <is>
          <t>ifrs-full:Liabilities</t>
        </is>
      </c>
      <c r="E5" s="47" t="inlineStr">
        <is>
          <t>Situación financiera</t>
        </is>
      </c>
      <c r="F5" s="48" t="inlineStr">
        <is>
          <t>Núcleo</t>
        </is>
      </c>
      <c r="G5" s="47" t="inlineStr">
        <is>
          <t>Endeudamiento; control de cuadre</t>
        </is>
      </c>
    </row>
    <row r="6" ht="15" customHeight="1" s="31">
      <c r="A6" s="47" t="inlineStr">
        <is>
          <t>P05</t>
        </is>
      </c>
      <c r="B6" s="47" t="inlineStr">
        <is>
          <t>patrimonio_total</t>
        </is>
      </c>
      <c r="C6" s="47" t="inlineStr">
        <is>
          <t>Patrimonio total</t>
        </is>
      </c>
      <c r="D6" s="47" t="inlineStr">
        <is>
          <t>ifrs-full:Equity</t>
        </is>
      </c>
      <c r="E6" s="47" t="inlineStr">
        <is>
          <t>Situación financiera</t>
        </is>
      </c>
      <c r="F6" s="48" t="inlineStr">
        <is>
          <t>Núcleo</t>
        </is>
      </c>
      <c r="G6" s="47" t="inlineStr">
        <is>
          <t>Control de cuadre</t>
        </is>
      </c>
    </row>
    <row r="7" ht="15" customHeight="1" s="31">
      <c r="A7" s="47" t="inlineStr">
        <is>
          <t>P06</t>
        </is>
      </c>
      <c r="B7" s="47" t="inlineStr">
        <is>
          <t>ingresos</t>
        </is>
      </c>
      <c r="C7" s="47" t="inlineStr">
        <is>
          <t>Ingresos de actividades ordinarias</t>
        </is>
      </c>
      <c r="D7" s="47" t="inlineStr">
        <is>
          <t>ifrs-full:Revenue</t>
        </is>
      </c>
      <c r="E7" s="47" t="inlineStr">
        <is>
          <t>Resultados</t>
        </is>
      </c>
      <c r="F7" s="48" t="inlineStr">
        <is>
          <t>Núcleo</t>
        </is>
      </c>
      <c r="G7" s="47" t="inlineStr">
        <is>
          <t>Eficiencia; Uso de activos</t>
        </is>
      </c>
    </row>
    <row r="8" ht="15" customHeight="1" s="31">
      <c r="A8" s="47" t="inlineStr">
        <is>
          <t>P07</t>
        </is>
      </c>
      <c r="B8" s="47" t="inlineStr">
        <is>
          <t>costos_financieros</t>
        </is>
      </c>
      <c r="C8" s="47" t="inlineStr">
        <is>
          <t>Costos financieros</t>
        </is>
      </c>
      <c r="D8" s="47" t="inlineStr">
        <is>
          <t>ifrs-full:FinanceCosts</t>
        </is>
      </c>
      <c r="E8" s="47" t="inlineStr">
        <is>
          <t>Resultados</t>
        </is>
      </c>
      <c r="F8" s="48" t="inlineStr">
        <is>
          <t>Núcleo</t>
        </is>
      </c>
      <c r="G8" s="47" t="inlineStr">
        <is>
          <t>EBIT; Cobertura</t>
        </is>
      </c>
    </row>
    <row r="9" ht="15" customHeight="1" s="31">
      <c r="A9" s="47" t="inlineStr">
        <is>
          <t>P08</t>
        </is>
      </c>
      <c r="B9" s="47" t="inlineStr">
        <is>
          <t>ganancia_antes_impuestos</t>
        </is>
      </c>
      <c r="C9" s="47" t="inlineStr">
        <is>
          <t>Ganancia (pérdida), antes de impuestos</t>
        </is>
      </c>
      <c r="D9" s="47" t="inlineStr">
        <is>
          <t>ifrs-full:ProfitLossBeforeTax</t>
        </is>
      </c>
      <c r="E9" s="47" t="inlineStr">
        <is>
          <t>Resultados</t>
        </is>
      </c>
      <c r="F9" s="48" t="inlineStr">
        <is>
          <t>Núcleo</t>
        </is>
      </c>
      <c r="G9" s="47" t="inlineStr">
        <is>
          <t>EBIT</t>
        </is>
      </c>
    </row>
    <row r="10" ht="15" customHeight="1" s="31">
      <c r="A10" s="47" t="inlineStr">
        <is>
          <t>P09</t>
        </is>
      </c>
      <c r="B10" s="47" t="inlineStr">
        <is>
          <t>ganancia_ejercicio</t>
        </is>
      </c>
      <c r="C10" s="47" t="inlineStr">
        <is>
          <t>Ganancia (pérdida)</t>
        </is>
      </c>
      <c r="D10" s="47" t="inlineStr">
        <is>
          <t>ifrs-full:ProfitLoss</t>
        </is>
      </c>
      <c r="E10" s="47" t="inlineStr">
        <is>
          <t>Resultados</t>
        </is>
      </c>
      <c r="F10" s="48" t="inlineStr">
        <is>
          <t>Núcleo</t>
        </is>
      </c>
      <c r="G10" s="47" t="inlineStr">
        <is>
          <t>Rentabilidad (ROA)</t>
        </is>
      </c>
    </row>
    <row r="11" ht="23.85" customHeight="1" s="31">
      <c r="A11" s="47" t="inlineStr">
        <is>
          <t>P10</t>
        </is>
      </c>
      <c r="B11" s="47" t="inlineStr">
        <is>
          <t>patrimonio_controladora</t>
        </is>
      </c>
      <c r="C11" s="47" t="inlineStr">
        <is>
          <t>Patrimonio atribuible a los propietarios de la controladora</t>
        </is>
      </c>
      <c r="D11" s="47" t="inlineStr">
        <is>
          <t>ifrs-full:EquityAttributableToOwnersOfParent</t>
        </is>
      </c>
      <c r="E11" s="47" t="inlineStr">
        <is>
          <t>Situación financiera</t>
        </is>
      </c>
      <c r="F11" s="47" t="inlineStr">
        <is>
          <t>Opcional</t>
        </is>
      </c>
      <c r="G11" s="47" t="inlineStr">
        <is>
          <t>ROE descriptivo</t>
        </is>
      </c>
    </row>
    <row r="12" ht="23.85" customHeight="1" s="31">
      <c r="A12" s="47" t="inlineStr">
        <is>
          <t>P11</t>
        </is>
      </c>
      <c r="B12" s="47" t="inlineStr">
        <is>
          <t>ganancia_controladora</t>
        </is>
      </c>
      <c r="C12" s="47" t="inlineStr">
        <is>
          <t>Ganancia (pérdida), atribuible a los propietarios de la controladora</t>
        </is>
      </c>
      <c r="D12" s="47" t="inlineStr">
        <is>
          <t>ifrs-full:ProfitLossAttributableToOwnersOfParent</t>
        </is>
      </c>
      <c r="E12" s="47" t="inlineStr">
        <is>
          <t>Resultados</t>
        </is>
      </c>
      <c r="F12" s="47" t="inlineStr">
        <is>
          <t>Opcional</t>
        </is>
      </c>
      <c r="G12" s="47" t="inlineStr">
        <is>
          <t>ROE descriptivo</t>
        </is>
      </c>
    </row>
    <row r="13" ht="23.85" customHeight="1" s="31">
      <c r="A13" s="47" t="inlineStr">
        <is>
          <t>P12</t>
        </is>
      </c>
      <c r="B13" s="47" t="inlineStr">
        <is>
          <t>resultado_operacional_presentado</t>
        </is>
      </c>
      <c r="C13" s="47" t="inlineStr">
        <is>
          <t>Ganancia (pérdida) de actividades operacionales (si se presenta)</t>
        </is>
      </c>
      <c r="D13" s="47" t="inlineStr">
        <is>
          <t>ifrs-full:ProfitLossFromOperatingActivities</t>
        </is>
      </c>
      <c r="E13" s="47" t="inlineStr">
        <is>
          <t>Resultados</t>
        </is>
      </c>
      <c r="F13" s="47" t="inlineStr">
        <is>
          <t>Opcional</t>
        </is>
      </c>
      <c r="G13" s="47" t="inlineStr">
        <is>
          <t>Solo informativo; contraste con EBIT</t>
        </is>
      </c>
    </row>
    <row r="14" ht="23.85" customHeight="1" s="31">
      <c r="A14" s="47" t="inlineStr">
        <is>
          <t>M01</t>
        </is>
      </c>
      <c r="B14" s="47" t="inlineStr">
        <is>
          <t>precio_ajustado_cierre</t>
        </is>
      </c>
      <c r="C14" s="47" t="inlineStr">
        <is>
          <t>Precio ajustado por dividendos al último día hábil del año</t>
        </is>
      </c>
      <c r="D14" s="47" t="inlineStr">
        <is>
          <t>— (Yahoo Finance / Bolsa de Santiago)</t>
        </is>
      </c>
      <c r="E14" s="47" t="inlineStr">
        <is>
          <t>Datos de mercado</t>
        </is>
      </c>
      <c r="F14" s="48" t="inlineStr">
        <is>
          <t>Núcleo</t>
        </is>
      </c>
      <c r="G14" s="47" t="inlineStr">
        <is>
          <t>Mercado</t>
        </is>
      </c>
    </row>
    <row r="15" ht="15" customHeight="1" s="31">
      <c r="A15" s="41" t="n"/>
      <c r="B15" s="41" t="n"/>
      <c r="C15" s="41" t="n"/>
      <c r="D15" s="41" t="n"/>
      <c r="E15" s="41" t="n"/>
      <c r="F15" s="41" t="n"/>
      <c r="G15" s="41" t="n"/>
    </row>
    <row r="16" ht="23.85" customHeight="1" s="31">
      <c r="A16" s="47" t="inlineStr">
        <is>
          <t>B01</t>
        </is>
      </c>
      <c r="B16" s="47" t="inlineStr">
        <is>
          <t>activo_total</t>
        </is>
      </c>
      <c r="C16" s="47" t="inlineStr">
        <is>
          <t>Total activos</t>
        </is>
      </c>
      <c r="D16" s="47" t="inlineStr">
        <is>
          <t>Compendio de Normas Contables para Bancos (CMF)</t>
        </is>
      </c>
      <c r="E16" s="47" t="inlineStr">
        <is>
          <t>Situación financiera</t>
        </is>
      </c>
      <c r="F16" s="48" t="inlineStr">
        <is>
          <t>Núcleo</t>
        </is>
      </c>
      <c r="G16" s="47" t="inlineStr">
        <is>
          <t>Rentabilidad; Endeudamiento; Uso de activos</t>
        </is>
      </c>
    </row>
    <row r="17" ht="15" customHeight="1" s="31">
      <c r="A17" s="47" t="inlineStr">
        <is>
          <t>B02</t>
        </is>
      </c>
      <c r="B17" s="47" t="inlineStr">
        <is>
          <t>pasivo_total</t>
        </is>
      </c>
      <c r="C17" s="47" t="inlineStr">
        <is>
          <t>Total pasivos</t>
        </is>
      </c>
      <c r="D17" s="47" t="inlineStr">
        <is>
          <t>Compendio CMF</t>
        </is>
      </c>
      <c r="E17" s="47" t="inlineStr">
        <is>
          <t>Situación financiera</t>
        </is>
      </c>
      <c r="F17" s="48" t="inlineStr">
        <is>
          <t>Núcleo</t>
        </is>
      </c>
      <c r="G17" s="47" t="inlineStr">
        <is>
          <t>Endeudamiento</t>
        </is>
      </c>
    </row>
    <row r="18" ht="15" customHeight="1" s="31">
      <c r="A18" s="47" t="inlineStr">
        <is>
          <t>B03</t>
        </is>
      </c>
      <c r="B18" s="47" t="inlineStr">
        <is>
          <t>patrimonio_total</t>
        </is>
      </c>
      <c r="C18" s="47" t="inlineStr">
        <is>
          <t>Total patrimonio</t>
        </is>
      </c>
      <c r="D18" s="47" t="inlineStr">
        <is>
          <t>Compendio CMF</t>
        </is>
      </c>
      <c r="E18" s="47" t="inlineStr">
        <is>
          <t>Situación financiera</t>
        </is>
      </c>
      <c r="F18" s="48" t="inlineStr">
        <is>
          <t>Núcleo</t>
        </is>
      </c>
      <c r="G18" s="47" t="inlineStr">
        <is>
          <t>Control de cuadre; ROE</t>
        </is>
      </c>
    </row>
    <row r="19" ht="15" customHeight="1" s="31">
      <c r="A19" s="47" t="inlineStr">
        <is>
          <t>B04</t>
        </is>
      </c>
      <c r="B19" s="47" t="inlineStr">
        <is>
          <t>efectivo</t>
        </is>
      </c>
      <c r="C19" s="47" t="inlineStr">
        <is>
          <t>Efectivo y depósitos en bancos</t>
        </is>
      </c>
      <c r="D19" s="47" t="inlineStr">
        <is>
          <t>Compendio CMF</t>
        </is>
      </c>
      <c r="E19" s="47" t="inlineStr">
        <is>
          <t>Situación financiera</t>
        </is>
      </c>
      <c r="F19" s="48" t="inlineStr">
        <is>
          <t>Núcleo</t>
        </is>
      </c>
      <c r="G19" s="47" t="inlineStr">
        <is>
          <t>Liquidez</t>
        </is>
      </c>
    </row>
    <row r="20" ht="23.85" customHeight="1" s="31">
      <c r="A20" s="47" t="inlineStr">
        <is>
          <t>B05</t>
        </is>
      </c>
      <c r="B20" s="47" t="inlineStr">
        <is>
          <t>depositos</t>
        </is>
      </c>
      <c r="C20" s="47" t="inlineStr">
        <is>
          <t>Depósitos y otras obligaciones a la vista + Depósitos y otras captaciones a plazo (suma)</t>
        </is>
      </c>
      <c r="D20" s="47" t="inlineStr">
        <is>
          <t>Compendio CMF</t>
        </is>
      </c>
      <c r="E20" s="47" t="inlineStr">
        <is>
          <t>Situación financiera</t>
        </is>
      </c>
      <c r="F20" s="48" t="inlineStr">
        <is>
          <t>Núcleo</t>
        </is>
      </c>
      <c r="G20" s="47" t="inlineStr">
        <is>
          <t>Liquidez</t>
        </is>
      </c>
    </row>
    <row r="21" ht="23.85" customHeight="1" s="31">
      <c r="A21" s="47" t="inlineStr">
        <is>
          <t>B06</t>
        </is>
      </c>
      <c r="B21" s="47" t="inlineStr">
        <is>
          <t>colocaciones</t>
        </is>
      </c>
      <c r="C21" s="47" t="inlineStr">
        <is>
          <t>Créditos y cuentas por cobrar a clientes (desde 2022: suma de comerciales, vivienda y consumo)</t>
        </is>
      </c>
      <c r="D21" s="47" t="inlineStr">
        <is>
          <t>Compendio CMF</t>
        </is>
      </c>
      <c r="E21" s="47" t="inlineStr">
        <is>
          <t>Situación financiera</t>
        </is>
      </c>
      <c r="F21" s="47" t="inlineStr">
        <is>
          <t>Opcional</t>
        </is>
      </c>
      <c r="G21" s="47" t="inlineStr">
        <is>
          <t>Descriptivo</t>
        </is>
      </c>
    </row>
    <row r="22" ht="35.05" customHeight="1" s="31">
      <c r="A22" s="47" t="inlineStr">
        <is>
          <t>B07</t>
        </is>
      </c>
      <c r="B22" s="47" t="inlineStr">
        <is>
          <t>ingreso_operacional_neto</t>
        </is>
      </c>
      <c r="C22" s="47" t="inlineStr">
        <is>
          <t>TOTAL INGRESOS OPERACIONALES (antes de provisiones; NO usar la línea «Ingreso operacional neto» de 2017–2021)</t>
        </is>
      </c>
      <c r="D22" s="47" t="inlineStr">
        <is>
          <t>Compendio CMF</t>
        </is>
      </c>
      <c r="E22" s="47" t="inlineStr">
        <is>
          <t>Resultados</t>
        </is>
      </c>
      <c r="F22" s="48" t="inlineStr">
        <is>
          <t>Núcleo</t>
        </is>
      </c>
      <c r="G22" s="47" t="inlineStr">
        <is>
          <t>Eficiencia; Uso de activos</t>
        </is>
      </c>
    </row>
    <row r="23" ht="15" customHeight="1" s="31">
      <c r="A23" s="47" t="inlineStr">
        <is>
          <t>B08</t>
        </is>
      </c>
      <c r="B23" s="47" t="inlineStr">
        <is>
          <t>gastos_operacionales</t>
        </is>
      </c>
      <c r="C23" s="47" t="inlineStr">
        <is>
          <t>Total gastos operacionales</t>
        </is>
      </c>
      <c r="D23" s="47" t="inlineStr">
        <is>
          <t>Compendio CMF</t>
        </is>
      </c>
      <c r="E23" s="47" t="inlineStr">
        <is>
          <t>Resultados</t>
        </is>
      </c>
      <c r="F23" s="48" t="inlineStr">
        <is>
          <t>Núcleo</t>
        </is>
      </c>
      <c r="G23" s="47" t="inlineStr">
        <is>
          <t>Eficiencia</t>
        </is>
      </c>
    </row>
    <row r="24" ht="23.85" customHeight="1" s="31">
      <c r="A24" s="47" t="inlineStr">
        <is>
          <t>B09</t>
        </is>
      </c>
      <c r="B24" s="47" t="inlineStr">
        <is>
          <t>gasto_provisiones</t>
        </is>
      </c>
      <c r="C24" s="47" t="inlineStr">
        <is>
          <t>Desde 2022: Gasto por pérdidas crediticias · Hasta 2021: Provisiones por riesgo de crédito</t>
        </is>
      </c>
      <c r="D24" s="47" t="inlineStr">
        <is>
          <t>Compendio CMF</t>
        </is>
      </c>
      <c r="E24" s="47" t="inlineStr">
        <is>
          <t>Resultados</t>
        </is>
      </c>
      <c r="F24" s="48" t="inlineStr">
        <is>
          <t>Núcleo</t>
        </is>
      </c>
      <c r="G24" s="47" t="inlineStr">
        <is>
          <t>Cobertura</t>
        </is>
      </c>
    </row>
    <row r="25" ht="35.05" customHeight="1" s="31">
      <c r="A25" s="47" t="inlineStr">
        <is>
          <t>B10</t>
        </is>
      </c>
      <c r="B25" s="47" t="inlineStr">
        <is>
          <t>ganancia_antes_impuestos</t>
        </is>
      </c>
      <c r="C25" s="47" t="inlineStr">
        <is>
          <t>Desde 2022: Resultado de operaciones continuas antes de impuestos · Hasta 2021: Resultado antes de impuesto a la renta</t>
        </is>
      </c>
      <c r="D25" s="47" t="inlineStr">
        <is>
          <t>Compendio CMF</t>
        </is>
      </c>
      <c r="E25" s="47" t="inlineStr">
        <is>
          <t>Resultados</t>
        </is>
      </c>
      <c r="F25" s="48" t="inlineStr">
        <is>
          <t>Núcleo</t>
        </is>
      </c>
      <c r="G25" s="47" t="inlineStr">
        <is>
          <t>Cobertura</t>
        </is>
      </c>
    </row>
    <row r="26" ht="15" customHeight="1" s="31">
      <c r="A26" s="47" t="inlineStr">
        <is>
          <t>B11</t>
        </is>
      </c>
      <c r="B26" s="47" t="inlineStr">
        <is>
          <t>ganancia_ejercicio</t>
        </is>
      </c>
      <c r="C26" s="47" t="inlineStr">
        <is>
          <t>UTILIDAD CONSOLIDADA DEL EJERCICIO</t>
        </is>
      </c>
      <c r="D26" s="47" t="inlineStr">
        <is>
          <t>Compendio CMF</t>
        </is>
      </c>
      <c r="E26" s="47" t="inlineStr">
        <is>
          <t>Resultados</t>
        </is>
      </c>
      <c r="F26" s="48" t="inlineStr">
        <is>
          <t>Núcleo</t>
        </is>
      </c>
      <c r="G26" s="47" t="inlineStr">
        <is>
          <t>Rentabilidad (ROA)</t>
        </is>
      </c>
    </row>
    <row r="28" ht="15" customHeight="1" s="31">
      <c r="A28" s="33" t="inlineStr">
        <is>
          <t>P = empresas no financieras (18) · B = bancos (4) · M = dato de mercado, común a ambas. Bancos: montos en MM$, tal como vienen; no convertir.</t>
        </is>
      </c>
    </row>
    <row r="29" ht="15" customHeight="1" s="31">
      <c r="A29" s="33" t="inlineStr">
        <is>
          <t>Bancos: el Compendio de Normas Contables de la CMF se actualizó con vigencia desde 2022. Homologue los rubros de 2021 usando la columna comparativa del EEFF 2022.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T1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30" min="1" max="1"/>
    <col width="7" customWidth="1" style="30" min="2" max="2"/>
    <col width="30" customWidth="1" style="30" min="3" max="3"/>
    <col width="7" customWidth="1" style="30" min="4" max="4"/>
    <col width="9" customWidth="1" style="30" min="5" max="5"/>
    <col width="15" customWidth="1" style="30" min="6" max="18"/>
    <col width="24" customWidth="1" style="30" min="19" max="19"/>
    <col width="30" customWidth="1" style="30" min="20" max="20"/>
  </cols>
  <sheetData>
    <row r="1" ht="42" customHeight="1" s="31">
      <c r="A1" s="43" t="inlineStr">
        <is>
          <t>nemotecnico</t>
        </is>
      </c>
      <c r="B1" s="43" t="inlineStr">
        <is>
          <t>cod_sector</t>
        </is>
      </c>
      <c r="C1" s="43" t="inlineStr">
        <is>
          <t>sector</t>
        </is>
      </c>
      <c r="D1" s="43" t="inlineStr">
        <is>
          <t>anio</t>
        </is>
      </c>
      <c r="E1" s="43" t="inlineStr">
        <is>
          <t>moneda</t>
        </is>
      </c>
      <c r="F1" s="43" t="inlineStr">
        <is>
          <t>activo_corriente</t>
        </is>
      </c>
      <c r="G1" s="43" t="inlineStr">
        <is>
          <t>pasivo_corriente</t>
        </is>
      </c>
      <c r="H1" s="43" t="inlineStr">
        <is>
          <t>activo_total</t>
        </is>
      </c>
      <c r="I1" s="43" t="inlineStr">
        <is>
          <t>pasivo_total</t>
        </is>
      </c>
      <c r="J1" s="43" t="inlineStr">
        <is>
          <t>patrimonio_total</t>
        </is>
      </c>
      <c r="K1" s="43" t="inlineStr">
        <is>
          <t>ingresos</t>
        </is>
      </c>
      <c r="L1" s="43" t="inlineStr">
        <is>
          <t>costos_financieros</t>
        </is>
      </c>
      <c r="M1" s="43" t="inlineStr">
        <is>
          <t>ganancia_antes_impuestos</t>
        </is>
      </c>
      <c r="N1" s="43" t="inlineStr">
        <is>
          <t>ganancia_ejercicio</t>
        </is>
      </c>
      <c r="O1" s="43" t="inlineStr">
        <is>
          <t>patrimonio_controladora</t>
        </is>
      </c>
      <c r="P1" s="43" t="inlineStr">
        <is>
          <t>ganancia_controladora</t>
        </is>
      </c>
      <c r="Q1" s="43" t="inlineStr">
        <is>
          <t>resultado_operacional_presentado</t>
        </is>
      </c>
      <c r="R1" s="43" t="inlineStr">
        <is>
          <t>precio_ajustado_cierre</t>
        </is>
      </c>
      <c r="S1" s="43" t="inlineStr">
        <is>
          <t>fuente</t>
        </is>
      </c>
      <c r="T1" s="43" t="inlineStr">
        <is>
          <t>observaciones</t>
        </is>
      </c>
    </row>
    <row r="2" ht="15" customHeight="1" s="31">
      <c r="A2" s="39" t="inlineStr">
        <is>
          <t>AGUAS-A</t>
        </is>
      </c>
      <c r="B2" s="39" t="n">
        <v>1</v>
      </c>
      <c r="C2" s="39" t="inlineStr">
        <is>
          <t>Servicios básicos e infraestructura</t>
        </is>
      </c>
      <c r="D2" s="49" t="n">
        <v>2017</v>
      </c>
      <c r="E2" s="38">
        <f>IFERROR(INDEX(Empresas!$H$2:$H$23,MATCH($A2,Empresas!$B$2:$B$23,0))&amp;"","")</f>
        <v/>
      </c>
      <c r="F2" s="50" t="n">
        <v>150618761</v>
      </c>
      <c r="G2" s="50" t="n">
        <v>237111903</v>
      </c>
      <c r="H2" s="50" t="n">
        <v>1796880136</v>
      </c>
      <c r="I2" s="50" t="n">
        <v>1103580659</v>
      </c>
      <c r="J2" s="50" t="n">
        <v>693299477</v>
      </c>
      <c r="K2" s="50" t="n">
        <v>509540577</v>
      </c>
      <c r="L2" s="50" t="n">
        <v>31112258</v>
      </c>
      <c r="M2" s="50" t="n">
        <v>189822878</v>
      </c>
      <c r="N2" s="50" t="n">
        <v>143482253</v>
      </c>
      <c r="O2" s="50" t="n">
        <v>642630776</v>
      </c>
      <c r="P2" s="50" t="n">
        <v>139620280</v>
      </c>
      <c r="Q2" s="50" t="n">
        <v>226819054</v>
      </c>
      <c r="R2" s="45" t="n">
        <v>236.9022521972656</v>
      </c>
      <c r="S2" s="35" t="inlineStr">
        <is>
          <t>XBRL 2018, comparativo</t>
        </is>
      </c>
      <c r="T2" s="35" t="n"/>
    </row>
    <row r="3" ht="15" customHeight="1" s="31">
      <c r="A3" s="39" t="inlineStr">
        <is>
          <t>AGUAS-A</t>
        </is>
      </c>
      <c r="B3" s="39" t="n">
        <v>1</v>
      </c>
      <c r="C3" s="39" t="inlineStr">
        <is>
          <t>Servicios básicos e infraestructura</t>
        </is>
      </c>
      <c r="D3" s="49" t="n">
        <v>2018</v>
      </c>
      <c r="E3" s="38">
        <f>IFERROR(INDEX(Empresas!$H$2:$H$23,MATCH($A3,Empresas!$B$2:$B$23,0))&amp;"","")</f>
        <v/>
      </c>
      <c r="F3" s="50" t="n">
        <v>168513972</v>
      </c>
      <c r="G3" s="50" t="n">
        <v>242318524</v>
      </c>
      <c r="H3" s="50" t="n">
        <v>1906052099</v>
      </c>
      <c r="I3" s="50" t="n">
        <v>1219060702</v>
      </c>
      <c r="J3" s="50" t="n">
        <v>686991397</v>
      </c>
      <c r="K3" s="50" t="n">
        <v>530404680</v>
      </c>
      <c r="L3" s="50" t="n">
        <v>29996785</v>
      </c>
      <c r="M3" s="50" t="n">
        <v>185824777</v>
      </c>
      <c r="N3" s="50" t="n">
        <v>139318355</v>
      </c>
      <c r="O3" s="50" t="n">
        <v>638620655</v>
      </c>
      <c r="P3" s="50" t="n">
        <v>136056517</v>
      </c>
      <c r="Q3" s="50" t="n">
        <v>233071676</v>
      </c>
      <c r="R3" s="45" t="n">
        <v>234.7377471923828</v>
      </c>
      <c r="S3" s="35" t="inlineStr">
        <is>
          <t>XBRL 2018, actual</t>
        </is>
      </c>
      <c r="T3" s="35" t="n"/>
    </row>
    <row r="4" ht="15" customHeight="1" s="31">
      <c r="A4" s="39" t="inlineStr">
        <is>
          <t>AGUAS-A</t>
        </is>
      </c>
      <c r="B4" s="39" t="n">
        <v>1</v>
      </c>
      <c r="C4" s="39" t="inlineStr">
        <is>
          <t>Servicios básicos e infraestructura</t>
        </is>
      </c>
      <c r="D4" s="49" t="n">
        <v>2019</v>
      </c>
      <c r="E4" s="38">
        <f>IFERROR(INDEX(Empresas!$H$2:$H$23,MATCH($A4,Empresas!$B$2:$B$23,0))&amp;"","")</f>
        <v/>
      </c>
      <c r="F4" s="50" t="n">
        <v>197676646</v>
      </c>
      <c r="G4" s="50" t="n">
        <v>242137717</v>
      </c>
      <c r="H4" s="50" t="n">
        <v>2001444302</v>
      </c>
      <c r="I4" s="50" t="n">
        <v>1313970839</v>
      </c>
      <c r="J4" s="50" t="n">
        <v>687473463</v>
      </c>
      <c r="K4" s="50" t="n">
        <v>484329084</v>
      </c>
      <c r="L4" s="50" t="n">
        <v>26752209</v>
      </c>
      <c r="M4" s="50" t="n">
        <v>192072838</v>
      </c>
      <c r="N4" s="50" t="n">
        <v>139750372</v>
      </c>
      <c r="O4" s="50" t="n">
        <v>644453334</v>
      </c>
      <c r="P4" s="50" t="n">
        <v>141737188</v>
      </c>
      <c r="Q4" s="50" t="n">
        <v>235636236</v>
      </c>
      <c r="R4" s="45" t="n">
        <v>207.4420623779297</v>
      </c>
      <c r="S4" s="35" t="inlineStr">
        <is>
          <t>XBRL 2020, comparativo</t>
        </is>
      </c>
      <c r="T4" s="35" t="n"/>
    </row>
    <row r="5" ht="15" customHeight="1" s="31">
      <c r="A5" s="39" t="inlineStr">
        <is>
          <t>AGUAS-A</t>
        </is>
      </c>
      <c r="B5" s="39" t="n">
        <v>1</v>
      </c>
      <c r="C5" s="39" t="inlineStr">
        <is>
          <t>Servicios básicos e infraestructura</t>
        </is>
      </c>
      <c r="D5" s="49" t="n">
        <v>2020</v>
      </c>
      <c r="E5" s="38">
        <f>IFERROR(INDEX(Empresas!$H$2:$H$23,MATCH($A5,Empresas!$B$2:$B$23,0))&amp;"","")</f>
        <v/>
      </c>
      <c r="F5" s="50" t="n">
        <v>302254499</v>
      </c>
      <c r="G5" s="50" t="n">
        <v>244032589</v>
      </c>
      <c r="H5" s="50" t="n">
        <v>2144436488</v>
      </c>
      <c r="I5" s="50" t="n">
        <v>1303687681</v>
      </c>
      <c r="J5" s="50" t="n">
        <v>840748807</v>
      </c>
      <c r="K5" s="50" t="n">
        <v>478773563</v>
      </c>
      <c r="L5" s="50" t="n">
        <v>28172393</v>
      </c>
      <c r="M5" s="50" t="n">
        <v>115681631</v>
      </c>
      <c r="N5" s="50" t="n">
        <v>100365495</v>
      </c>
      <c r="O5" s="50" t="n">
        <v>840723242</v>
      </c>
      <c r="P5" s="50" t="n">
        <v>98691668</v>
      </c>
      <c r="Q5" s="50" t="n">
        <v>162824880</v>
      </c>
      <c r="R5" s="45" t="n">
        <v>159.1632232666016</v>
      </c>
      <c r="S5" s="35" t="inlineStr">
        <is>
          <t>XBRL 2020, actual</t>
        </is>
      </c>
      <c r="T5" s="35" t="n"/>
    </row>
    <row r="6" ht="15" customHeight="1" s="31">
      <c r="A6" s="39" t="inlineStr">
        <is>
          <t>AGUAS-A</t>
        </is>
      </c>
      <c r="B6" s="39" t="n">
        <v>1</v>
      </c>
      <c r="C6" s="39" t="inlineStr">
        <is>
          <t>Servicios básicos e infraestructura</t>
        </is>
      </c>
      <c r="D6" s="49" t="n">
        <v>2021</v>
      </c>
      <c r="E6" s="38">
        <f>IFERROR(INDEX(Empresas!$H$2:$H$23,MATCH($A6,Empresas!$B$2:$B$23,0))&amp;"","")</f>
        <v/>
      </c>
      <c r="F6" s="50" t="n">
        <v>283854689</v>
      </c>
      <c r="G6" s="50" t="n">
        <v>248642211</v>
      </c>
      <c r="H6" s="50" t="n">
        <v>2229221610</v>
      </c>
      <c r="I6" s="50" t="n">
        <v>1386673897</v>
      </c>
      <c r="J6" s="50" t="n">
        <v>842547713</v>
      </c>
      <c r="K6" s="50" t="n">
        <v>506459633</v>
      </c>
      <c r="L6" s="50" t="n">
        <v>27862844</v>
      </c>
      <c r="M6" s="50" t="n">
        <v>120309420</v>
      </c>
      <c r="N6" s="50" t="n">
        <v>100646534</v>
      </c>
      <c r="O6" s="50" t="n">
        <v>842520215</v>
      </c>
      <c r="P6" s="50" t="n">
        <v>100644529</v>
      </c>
      <c r="Q6" s="50" t="n">
        <v>212947803</v>
      </c>
      <c r="R6" s="45" t="n">
        <v>118.440071105957</v>
      </c>
      <c r="S6" s="35" t="inlineStr">
        <is>
          <t>XBRL 2022, comparativo</t>
        </is>
      </c>
      <c r="T6" s="35" t="n"/>
    </row>
    <row r="7" ht="15" customHeight="1" s="31">
      <c r="A7" s="39" t="inlineStr">
        <is>
          <t>AGUAS-A</t>
        </is>
      </c>
      <c r="B7" s="39" t="n">
        <v>1</v>
      </c>
      <c r="C7" s="39" t="inlineStr">
        <is>
          <t>Servicios básicos e infraestructura</t>
        </is>
      </c>
      <c r="D7" s="49" t="n">
        <v>2022</v>
      </c>
      <c r="E7" s="38">
        <f>IFERROR(INDEX(Empresas!$H$2:$H$23,MATCH($A7,Empresas!$B$2:$B$23,0))&amp;"","")</f>
        <v/>
      </c>
      <c r="F7" s="50" t="n">
        <v>324838124</v>
      </c>
      <c r="G7" s="50" t="n">
        <v>265797147</v>
      </c>
      <c r="H7" s="50" t="n">
        <v>2379349560</v>
      </c>
      <c r="I7" s="50" t="n">
        <v>1540458461</v>
      </c>
      <c r="J7" s="50" t="n">
        <v>838891099</v>
      </c>
      <c r="K7" s="50" t="n">
        <v>575465445</v>
      </c>
      <c r="L7" s="50" t="n">
        <v>36630374</v>
      </c>
      <c r="M7" s="50" t="n">
        <v>82672491</v>
      </c>
      <c r="N7" s="50" t="n">
        <v>85250874</v>
      </c>
      <c r="O7" s="50" t="n">
        <v>838861526</v>
      </c>
      <c r="P7" s="50" t="n">
        <v>85248734</v>
      </c>
      <c r="Q7" s="50" t="n">
        <v>228258340</v>
      </c>
      <c r="R7" s="45" t="n">
        <v>160.1697845458984</v>
      </c>
      <c r="S7" s="35" t="inlineStr">
        <is>
          <t>XBRL 2022, actual</t>
        </is>
      </c>
      <c r="T7" s="35" t="n"/>
    </row>
    <row r="8" ht="15" customHeight="1" s="31">
      <c r="A8" s="39" t="inlineStr">
        <is>
          <t>AGUAS-A</t>
        </is>
      </c>
      <c r="B8" s="39" t="n">
        <v>1</v>
      </c>
      <c r="C8" s="39" t="inlineStr">
        <is>
          <t>Servicios básicos e infraestructura</t>
        </is>
      </c>
      <c r="D8" s="49" t="n">
        <v>2023</v>
      </c>
      <c r="E8" s="38">
        <f>IFERROR(INDEX(Empresas!$H$2:$H$23,MATCH($A8,Empresas!$B$2:$B$23,0))&amp;"","")</f>
        <v/>
      </c>
      <c r="F8" s="50" t="n">
        <v>275004410</v>
      </c>
      <c r="G8" s="50" t="n">
        <v>361668126</v>
      </c>
      <c r="H8" s="50" t="n">
        <v>2423347729</v>
      </c>
      <c r="I8" s="50" t="n">
        <v>1537208431</v>
      </c>
      <c r="J8" s="50" t="n">
        <v>886139298</v>
      </c>
      <c r="K8" s="50" t="n">
        <v>640855854</v>
      </c>
      <c r="L8" s="50" t="n">
        <v>48849432</v>
      </c>
      <c r="M8" s="50" t="n">
        <v>167301553</v>
      </c>
      <c r="N8" s="50" t="n">
        <v>133392316</v>
      </c>
      <c r="O8" s="50" t="n">
        <v>886107830</v>
      </c>
      <c r="P8" s="50" t="n">
        <v>133390421</v>
      </c>
      <c r="Q8" s="50" t="n">
        <v>256251484</v>
      </c>
      <c r="R8" s="45" t="n">
        <v>246.3736114501953</v>
      </c>
      <c r="S8" s="35" t="inlineStr">
        <is>
          <t>XBRL 2024, comparativo</t>
        </is>
      </c>
      <c r="T8" s="35" t="n"/>
    </row>
    <row r="9" ht="15" customHeight="1" s="31">
      <c r="A9" s="39" t="inlineStr">
        <is>
          <t>AGUAS-A</t>
        </is>
      </c>
      <c r="B9" s="39" t="n">
        <v>1</v>
      </c>
      <c r="C9" s="39" t="inlineStr">
        <is>
          <t>Servicios básicos e infraestructura</t>
        </is>
      </c>
      <c r="D9" s="49" t="n">
        <v>2024</v>
      </c>
      <c r="E9" s="38">
        <f>IFERROR(INDEX(Empresas!$H$2:$H$23,MATCH($A9,Empresas!$B$2:$B$23,0))&amp;"","")</f>
        <v/>
      </c>
      <c r="F9" s="50" t="n">
        <v>288702263</v>
      </c>
      <c r="G9" s="50" t="n">
        <v>351513489</v>
      </c>
      <c r="H9" s="50" t="n">
        <v>3018159335</v>
      </c>
      <c r="I9" s="50" t="n">
        <v>1726043867</v>
      </c>
      <c r="J9" s="50" t="n">
        <v>1292115468</v>
      </c>
      <c r="K9" s="50" t="n">
        <v>663124854</v>
      </c>
      <c r="L9" s="50" t="n">
        <v>49334397</v>
      </c>
      <c r="M9" s="50" t="n">
        <v>158648372</v>
      </c>
      <c r="N9" s="50" t="n">
        <v>124341654</v>
      </c>
      <c r="O9" s="50" t="n">
        <v>1292066950</v>
      </c>
      <c r="P9" s="50" t="n">
        <v>124339646</v>
      </c>
      <c r="Q9" s="50" t="n">
        <v>250689914</v>
      </c>
      <c r="R9" s="45" t="n">
        <v>273.23779296875</v>
      </c>
      <c r="S9" s="35" t="inlineStr">
        <is>
          <t>XBRL 2025, comparativo</t>
        </is>
      </c>
      <c r="T9" s="35" t="n"/>
    </row>
    <row r="10" ht="15" customHeight="1" s="31">
      <c r="A10" s="39" t="inlineStr">
        <is>
          <t>AGUAS-A</t>
        </is>
      </c>
      <c r="B10" s="39" t="n">
        <v>1</v>
      </c>
      <c r="C10" s="39" t="inlineStr">
        <is>
          <t>Servicios básicos e infraestructura</t>
        </is>
      </c>
      <c r="D10" s="49" t="n">
        <v>2025</v>
      </c>
      <c r="E10" s="38">
        <f>IFERROR(INDEX(Empresas!$H$2:$H$23,MATCH($A10,Empresas!$B$2:$B$23,0))&amp;"","")</f>
        <v/>
      </c>
      <c r="F10" s="50" t="n">
        <v>349120706</v>
      </c>
      <c r="G10" s="50" t="n">
        <v>279876332</v>
      </c>
      <c r="H10" s="50" t="n">
        <v>3160940487</v>
      </c>
      <c r="I10" s="50" t="n">
        <v>1837956795</v>
      </c>
      <c r="J10" s="50" t="n">
        <v>1322983692</v>
      </c>
      <c r="K10" s="50" t="n">
        <v>712787064</v>
      </c>
      <c r="L10" s="50" t="n">
        <v>55425087</v>
      </c>
      <c r="M10" s="50" t="n">
        <v>177385719</v>
      </c>
      <c r="N10" s="50" t="n">
        <v>139810947</v>
      </c>
      <c r="O10" s="50" t="n">
        <v>1322935141</v>
      </c>
      <c r="P10" s="50" t="n">
        <v>139808491</v>
      </c>
      <c r="Q10" s="50" t="n">
        <v>270051183</v>
      </c>
      <c r="R10" s="45" t="n">
        <v>358.47021484375</v>
      </c>
      <c r="S10" s="35" t="inlineStr">
        <is>
          <t>XBRL 2025, actual</t>
        </is>
      </c>
      <c r="T10" s="35" t="n"/>
    </row>
    <row r="11" ht="15" customHeight="1" s="31">
      <c r="A11" s="39" t="inlineStr">
        <is>
          <t>COLBUN</t>
        </is>
      </c>
      <c r="B11" s="39" t="n">
        <v>1</v>
      </c>
      <c r="C11" s="39" t="inlineStr">
        <is>
          <t>Servicios básicos e infraestructura</t>
        </is>
      </c>
      <c r="D11" s="49" t="n">
        <v>2017</v>
      </c>
      <c r="E11" s="38">
        <f>IFERROR(INDEX(Empresas!$H$2:$H$23,MATCH($A11,Empresas!$B$2:$B$23,0))&amp;"","")</f>
        <v/>
      </c>
      <c r="F11" s="50" t="n">
        <v>1147162</v>
      </c>
      <c r="G11" s="50" t="n">
        <v>360397</v>
      </c>
      <c r="H11" s="50" t="n">
        <v>6922542</v>
      </c>
      <c r="I11" s="50" t="n">
        <v>2971835</v>
      </c>
      <c r="J11" s="50" t="n">
        <v>3950707</v>
      </c>
      <c r="K11" s="50" t="n">
        <v>1548412</v>
      </c>
      <c r="L11" s="50" t="n">
        <v>84954</v>
      </c>
      <c r="M11" s="50" t="n">
        <v>322682</v>
      </c>
      <c r="N11" s="50" t="n">
        <v>288602</v>
      </c>
      <c r="O11" s="50" t="n">
        <v>3724532</v>
      </c>
      <c r="P11" s="50" t="n">
        <v>270985</v>
      </c>
      <c r="Q11" s="50" t="n">
        <v>383837</v>
      </c>
      <c r="R11" s="45" t="n">
        <v>140.4179534912109</v>
      </c>
      <c r="S11" s="35" t="inlineStr">
        <is>
          <t>XBRL 2018, comparativo</t>
        </is>
      </c>
      <c r="T11" s="35" t="n"/>
    </row>
    <row r="12" ht="15" customHeight="1" s="31">
      <c r="A12" s="39" t="inlineStr">
        <is>
          <t>COLBUN</t>
        </is>
      </c>
      <c r="B12" s="39" t="n">
        <v>1</v>
      </c>
      <c r="C12" s="39" t="inlineStr">
        <is>
          <t>Servicios básicos e infraestructura</t>
        </is>
      </c>
      <c r="D12" s="49" t="n">
        <v>2018</v>
      </c>
      <c r="E12" s="38">
        <f>IFERROR(INDEX(Empresas!$H$2:$H$23,MATCH($A12,Empresas!$B$2:$B$23,0))&amp;"","")</f>
        <v/>
      </c>
      <c r="F12" s="50" t="n">
        <v>1151263</v>
      </c>
      <c r="G12" s="50" t="n">
        <v>345365</v>
      </c>
      <c r="H12" s="50" t="n">
        <v>6778349</v>
      </c>
      <c r="I12" s="50" t="n">
        <v>2921411</v>
      </c>
      <c r="J12" s="50" t="n">
        <v>3856938</v>
      </c>
      <c r="K12" s="50" t="n">
        <v>1571347</v>
      </c>
      <c r="L12" s="50" t="n">
        <v>83871</v>
      </c>
      <c r="M12" s="50" t="n">
        <v>328843</v>
      </c>
      <c r="N12" s="50" t="n">
        <v>230425</v>
      </c>
      <c r="O12" s="50" t="n">
        <v>3656514</v>
      </c>
      <c r="P12" s="50" t="n">
        <v>240350</v>
      </c>
      <c r="Q12" s="50" t="n">
        <v>393600</v>
      </c>
      <c r="R12" s="45" t="n">
        <v>138.3588562011719</v>
      </c>
      <c r="S12" s="35" t="inlineStr">
        <is>
          <t>XBRL 2018, actual</t>
        </is>
      </c>
      <c r="T12" s="35" t="n"/>
    </row>
    <row r="13" ht="15" customHeight="1" s="31">
      <c r="A13" s="39" t="inlineStr">
        <is>
          <t>COLBUN</t>
        </is>
      </c>
      <c r="B13" s="39" t="n">
        <v>1</v>
      </c>
      <c r="C13" s="39" t="inlineStr">
        <is>
          <t>Servicios básicos e infraestructura</t>
        </is>
      </c>
      <c r="D13" s="49" t="n">
        <v>2019</v>
      </c>
      <c r="E13" s="38">
        <f>IFERROR(INDEX(Empresas!$H$2:$H$23,MATCH($A13,Empresas!$B$2:$B$23,0))&amp;"","")</f>
        <v/>
      </c>
      <c r="F13" s="50" t="n">
        <v>1139451</v>
      </c>
      <c r="G13" s="50" t="n">
        <v>338298</v>
      </c>
      <c r="H13" s="50" t="n">
        <v>6705350</v>
      </c>
      <c r="I13" s="50" t="n">
        <v>2969715</v>
      </c>
      <c r="J13" s="50" t="n">
        <v>3735635</v>
      </c>
      <c r="K13" s="50" t="n">
        <v>1487387</v>
      </c>
      <c r="L13" s="50" t="n">
        <v>91069</v>
      </c>
      <c r="M13" s="50" t="n">
        <v>270182</v>
      </c>
      <c r="N13" s="50" t="n">
        <v>201966</v>
      </c>
      <c r="O13" s="50" t="n">
        <v>3536293</v>
      </c>
      <c r="P13" s="50" t="n">
        <v>203047</v>
      </c>
      <c r="Q13" s="50" t="n">
        <v>337210</v>
      </c>
      <c r="R13" s="45" t="n">
        <v>119.1542510986328</v>
      </c>
      <c r="S13" s="35" t="inlineStr">
        <is>
          <t>XBRL 2020, comparativo</t>
        </is>
      </c>
      <c r="T13" s="35" t="n"/>
    </row>
    <row r="14" ht="15" customHeight="1" s="31">
      <c r="A14" s="39" t="inlineStr">
        <is>
          <t>COLBUN</t>
        </is>
      </c>
      <c r="B14" s="39" t="n">
        <v>1</v>
      </c>
      <c r="C14" s="39" t="inlineStr">
        <is>
          <t>Servicios básicos e infraestructura</t>
        </is>
      </c>
      <c r="D14" s="49" t="n">
        <v>2020</v>
      </c>
      <c r="E14" s="38">
        <f>IFERROR(INDEX(Empresas!$H$2:$H$23,MATCH($A14,Empresas!$B$2:$B$23,0))&amp;"","")</f>
        <v/>
      </c>
      <c r="F14" s="50" t="n">
        <v>1259184</v>
      </c>
      <c r="G14" s="50" t="n">
        <v>306532</v>
      </c>
      <c r="H14" s="50" t="n">
        <v>6633867</v>
      </c>
      <c r="I14" s="50" t="n">
        <v>3048499</v>
      </c>
      <c r="J14" s="50" t="n">
        <v>3585368</v>
      </c>
      <c r="K14" s="50" t="n">
        <v>1348868</v>
      </c>
      <c r="L14" s="50" t="n">
        <v>90459</v>
      </c>
      <c r="M14" s="50" t="n">
        <v>132219</v>
      </c>
      <c r="N14" s="50" t="n">
        <v>89468</v>
      </c>
      <c r="O14" s="50" t="n">
        <v>3459451</v>
      </c>
      <c r="P14" s="50" t="n">
        <v>162893</v>
      </c>
      <c r="Q14" s="50" t="n">
        <v>195761</v>
      </c>
      <c r="R14" s="45" t="n">
        <v>124.6289596557617</v>
      </c>
      <c r="S14" s="35" t="inlineStr">
        <is>
          <t>XBRL 2020, actual</t>
        </is>
      </c>
      <c r="T14" s="35" t="n"/>
    </row>
    <row r="15" ht="15" customHeight="1" s="31">
      <c r="A15" s="39" t="inlineStr">
        <is>
          <t>COLBUN</t>
        </is>
      </c>
      <c r="B15" s="39" t="n">
        <v>1</v>
      </c>
      <c r="C15" s="39" t="inlineStr">
        <is>
          <t>Servicios básicos e infraestructura</t>
        </is>
      </c>
      <c r="D15" s="49" t="n">
        <v>2021</v>
      </c>
      <c r="E15" s="38">
        <f>IFERROR(INDEX(Empresas!$H$2:$H$23,MATCH($A15,Empresas!$B$2:$B$23,0))&amp;"","")</f>
        <v/>
      </c>
      <c r="F15" s="50" t="n">
        <v>1766436</v>
      </c>
      <c r="G15" s="50" t="n">
        <v>679004</v>
      </c>
      <c r="H15" s="50" t="n">
        <v>6602508</v>
      </c>
      <c r="I15" s="50" t="n">
        <v>3761082</v>
      </c>
      <c r="J15" s="50" t="n">
        <v>2841426</v>
      </c>
      <c r="K15" s="50" t="n">
        <v>1439744</v>
      </c>
      <c r="L15" s="50" t="n">
        <v>86347</v>
      </c>
      <c r="M15" s="50" t="n">
        <v>825172</v>
      </c>
      <c r="N15" s="50" t="n">
        <v>540180</v>
      </c>
      <c r="O15" s="50" t="n">
        <v>2720627</v>
      </c>
      <c r="P15" s="50" t="n">
        <v>545298</v>
      </c>
      <c r="Q15" s="50" t="n">
        <v>913680</v>
      </c>
      <c r="R15" s="45" t="n">
        <v>68.85749816894531</v>
      </c>
      <c r="S15" s="35" t="inlineStr">
        <is>
          <t>XBRL 2022, comparativo</t>
        </is>
      </c>
      <c r="T15" s="35" t="n"/>
    </row>
    <row r="16" ht="15" customHeight="1" s="31">
      <c r="A16" s="39" t="inlineStr">
        <is>
          <t>COLBUN</t>
        </is>
      </c>
      <c r="B16" s="39" t="n">
        <v>1</v>
      </c>
      <c r="C16" s="39" t="inlineStr">
        <is>
          <t>Servicios básicos e infraestructura</t>
        </is>
      </c>
      <c r="D16" s="49" t="n">
        <v>2022</v>
      </c>
      <c r="E16" s="38">
        <f>IFERROR(INDEX(Empresas!$H$2:$H$23,MATCH($A16,Empresas!$B$2:$B$23,0))&amp;"","")</f>
        <v/>
      </c>
      <c r="F16" s="50" t="n">
        <v>1688307</v>
      </c>
      <c r="G16" s="50" t="n">
        <v>542664</v>
      </c>
      <c r="H16" s="50" t="n">
        <v>6605974</v>
      </c>
      <c r="I16" s="50" t="n">
        <v>3653097</v>
      </c>
      <c r="J16" s="50" t="n">
        <v>2952877</v>
      </c>
      <c r="K16" s="50" t="n">
        <v>1974023</v>
      </c>
      <c r="L16" s="50" t="n">
        <v>88723</v>
      </c>
      <c r="M16" s="50" t="n">
        <v>416000</v>
      </c>
      <c r="N16" s="50" t="n">
        <v>310467</v>
      </c>
      <c r="O16" s="50" t="n">
        <v>2817580</v>
      </c>
      <c r="P16" s="50" t="n">
        <v>295969</v>
      </c>
      <c r="Q16" s="50" t="n">
        <v>466168</v>
      </c>
      <c r="R16" s="45" t="n">
        <v>86.75360107421875</v>
      </c>
      <c r="S16" s="35" t="inlineStr">
        <is>
          <t>XBRL 2022, actual</t>
        </is>
      </c>
      <c r="T16" s="35" t="n"/>
    </row>
    <row r="17" ht="15" customHeight="1" s="31">
      <c r="A17" s="39" t="inlineStr">
        <is>
          <t>COLBUN</t>
        </is>
      </c>
      <c r="B17" s="39" t="n">
        <v>1</v>
      </c>
      <c r="C17" s="39" t="inlineStr">
        <is>
          <t>Servicios básicos e infraestructura</t>
        </is>
      </c>
      <c r="D17" s="49" t="n">
        <v>2023</v>
      </c>
      <c r="E17" s="38">
        <f>IFERROR(INDEX(Empresas!$H$2:$H$23,MATCH($A17,Empresas!$B$2:$B$23,0))&amp;"","")</f>
        <v/>
      </c>
      <c r="F17" s="50" t="n">
        <v>1426255</v>
      </c>
      <c r="G17" s="50" t="n">
        <v>470836</v>
      </c>
      <c r="H17" s="50" t="n">
        <v>6660723</v>
      </c>
      <c r="I17" s="50" t="n">
        <v>3563445</v>
      </c>
      <c r="J17" s="50" t="n">
        <v>3097278</v>
      </c>
      <c r="K17" s="50" t="n">
        <v>2003619</v>
      </c>
      <c r="L17" s="50" t="n">
        <v>85409</v>
      </c>
      <c r="M17" s="50" t="n">
        <v>548572</v>
      </c>
      <c r="N17" s="50" t="n">
        <v>403830</v>
      </c>
      <c r="O17" s="50" t="n">
        <v>2973256</v>
      </c>
      <c r="P17" s="50" t="n">
        <v>393489</v>
      </c>
      <c r="Q17" s="50" t="n">
        <v>559568</v>
      </c>
      <c r="R17" s="45" t="n">
        <v>138.9443664550781</v>
      </c>
      <c r="S17" s="35" t="inlineStr">
        <is>
          <t>XBRL 2024, comparativo</t>
        </is>
      </c>
      <c r="T17" s="35" t="n"/>
    </row>
    <row r="18" ht="15" customHeight="1" s="31">
      <c r="A18" s="39" t="inlineStr">
        <is>
          <t>COLBUN</t>
        </is>
      </c>
      <c r="B18" s="39" t="n">
        <v>1</v>
      </c>
      <c r="C18" s="39" t="inlineStr">
        <is>
          <t>Servicios básicos e infraestructura</t>
        </is>
      </c>
      <c r="D18" s="49" t="n">
        <v>2024</v>
      </c>
      <c r="E18" s="38">
        <f>IFERROR(INDEX(Empresas!$H$2:$H$23,MATCH($A18,Empresas!$B$2:$B$23,0))&amp;"","")</f>
        <v/>
      </c>
      <c r="F18" s="50" t="n">
        <v>1200078</v>
      </c>
      <c r="G18" s="50" t="n">
        <v>370170</v>
      </c>
      <c r="H18" s="50" t="n">
        <v>6908204</v>
      </c>
      <c r="I18" s="50" t="n">
        <v>3677808</v>
      </c>
      <c r="J18" s="50" t="n">
        <v>3230396</v>
      </c>
      <c r="K18" s="50" t="n">
        <v>1575984</v>
      </c>
      <c r="L18" s="50" t="n">
        <v>70290</v>
      </c>
      <c r="M18" s="50" t="n">
        <v>344735</v>
      </c>
      <c r="N18" s="50" t="n">
        <v>257157</v>
      </c>
      <c r="O18" s="50" t="n">
        <v>3104259</v>
      </c>
      <c r="P18" s="50" t="n">
        <v>252457</v>
      </c>
      <c r="Q18" s="50" t="n">
        <v>353138</v>
      </c>
      <c r="R18" s="45" t="n">
        <v>122.1548843383789</v>
      </c>
      <c r="S18" s="35" t="inlineStr">
        <is>
          <t>XBRL 2025, comparativo</t>
        </is>
      </c>
      <c r="T18" s="35" t="n"/>
    </row>
    <row r="19" ht="15" customHeight="1" s="31">
      <c r="A19" s="39" t="inlineStr">
        <is>
          <t>COLBUN</t>
        </is>
      </c>
      <c r="B19" s="39" t="n">
        <v>1</v>
      </c>
      <c r="C19" s="39" t="inlineStr">
        <is>
          <t>Servicios básicos e infraestructura</t>
        </is>
      </c>
      <c r="D19" s="49" t="n">
        <v>2025</v>
      </c>
      <c r="E19" s="38">
        <f>IFERROR(INDEX(Empresas!$H$2:$H$23,MATCH($A19,Empresas!$B$2:$B$23,0))&amp;"","")</f>
        <v/>
      </c>
      <c r="F19" s="50" t="n">
        <v>1414034</v>
      </c>
      <c r="G19" s="50" t="n">
        <v>376337</v>
      </c>
      <c r="H19" s="50" t="n">
        <v>7199543</v>
      </c>
      <c r="I19" s="50" t="n">
        <v>3952955</v>
      </c>
      <c r="J19" s="50" t="n">
        <v>3246588</v>
      </c>
      <c r="K19" s="50" t="n">
        <v>1595567</v>
      </c>
      <c r="L19" s="50" t="n">
        <v>94103</v>
      </c>
      <c r="M19" s="50" t="n">
        <v>233139</v>
      </c>
      <c r="N19" s="50" t="n">
        <v>186971</v>
      </c>
      <c r="O19" s="50" t="n">
        <v>3245341</v>
      </c>
      <c r="P19" s="50" t="n">
        <v>187207</v>
      </c>
      <c r="Q19" s="50" t="n">
        <v>269168</v>
      </c>
      <c r="R19" s="45" t="n">
        <v>143.1527252197266</v>
      </c>
      <c r="S19" s="35" t="inlineStr">
        <is>
          <t>XBRL 2025, actual</t>
        </is>
      </c>
      <c r="T19" s="35" t="n"/>
    </row>
    <row r="20" ht="15" customHeight="1" s="31">
      <c r="A20" s="39" t="inlineStr">
        <is>
          <t>ENELAM</t>
        </is>
      </c>
      <c r="B20" s="39" t="n">
        <v>1</v>
      </c>
      <c r="C20" s="39" t="inlineStr">
        <is>
          <t>Servicios básicos e infraestructura</t>
        </is>
      </c>
      <c r="D20" s="49" t="n">
        <v>2017</v>
      </c>
      <c r="E20" s="38">
        <f>IFERROR(INDEX(Empresas!$H$2:$H$23,MATCH($A20,Empresas!$B$2:$B$23,0))&amp;"","")</f>
        <v/>
      </c>
      <c r="F20" s="50" t="n">
        <v>4545421</v>
      </c>
      <c r="G20" s="50" t="n">
        <v>4934336</v>
      </c>
      <c r="H20" s="50" t="n">
        <v>20168991</v>
      </c>
      <c r="I20" s="50" t="n">
        <v>11890484</v>
      </c>
      <c r="J20" s="50" t="n">
        <v>8278507</v>
      </c>
      <c r="K20" s="50" t="n">
        <v>9489266</v>
      </c>
      <c r="L20" s="50" t="n">
        <v>869535</v>
      </c>
      <c r="M20" s="50" t="n">
        <v>1645648</v>
      </c>
      <c r="N20" s="50" t="n">
        <v>1126514</v>
      </c>
      <c r="O20" s="50" t="n">
        <v>6480471</v>
      </c>
      <c r="P20" s="50" t="n">
        <v>709043</v>
      </c>
      <c r="Q20" s="50" t="n">
        <v>2224744</v>
      </c>
      <c r="R20" s="45" t="n">
        <v>134.8207702636719</v>
      </c>
      <c r="S20" s="35" t="inlineStr">
        <is>
          <t>XBRL 2018, comparativo</t>
        </is>
      </c>
      <c r="T20" s="35" t="n"/>
    </row>
    <row r="21" ht="15" customHeight="1" s="31">
      <c r="A21" s="39" t="inlineStr">
        <is>
          <t>ENELAM</t>
        </is>
      </c>
      <c r="B21" s="39" t="n">
        <v>1</v>
      </c>
      <c r="C21" s="39" t="inlineStr">
        <is>
          <t>Servicios básicos e infraestructura</t>
        </is>
      </c>
      <c r="D21" s="49" t="n">
        <v>2018</v>
      </c>
      <c r="E21" s="38">
        <f>IFERROR(INDEX(Empresas!$H$2:$H$23,MATCH($A21,Empresas!$B$2:$B$23,0))&amp;"","")</f>
        <v/>
      </c>
      <c r="F21" s="50" t="n">
        <v>6383986</v>
      </c>
      <c r="G21" s="50" t="n">
        <v>9650756</v>
      </c>
      <c r="H21" s="50" t="n">
        <v>27396356</v>
      </c>
      <c r="I21" s="50" t="n">
        <v>18564456</v>
      </c>
      <c r="J21" s="50" t="n">
        <v>8831900</v>
      </c>
      <c r="K21" s="50" t="n">
        <v>12119134</v>
      </c>
      <c r="L21" s="50" t="n">
        <v>1071759</v>
      </c>
      <c r="M21" s="50" t="n">
        <v>2104990</v>
      </c>
      <c r="N21" s="50" t="n">
        <v>1667058</v>
      </c>
      <c r="O21" s="50" t="n">
        <v>6724008</v>
      </c>
      <c r="P21" s="50" t="n">
        <v>1201381</v>
      </c>
      <c r="Q21" s="50" t="n">
        <v>2435201</v>
      </c>
      <c r="R21" s="45" t="n">
        <v>120.540412902832</v>
      </c>
      <c r="S21" s="35" t="inlineStr">
        <is>
          <t>XBRL 2018, actual</t>
        </is>
      </c>
      <c r="T21" s="35" t="n"/>
    </row>
    <row r="22" ht="15" customHeight="1" s="31">
      <c r="A22" s="39" t="inlineStr">
        <is>
          <t>ENELAM</t>
        </is>
      </c>
      <c r="B22" s="39" t="n">
        <v>1</v>
      </c>
      <c r="C22" s="39" t="inlineStr">
        <is>
          <t>Servicios básicos e infraestructura</t>
        </is>
      </c>
      <c r="D22" s="49" t="n">
        <v>2019</v>
      </c>
      <c r="E22" s="38">
        <f>IFERROR(INDEX(Empresas!$H$2:$H$23,MATCH($A22,Empresas!$B$2:$B$23,0))&amp;"","")</f>
        <v/>
      </c>
      <c r="F22" s="50" t="n">
        <v>6581254</v>
      </c>
      <c r="G22" s="50" t="n">
        <v>6735932</v>
      </c>
      <c r="H22" s="50" t="n">
        <v>29776384</v>
      </c>
      <c r="I22" s="50" t="n">
        <v>17530198</v>
      </c>
      <c r="J22" s="50" t="n">
        <v>12246186</v>
      </c>
      <c r="K22" s="50" t="n">
        <v>13053376</v>
      </c>
      <c r="L22" s="50" t="n">
        <v>1088631</v>
      </c>
      <c r="M22" s="50" t="n">
        <v>2406109</v>
      </c>
      <c r="N22" s="50" t="n">
        <v>2169763</v>
      </c>
      <c r="O22" s="50" t="n">
        <v>9966287</v>
      </c>
      <c r="P22" s="50" t="n">
        <v>1614085</v>
      </c>
      <c r="Q22" s="50" t="n">
        <v>3062184</v>
      </c>
      <c r="R22" s="45" t="n">
        <v>166.9536743164062</v>
      </c>
      <c r="S22" s="35" t="inlineStr">
        <is>
          <t>XBRL 2020, comparativo</t>
        </is>
      </c>
      <c r="T22" s="35" t="n"/>
    </row>
    <row r="23" ht="15" customHeight="1" s="31">
      <c r="A23" s="39" t="inlineStr">
        <is>
          <t>ENELAM</t>
        </is>
      </c>
      <c r="B23" s="39" t="n">
        <v>1</v>
      </c>
      <c r="C23" s="39" t="inlineStr">
        <is>
          <t>Servicios básicos e infraestructura</t>
        </is>
      </c>
      <c r="D23" s="49" t="n">
        <v>2020</v>
      </c>
      <c r="E23" s="38">
        <f>IFERROR(INDEX(Empresas!$H$2:$H$23,MATCH($A23,Empresas!$B$2:$B$23,0))&amp;"","")</f>
        <v/>
      </c>
      <c r="F23" s="50" t="n">
        <v>6179256</v>
      </c>
      <c r="G23" s="50" t="n">
        <v>7277222</v>
      </c>
      <c r="H23" s="50" t="n">
        <v>26933558</v>
      </c>
      <c r="I23" s="50" t="n">
        <v>16599895</v>
      </c>
      <c r="J23" s="50" t="n">
        <v>10333663</v>
      </c>
      <c r="K23" s="50" t="n">
        <v>11238976</v>
      </c>
      <c r="L23" s="50" t="n">
        <v>768453</v>
      </c>
      <c r="M23" s="50" t="n">
        <v>1747812</v>
      </c>
      <c r="N23" s="50" t="n">
        <v>1181252</v>
      </c>
      <c r="O23" s="50" t="n">
        <v>8105859</v>
      </c>
      <c r="P23" s="50" t="n">
        <v>825197</v>
      </c>
      <c r="Q23" s="50" t="n">
        <v>2300158</v>
      </c>
      <c r="R23" s="45" t="n">
        <v>115.9869766235352</v>
      </c>
      <c r="S23" s="35" t="inlineStr">
        <is>
          <t>XBRL 2020, actual</t>
        </is>
      </c>
      <c r="T23" s="35" t="n"/>
    </row>
    <row r="24" ht="15" customHeight="1" s="31">
      <c r="A24" s="39" t="inlineStr">
        <is>
          <t>ENELAM</t>
        </is>
      </c>
      <c r="B24" s="39" t="n">
        <v>1</v>
      </c>
      <c r="C24" s="39" t="inlineStr">
        <is>
          <t>Servicios básicos e infraestructura</t>
        </is>
      </c>
      <c r="D24" s="49" t="n">
        <v>2021</v>
      </c>
      <c r="E24" s="38">
        <f>IFERROR(INDEX(Empresas!$H$2:$H$23,MATCH($A24,Empresas!$B$2:$B$23,0))&amp;"","")</f>
        <v/>
      </c>
      <c r="F24" s="50" t="n">
        <v>7062479</v>
      </c>
      <c r="G24" s="50" t="n">
        <v>7795534</v>
      </c>
      <c r="H24" s="50" t="n">
        <v>34958938</v>
      </c>
      <c r="I24" s="50" t="n">
        <v>19928845</v>
      </c>
      <c r="J24" s="50" t="n">
        <v>15030093</v>
      </c>
      <c r="K24" s="50" t="n">
        <v>14535024</v>
      </c>
      <c r="L24" s="50" t="n">
        <v>1052065</v>
      </c>
      <c r="M24" s="50" t="n">
        <v>1940803</v>
      </c>
      <c r="N24" s="50" t="n">
        <v>1134511</v>
      </c>
      <c r="O24" s="50" t="n">
        <v>12832657</v>
      </c>
      <c r="P24" s="50" t="n">
        <v>740859</v>
      </c>
      <c r="Q24" s="50" t="n">
        <v>3012436</v>
      </c>
      <c r="R24" s="45" t="n">
        <v>92.98515319824219</v>
      </c>
      <c r="S24" s="35" t="inlineStr">
        <is>
          <t>XBRL 2022, comparativo</t>
        </is>
      </c>
      <c r="T24" s="35" t="n"/>
    </row>
    <row r="25" ht="15" customHeight="1" s="31">
      <c r="A25" s="39" t="inlineStr">
        <is>
          <t>ENELAM</t>
        </is>
      </c>
      <c r="B25" s="39" t="n">
        <v>1</v>
      </c>
      <c r="C25" s="39" t="inlineStr">
        <is>
          <t>Servicios básicos e infraestructura</t>
        </is>
      </c>
      <c r="D25" s="49" t="n">
        <v>2022</v>
      </c>
      <c r="E25" s="38">
        <f>IFERROR(INDEX(Empresas!$H$2:$H$23,MATCH($A25,Empresas!$B$2:$B$23,0))&amp;"","")</f>
        <v/>
      </c>
      <c r="F25" s="50" t="n">
        <v>7763830</v>
      </c>
      <c r="G25" s="50" t="n">
        <v>7926972</v>
      </c>
      <c r="H25" s="50" t="n">
        <v>34773647</v>
      </c>
      <c r="I25" s="50" t="n">
        <v>19326529</v>
      </c>
      <c r="J25" s="50" t="n">
        <v>15447118</v>
      </c>
      <c r="K25" s="50" t="n">
        <v>13566678</v>
      </c>
      <c r="L25" s="50" t="n">
        <v>1553546</v>
      </c>
      <c r="M25" s="50" t="n">
        <v>1143105</v>
      </c>
      <c r="N25" s="50" t="n">
        <v>303099</v>
      </c>
      <c r="O25" s="50" t="n">
        <v>12957150</v>
      </c>
      <c r="P25" s="50" t="n">
        <v>-44145</v>
      </c>
      <c r="Q25" s="50" t="n">
        <v>2113591</v>
      </c>
      <c r="R25" s="45" t="n">
        <v>113.4843063354492</v>
      </c>
      <c r="S25" s="35" t="inlineStr">
        <is>
          <t>XBRL 2022, actual</t>
        </is>
      </c>
      <c r="T25" s="35" t="n"/>
    </row>
    <row r="26" ht="15" customHeight="1" s="31">
      <c r="A26" s="39" t="inlineStr">
        <is>
          <t>ENELAM</t>
        </is>
      </c>
      <c r="B26" s="39" t="n">
        <v>1</v>
      </c>
      <c r="C26" s="39" t="inlineStr">
        <is>
          <t>Servicios básicos e infraestructura</t>
        </is>
      </c>
      <c r="D26" s="49" t="n">
        <v>2023</v>
      </c>
      <c r="E26" s="38">
        <f>IFERROR(INDEX(Empresas!$H$2:$H$23,MATCH($A26,Empresas!$B$2:$B$23,0))&amp;"","")</f>
        <v/>
      </c>
      <c r="F26" s="50" t="n">
        <v>10319459</v>
      </c>
      <c r="G26" s="50" t="n">
        <v>9727420</v>
      </c>
      <c r="H26" s="50" t="n">
        <v>36854680</v>
      </c>
      <c r="I26" s="50" t="n">
        <v>19833885</v>
      </c>
      <c r="J26" s="50" t="n">
        <v>17020795</v>
      </c>
      <c r="K26" s="50" t="n">
        <v>11768430</v>
      </c>
      <c r="L26" s="50" t="n">
        <v>1635259</v>
      </c>
      <c r="M26" s="50" t="n">
        <v>1450462</v>
      </c>
      <c r="N26" s="50" t="n">
        <v>1172518</v>
      </c>
      <c r="O26" s="50" t="n">
        <v>14504637</v>
      </c>
      <c r="P26" s="50" t="n">
        <v>864269</v>
      </c>
      <c r="Q26" s="50" t="n">
        <v>2449002</v>
      </c>
      <c r="R26" s="45" t="n">
        <v>97.48651123046875</v>
      </c>
      <c r="S26" s="35" t="inlineStr">
        <is>
          <t>XBRL 2024, comparativo</t>
        </is>
      </c>
      <c r="T26" s="35" t="n"/>
    </row>
    <row r="27" ht="15" customHeight="1" s="31">
      <c r="A27" s="39" t="inlineStr">
        <is>
          <t>ENELAM</t>
        </is>
      </c>
      <c r="B27" s="39" t="n">
        <v>1</v>
      </c>
      <c r="C27" s="39" t="inlineStr">
        <is>
          <t>Servicios básicos e infraestructura</t>
        </is>
      </c>
      <c r="D27" s="49" t="n">
        <v>2024</v>
      </c>
      <c r="E27" s="38">
        <f>IFERROR(INDEX(Empresas!$H$2:$H$23,MATCH($A27,Empresas!$B$2:$B$23,0))&amp;"","")</f>
        <v/>
      </c>
      <c r="F27" s="50" t="n">
        <v>7419351</v>
      </c>
      <c r="G27" s="50" t="n">
        <v>7114976</v>
      </c>
      <c r="H27" s="50" t="n">
        <v>31484337</v>
      </c>
      <c r="I27" s="50" t="n">
        <v>15077305</v>
      </c>
      <c r="J27" s="50" t="n">
        <v>16407032</v>
      </c>
      <c r="K27" s="50" t="n">
        <v>12615912</v>
      </c>
      <c r="L27" s="50" t="n">
        <v>1587843</v>
      </c>
      <c r="M27" s="50" t="n">
        <v>1312389</v>
      </c>
      <c r="N27" s="50" t="n">
        <v>2861484</v>
      </c>
      <c r="O27" s="50" t="n">
        <v>14130193</v>
      </c>
      <c r="P27" s="50" t="n">
        <v>2589133</v>
      </c>
      <c r="Q27" s="50" t="n">
        <v>2495297</v>
      </c>
      <c r="R27" s="45" t="n">
        <v>87.24017333984375</v>
      </c>
      <c r="S27" s="35" t="inlineStr">
        <is>
          <t>XBRL 2025, comparativo</t>
        </is>
      </c>
      <c r="T27" s="35" t="n"/>
    </row>
    <row r="28" ht="15" customHeight="1" s="31">
      <c r="A28" s="39" t="inlineStr">
        <is>
          <t>ENELAM</t>
        </is>
      </c>
      <c r="B28" s="39" t="n">
        <v>1</v>
      </c>
      <c r="C28" s="39" t="inlineStr">
        <is>
          <t>Servicios básicos e infraestructura</t>
        </is>
      </c>
      <c r="D28" s="49" t="n">
        <v>2025</v>
      </c>
      <c r="E28" s="38">
        <f>IFERROR(INDEX(Empresas!$H$2:$H$23,MATCH($A28,Empresas!$B$2:$B$23,0))&amp;"","")</f>
        <v/>
      </c>
      <c r="F28" s="50" t="n">
        <v>6695824</v>
      </c>
      <c r="G28" s="50" t="n">
        <v>7737034</v>
      </c>
      <c r="H28" s="50" t="n">
        <v>34871081</v>
      </c>
      <c r="I28" s="50" t="n">
        <v>16294367</v>
      </c>
      <c r="J28" s="50" t="n">
        <v>18576714</v>
      </c>
      <c r="K28" s="50" t="n">
        <v>12818885</v>
      </c>
      <c r="L28" s="50" t="n">
        <v>1307207</v>
      </c>
      <c r="M28" s="50" t="n">
        <v>1902104</v>
      </c>
      <c r="N28" s="50" t="n">
        <v>1345692</v>
      </c>
      <c r="O28" s="50" t="n">
        <v>16023472</v>
      </c>
      <c r="P28" s="50" t="n">
        <v>960070</v>
      </c>
      <c r="Q28" s="50" t="n">
        <v>3051640</v>
      </c>
      <c r="R28" s="45" t="n">
        <v>85.65702819824219</v>
      </c>
      <c r="S28" s="35" t="inlineStr">
        <is>
          <t>XBRL 2025, actual</t>
        </is>
      </c>
      <c r="T28" s="35" t="n"/>
    </row>
    <row r="29" ht="15" customHeight="1" s="31">
      <c r="A29" s="39" t="inlineStr">
        <is>
          <t>ENELCHILE</t>
        </is>
      </c>
      <c r="B29" s="39" t="n">
        <v>1</v>
      </c>
      <c r="C29" s="39" t="inlineStr">
        <is>
          <t>Servicios básicos e infraestructura</t>
        </is>
      </c>
      <c r="D29" s="49" t="n">
        <v>2017</v>
      </c>
      <c r="E29" s="38">
        <f>IFERROR(INDEX(Empresas!$H$2:$H$23,MATCH($A29,Empresas!$B$2:$B$23,0))&amp;"","")</f>
        <v/>
      </c>
      <c r="F29" s="50" t="n">
        <v>1055136552</v>
      </c>
      <c r="G29" s="50" t="n">
        <v>816816646</v>
      </c>
      <c r="H29" s="50" t="n">
        <v>5694773008</v>
      </c>
      <c r="I29" s="50" t="n">
        <v>1907811351</v>
      </c>
      <c r="J29" s="50" t="n">
        <v>3786961657</v>
      </c>
      <c r="K29" s="50" t="n">
        <v>2484101582</v>
      </c>
      <c r="L29" s="50" t="n">
        <v>53510882</v>
      </c>
      <c r="M29" s="50" t="n">
        <v>666760212</v>
      </c>
      <c r="N29" s="50" t="n">
        <v>523417911</v>
      </c>
      <c r="O29" s="50" t="n">
        <v>2983384010</v>
      </c>
      <c r="P29" s="50" t="n"/>
      <c r="Q29" s="50" t="n">
        <v>691871770</v>
      </c>
      <c r="R29" s="45" t="n">
        <v>47.22459030151367</v>
      </c>
      <c r="S29" s="35" t="inlineStr">
        <is>
          <t>XBRL 2018, comparativo</t>
        </is>
      </c>
      <c r="T29" s="35" t="n"/>
    </row>
    <row r="30" ht="15" customHeight="1" s="31">
      <c r="A30" s="39" t="inlineStr">
        <is>
          <t>ENELCHILE</t>
        </is>
      </c>
      <c r="B30" s="39" t="n">
        <v>1</v>
      </c>
      <c r="C30" s="39" t="inlineStr">
        <is>
          <t>Servicios básicos e infraestructura</t>
        </is>
      </c>
      <c r="D30" s="49" t="n">
        <v>2018</v>
      </c>
      <c r="E30" s="38">
        <f>IFERROR(INDEX(Empresas!$H$2:$H$23,MATCH($A30,Empresas!$B$2:$B$23,0))&amp;"","")</f>
        <v/>
      </c>
      <c r="F30" s="50" t="n">
        <v>996947772</v>
      </c>
      <c r="G30" s="50" t="n">
        <v>1217464152</v>
      </c>
      <c r="H30" s="50" t="n">
        <v>7488020164</v>
      </c>
      <c r="I30" s="50" t="n">
        <v>3813856383</v>
      </c>
      <c r="J30" s="50" t="n">
        <v>3674163781</v>
      </c>
      <c r="K30" s="50" t="n">
        <v>2410360459</v>
      </c>
      <c r="L30" s="50" t="n">
        <v>122184189</v>
      </c>
      <c r="M30" s="50" t="n">
        <v>566330276</v>
      </c>
      <c r="N30" s="50" t="n">
        <v>412847757</v>
      </c>
      <c r="O30" s="50" t="n">
        <v>3421228519</v>
      </c>
      <c r="P30" s="50" t="n"/>
      <c r="Q30" s="50" t="n">
        <v>674015100</v>
      </c>
      <c r="R30" s="45" t="n">
        <v>45.22898864746094</v>
      </c>
      <c r="S30" s="35" t="inlineStr">
        <is>
          <t>XBRL 2018, actual</t>
        </is>
      </c>
      <c r="T30" s="35" t="n"/>
    </row>
    <row r="31" ht="15" customHeight="1" s="31">
      <c r="A31" s="39" t="inlineStr">
        <is>
          <t>ENELCHILE</t>
        </is>
      </c>
      <c r="B31" s="39" t="n">
        <v>1</v>
      </c>
      <c r="C31" s="39" t="inlineStr">
        <is>
          <t>Servicios básicos e infraestructura</t>
        </is>
      </c>
      <c r="D31" s="49" t="n">
        <v>2019</v>
      </c>
      <c r="E31" s="38">
        <f>IFERROR(INDEX(Empresas!$H$2:$H$23,MATCH($A31,Empresas!$B$2:$B$23,0))&amp;"","")</f>
        <v/>
      </c>
      <c r="F31" s="50" t="n">
        <v>1018212660</v>
      </c>
      <c r="G31" s="50" t="n">
        <v>1041299852</v>
      </c>
      <c r="H31" s="50" t="n">
        <v>7857988164</v>
      </c>
      <c r="I31" s="50" t="n">
        <v>4110704512</v>
      </c>
      <c r="J31" s="50" t="n">
        <v>3747283652</v>
      </c>
      <c r="K31" s="50" t="n">
        <v>2624576323</v>
      </c>
      <c r="L31" s="50" t="n">
        <v>164897900</v>
      </c>
      <c r="M31" s="50" t="n">
        <v>377321122</v>
      </c>
      <c r="N31" s="50" t="n">
        <v>316093218</v>
      </c>
      <c r="O31" s="50" t="n">
        <v>3484697986</v>
      </c>
      <c r="P31" s="50" t="n">
        <v>296153605</v>
      </c>
      <c r="Q31" s="50" t="n">
        <v>537895036</v>
      </c>
      <c r="R31" s="45" t="n">
        <v>49.97822189331055</v>
      </c>
      <c r="S31" s="35" t="inlineStr">
        <is>
          <t>XBRL 2020, comparativo</t>
        </is>
      </c>
      <c r="T31" s="35" t="n"/>
    </row>
    <row r="32" ht="15" customHeight="1" s="31">
      <c r="A32" s="39" t="inlineStr">
        <is>
          <t>ENELCHILE</t>
        </is>
      </c>
      <c r="B32" s="39" t="n">
        <v>1</v>
      </c>
      <c r="C32" s="39" t="inlineStr">
        <is>
          <t>Servicios básicos e infraestructura</t>
        </is>
      </c>
      <c r="D32" s="49" t="n">
        <v>2020</v>
      </c>
      <c r="E32" s="38">
        <f>IFERROR(INDEX(Empresas!$H$2:$H$23,MATCH($A32,Empresas!$B$2:$B$23,0))&amp;"","")</f>
        <v/>
      </c>
      <c r="F32" s="50" t="n">
        <v>1026401196</v>
      </c>
      <c r="G32" s="50" t="n">
        <v>1045480165</v>
      </c>
      <c r="H32" s="50" t="n">
        <v>7904471584</v>
      </c>
      <c r="I32" s="50" t="n">
        <v>4310197085</v>
      </c>
      <c r="J32" s="50" t="n">
        <v>3594274499</v>
      </c>
      <c r="K32" s="50" t="n">
        <v>2548384317</v>
      </c>
      <c r="L32" s="50" t="n">
        <v>127408771</v>
      </c>
      <c r="M32" s="50" t="n">
        <v>-133691942</v>
      </c>
      <c r="N32" s="50" t="n">
        <v>-52386835</v>
      </c>
      <c r="O32" s="50" t="n">
        <v>3351915790</v>
      </c>
      <c r="P32" s="50" t="n">
        <v>-50860313</v>
      </c>
      <c r="Q32" s="50" t="n">
        <v>-9598853</v>
      </c>
      <c r="R32" s="45" t="n">
        <v>41.88335037231445</v>
      </c>
      <c r="S32" s="35" t="inlineStr">
        <is>
          <t>XBRL 2020, actual</t>
        </is>
      </c>
      <c r="T32" s="35" t="n"/>
    </row>
    <row r="33" ht="15" customHeight="1" s="31">
      <c r="A33" s="39" t="inlineStr">
        <is>
          <t>ENELCHILE</t>
        </is>
      </c>
      <c r="B33" s="39" t="n">
        <v>1</v>
      </c>
      <c r="C33" s="39" t="inlineStr">
        <is>
          <t>Servicios básicos e infraestructura</t>
        </is>
      </c>
      <c r="D33" s="49" t="n">
        <v>2021</v>
      </c>
      <c r="E33" s="38">
        <f>IFERROR(INDEX(Empresas!$H$2:$H$23,MATCH($A33,Empresas!$B$2:$B$23,0))&amp;"","")</f>
        <v/>
      </c>
      <c r="F33" s="50" t="n">
        <v>1268252493</v>
      </c>
      <c r="G33" s="50" t="n">
        <v>2132326217</v>
      </c>
      <c r="H33" s="50" t="n">
        <v>9500323596</v>
      </c>
      <c r="I33" s="50" t="n">
        <v>6153830698</v>
      </c>
      <c r="J33" s="50" t="n">
        <v>3346492898</v>
      </c>
      <c r="K33" s="50" t="n">
        <v>2829682404</v>
      </c>
      <c r="L33" s="50" t="n">
        <v>174043116</v>
      </c>
      <c r="M33" s="50" t="n">
        <v>115848792</v>
      </c>
      <c r="N33" s="50" t="n">
        <v>100710134</v>
      </c>
      <c r="O33" s="50" t="n">
        <v>3097868353</v>
      </c>
      <c r="P33" s="50" t="n">
        <v>85153969</v>
      </c>
      <c r="Q33" s="50" t="n">
        <v>288496122</v>
      </c>
      <c r="R33" s="45" t="n">
        <v>24.27152824401855</v>
      </c>
      <c r="S33" s="35" t="inlineStr">
        <is>
          <t>XBRL 2022, comparativo</t>
        </is>
      </c>
      <c r="T33" s="35" t="n"/>
    </row>
    <row r="34" ht="15" customHeight="1" s="31">
      <c r="A34" s="39" t="inlineStr">
        <is>
          <t>ENELCHILE</t>
        </is>
      </c>
      <c r="B34" s="39" t="n">
        <v>1</v>
      </c>
      <c r="C34" s="39" t="inlineStr">
        <is>
          <t>Servicios básicos e infraestructura</t>
        </is>
      </c>
      <c r="D34" s="49" t="n">
        <v>2022</v>
      </c>
      <c r="E34" s="38">
        <f>IFERROR(INDEX(Empresas!$H$2:$H$23,MATCH($A34,Empresas!$B$2:$B$23,0))&amp;"","")</f>
        <v/>
      </c>
      <c r="F34" s="50" t="n">
        <v>3064242319</v>
      </c>
      <c r="G34" s="50" t="n">
        <v>3168491880</v>
      </c>
      <c r="H34" s="50" t="n">
        <v>11865579732</v>
      </c>
      <c r="I34" s="50" t="n">
        <v>7476640429</v>
      </c>
      <c r="J34" s="50" t="n">
        <v>4388939303</v>
      </c>
      <c r="K34" s="50" t="n">
        <v>4379000090</v>
      </c>
      <c r="L34" s="50" t="n">
        <v>193618033</v>
      </c>
      <c r="M34" s="50" t="n">
        <v>1778680669</v>
      </c>
      <c r="N34" s="50" t="n">
        <v>1308983789</v>
      </c>
      <c r="O34" s="50" t="n">
        <v>4097200895</v>
      </c>
      <c r="P34" s="50" t="n">
        <v>1252082258</v>
      </c>
      <c r="Q34" s="50" t="n">
        <v>1916363887</v>
      </c>
      <c r="R34" s="45" t="n">
        <v>32.24618530273438</v>
      </c>
      <c r="S34" s="35" t="inlineStr">
        <is>
          <t>XBRL 2022, actual</t>
        </is>
      </c>
      <c r="T34" s="35" t="n"/>
    </row>
    <row r="35" ht="15" customHeight="1" s="31">
      <c r="A35" s="39" t="inlineStr">
        <is>
          <t>ENELCHILE</t>
        </is>
      </c>
      <c r="B35" s="39" t="n">
        <v>1</v>
      </c>
      <c r="C35" s="39" t="inlineStr">
        <is>
          <t>Servicios básicos e infraestructura</t>
        </is>
      </c>
      <c r="D35" s="49" t="n">
        <v>2023</v>
      </c>
      <c r="E35" s="38">
        <f>IFERROR(INDEX(Empresas!$H$2:$H$23,MATCH($A35,Empresas!$B$2:$B$23,0))&amp;"","")</f>
        <v/>
      </c>
      <c r="F35" s="50" t="n">
        <v>2370971259</v>
      </c>
      <c r="G35" s="50" t="n">
        <v>2793918344</v>
      </c>
      <c r="H35" s="50" t="n">
        <v>11833721036</v>
      </c>
      <c r="I35" s="50" t="n">
        <v>7072834764</v>
      </c>
      <c r="J35" s="50" t="n">
        <v>4760886272</v>
      </c>
      <c r="K35" s="50" t="n">
        <v>4262591097</v>
      </c>
      <c r="L35" s="50" t="n">
        <v>247067556</v>
      </c>
      <c r="M35" s="50" t="n">
        <v>906925876</v>
      </c>
      <c r="N35" s="50" t="n">
        <v>680013391</v>
      </c>
      <c r="O35" s="50" t="n">
        <v>4446079918</v>
      </c>
      <c r="P35" s="50" t="n">
        <v>633455775</v>
      </c>
      <c r="Q35" s="50" t="n">
        <v>1000381600</v>
      </c>
      <c r="R35" s="45" t="n">
        <v>47.54902267456055</v>
      </c>
      <c r="S35" s="35" t="inlineStr">
        <is>
          <t>XBRL 2024, comparativo</t>
        </is>
      </c>
      <c r="T35" s="35" t="n"/>
    </row>
    <row r="36" ht="15" customHeight="1" s="31">
      <c r="A36" s="39" t="inlineStr">
        <is>
          <t>ENELCHILE</t>
        </is>
      </c>
      <c r="B36" s="39" t="n">
        <v>1</v>
      </c>
      <c r="C36" s="39" t="inlineStr">
        <is>
          <t>Servicios básicos e infraestructura</t>
        </is>
      </c>
      <c r="D36" s="49" t="n">
        <v>2024</v>
      </c>
      <c r="E36" s="38">
        <f>IFERROR(INDEX(Empresas!$H$2:$H$23,MATCH($A36,Empresas!$B$2:$B$23,0))&amp;"","")</f>
        <v/>
      </c>
      <c r="F36" s="50" t="n">
        <v>2242156</v>
      </c>
      <c r="G36" s="50" t="n">
        <v>2251458</v>
      </c>
      <c r="H36" s="50" t="n">
        <v>12765086</v>
      </c>
      <c r="I36" s="50" t="n">
        <v>7419784</v>
      </c>
      <c r="J36" s="50" t="n">
        <v>5345302</v>
      </c>
      <c r="K36" s="50" t="n">
        <v>4137511</v>
      </c>
      <c r="L36" s="50" t="n">
        <v>246450</v>
      </c>
      <c r="M36" s="50" t="n">
        <v>239443</v>
      </c>
      <c r="N36" s="50" t="n">
        <v>202432</v>
      </c>
      <c r="O36" s="50" t="n">
        <v>4976415</v>
      </c>
      <c r="P36" s="50" t="n">
        <v>153763</v>
      </c>
      <c r="Q36" s="50" t="n">
        <v>414518</v>
      </c>
      <c r="R36" s="45" t="n">
        <v>52.08550643920898</v>
      </c>
      <c r="S36" s="35" t="inlineStr">
        <is>
          <t>XBRL 2025, comparativo</t>
        </is>
      </c>
      <c r="T36" s="35" t="n"/>
    </row>
    <row r="37" ht="15" customHeight="1" s="31">
      <c r="A37" s="39" t="inlineStr">
        <is>
          <t>ENELCHILE</t>
        </is>
      </c>
      <c r="B37" s="39" t="n">
        <v>1</v>
      </c>
      <c r="C37" s="39" t="inlineStr">
        <is>
          <t>Servicios básicos e infraestructura</t>
        </is>
      </c>
      <c r="D37" s="49" t="n">
        <v>2025</v>
      </c>
      <c r="E37" s="38">
        <f>IFERROR(INDEX(Empresas!$H$2:$H$23,MATCH($A37,Empresas!$B$2:$B$23,0))&amp;"","")</f>
        <v/>
      </c>
      <c r="F37" s="50" t="n">
        <v>2239087</v>
      </c>
      <c r="G37" s="50" t="n">
        <v>2473336</v>
      </c>
      <c r="H37" s="50" t="n">
        <v>12903659</v>
      </c>
      <c r="I37" s="50" t="n">
        <v>7354152</v>
      </c>
      <c r="J37" s="50" t="n">
        <v>5549507</v>
      </c>
      <c r="K37" s="50" t="n">
        <v>4509547</v>
      </c>
      <c r="L37" s="50" t="n">
        <v>330272</v>
      </c>
      <c r="M37" s="50" t="n">
        <v>794958</v>
      </c>
      <c r="N37" s="50" t="n">
        <v>584899</v>
      </c>
      <c r="O37" s="50" t="n">
        <v>5175869</v>
      </c>
      <c r="P37" s="50" t="n">
        <v>537629</v>
      </c>
      <c r="Q37" s="50" t="n">
        <v>1055798</v>
      </c>
      <c r="R37" s="45" t="n">
        <v>71.38957977294922</v>
      </c>
      <c r="S37" s="35" t="inlineStr">
        <is>
          <t>XBRL 2025, actual</t>
        </is>
      </c>
      <c r="T37" s="35" t="n"/>
    </row>
    <row r="38" ht="15" customHeight="1" s="31">
      <c r="A38" s="39" t="inlineStr">
        <is>
          <t>ECL</t>
        </is>
      </c>
      <c r="B38" s="39" t="n">
        <v>1</v>
      </c>
      <c r="C38" s="39" t="inlineStr">
        <is>
          <t>Servicios básicos e infraestructura</t>
        </is>
      </c>
      <c r="D38" s="49" t="n">
        <v>2017</v>
      </c>
      <c r="E38" s="38">
        <f>IFERROR(INDEX(Empresas!$H$2:$H$23,MATCH($A38,Empresas!$B$2:$B$23,0))&amp;"","")</f>
        <v/>
      </c>
      <c r="F38" s="50" t="n">
        <v>381378</v>
      </c>
      <c r="G38" s="50" t="n">
        <v>333019</v>
      </c>
      <c r="H38" s="50" t="n">
        <v>3364203</v>
      </c>
      <c r="I38" s="50" t="n">
        <v>1298732</v>
      </c>
      <c r="J38" s="50" t="n">
        <v>2065471</v>
      </c>
      <c r="K38" s="50" t="n">
        <v>1054062</v>
      </c>
      <c r="L38" s="50" t="n">
        <v>11594</v>
      </c>
      <c r="M38" s="50" t="n">
        <v>143494</v>
      </c>
      <c r="N38" s="50" t="n">
        <v>109010</v>
      </c>
      <c r="O38" s="50" t="n">
        <v>1991493</v>
      </c>
      <c r="P38" s="50" t="n">
        <v>100862</v>
      </c>
      <c r="Q38" s="50" t="n">
        <v>148439</v>
      </c>
      <c r="R38" s="45" t="n">
        <v>1321.550415039062</v>
      </c>
      <c r="S38" s="35" t="inlineStr">
        <is>
          <t>XBRL 2018, comparativo</t>
        </is>
      </c>
      <c r="T38" s="35" t="n"/>
    </row>
    <row r="39" ht="15" customHeight="1" s="31">
      <c r="A39" s="39" t="inlineStr">
        <is>
          <t>ECL</t>
        </is>
      </c>
      <c r="B39" s="39" t="n">
        <v>1</v>
      </c>
      <c r="C39" s="39" t="inlineStr">
        <is>
          <t>Servicios básicos e infraestructura</t>
        </is>
      </c>
      <c r="D39" s="49" t="n">
        <v>2018</v>
      </c>
      <c r="E39" s="38">
        <f>IFERROR(INDEX(Empresas!$H$2:$H$23,MATCH($A39,Empresas!$B$2:$B$23,0))&amp;"","")</f>
        <v/>
      </c>
      <c r="F39" s="50" t="n">
        <v>427615</v>
      </c>
      <c r="G39" s="50" t="n">
        <v>305766</v>
      </c>
      <c r="H39" s="50" t="n">
        <v>3462736</v>
      </c>
      <c r="I39" s="50" t="n">
        <v>1324712</v>
      </c>
      <c r="J39" s="50" t="n">
        <v>2138024</v>
      </c>
      <c r="K39" s="50" t="n">
        <v>1275296</v>
      </c>
      <c r="L39" s="50" t="n">
        <v>12771</v>
      </c>
      <c r="M39" s="50" t="n">
        <v>149562</v>
      </c>
      <c r="N39" s="50" t="n">
        <v>111223</v>
      </c>
      <c r="O39" s="50" t="n">
        <v>2069806</v>
      </c>
      <c r="P39" s="50" t="n">
        <v>102582</v>
      </c>
      <c r="Q39" s="50" t="n">
        <v>151834</v>
      </c>
      <c r="R39" s="45" t="n">
        <v>1268.026977539062</v>
      </c>
      <c r="S39" s="35" t="inlineStr">
        <is>
          <t>XBRL 2018, actual</t>
        </is>
      </c>
      <c r="T39" s="35" t="n"/>
    </row>
    <row r="40" ht="15" customHeight="1" s="31">
      <c r="A40" s="39" t="inlineStr">
        <is>
          <t>ECL</t>
        </is>
      </c>
      <c r="B40" s="39" t="n">
        <v>1</v>
      </c>
      <c r="C40" s="39" t="inlineStr">
        <is>
          <t>Servicios básicos e infraestructura</t>
        </is>
      </c>
      <c r="D40" s="49" t="n">
        <v>2019</v>
      </c>
      <c r="E40" s="38">
        <f>IFERROR(INDEX(Empresas!$H$2:$H$23,MATCH($A40,Empresas!$B$2:$B$23,0))&amp;"","")</f>
        <v/>
      </c>
      <c r="F40" s="50" t="n">
        <v>485255</v>
      </c>
      <c r="G40" s="50" t="n">
        <v>357485</v>
      </c>
      <c r="H40" s="50" t="n">
        <v>3507790</v>
      </c>
      <c r="I40" s="50" t="n">
        <v>1384189</v>
      </c>
      <c r="J40" s="50" t="n">
        <v>2123601</v>
      </c>
      <c r="K40" s="50" t="n">
        <v>1454436</v>
      </c>
      <c r="L40" s="50" t="n">
        <v>37837</v>
      </c>
      <c r="M40" s="50" t="n">
        <v>161321</v>
      </c>
      <c r="N40" s="50" t="n">
        <v>118717</v>
      </c>
      <c r="O40" s="50" t="n">
        <v>2059251</v>
      </c>
      <c r="P40" s="50" t="n">
        <v>110823</v>
      </c>
      <c r="Q40" s="50" t="n">
        <v>189682</v>
      </c>
      <c r="R40" s="45" t="n">
        <v>1144.675048828125</v>
      </c>
      <c r="S40" s="35" t="inlineStr">
        <is>
          <t>XBRL 2020, comparativo</t>
        </is>
      </c>
      <c r="T40" s="35" t="n"/>
    </row>
    <row r="41" ht="15" customHeight="1" s="31">
      <c r="A41" s="39" t="inlineStr">
        <is>
          <t>ECL</t>
        </is>
      </c>
      <c r="B41" s="39" t="n">
        <v>1</v>
      </c>
      <c r="C41" s="39" t="inlineStr">
        <is>
          <t>Servicios básicos e infraestructura</t>
        </is>
      </c>
      <c r="D41" s="49" t="n">
        <v>2020</v>
      </c>
      <c r="E41" s="38">
        <f>IFERROR(INDEX(Empresas!$H$2:$H$23,MATCH($A41,Empresas!$B$2:$B$23,0))&amp;"","")</f>
        <v/>
      </c>
      <c r="F41" s="50" t="n">
        <v>464866</v>
      </c>
      <c r="G41" s="50" t="n">
        <v>323459</v>
      </c>
      <c r="H41" s="50" t="n">
        <v>3720980</v>
      </c>
      <c r="I41" s="50" t="n">
        <v>1552972</v>
      </c>
      <c r="J41" s="50" t="n">
        <v>2168008</v>
      </c>
      <c r="K41" s="50" t="n">
        <v>1351658</v>
      </c>
      <c r="L41" s="50" t="n">
        <v>59476</v>
      </c>
      <c r="M41" s="50" t="n">
        <v>203722</v>
      </c>
      <c r="N41" s="50" t="n">
        <v>163531</v>
      </c>
      <c r="O41" s="50" t="n">
        <v>2168008</v>
      </c>
      <c r="P41" s="50" t="n">
        <v>163531</v>
      </c>
      <c r="Q41" s="50" t="n">
        <v>263554</v>
      </c>
      <c r="R41" s="45" t="n">
        <v>869.81396484375</v>
      </c>
      <c r="S41" s="35" t="inlineStr">
        <is>
          <t>XBRL 2020, actual</t>
        </is>
      </c>
      <c r="T41" s="35" t="n"/>
    </row>
    <row r="42" ht="15" customHeight="1" s="31">
      <c r="A42" s="39" t="inlineStr">
        <is>
          <t>ECL</t>
        </is>
      </c>
      <c r="B42" s="39" t="n">
        <v>1</v>
      </c>
      <c r="C42" s="39" t="inlineStr">
        <is>
          <t>Servicios básicos e infraestructura</t>
        </is>
      </c>
      <c r="D42" s="49" t="n">
        <v>2021</v>
      </c>
      <c r="E42" s="38">
        <f>IFERROR(INDEX(Empresas!$H$2:$H$23,MATCH($A42,Empresas!$B$2:$B$23,0))&amp;"","")</f>
        <v/>
      </c>
      <c r="F42" s="50" t="n">
        <v>616232</v>
      </c>
      <c r="G42" s="50" t="n">
        <v>397389</v>
      </c>
      <c r="H42" s="50" t="n">
        <v>3998862</v>
      </c>
      <c r="I42" s="50" t="n">
        <v>1826851</v>
      </c>
      <c r="J42" s="50" t="n">
        <v>2172011</v>
      </c>
      <c r="K42" s="50" t="n">
        <v>1478614</v>
      </c>
      <c r="L42" s="50" t="n">
        <v>88807</v>
      </c>
      <c r="M42" s="50" t="n">
        <v>60797</v>
      </c>
      <c r="N42" s="50" t="n">
        <v>47374</v>
      </c>
      <c r="O42" s="50" t="n">
        <v>2172011</v>
      </c>
      <c r="P42" s="50" t="n">
        <v>47374</v>
      </c>
      <c r="Q42" s="50" t="n">
        <v>127339</v>
      </c>
      <c r="R42" s="45" t="n">
        <v>501.9621887207031</v>
      </c>
      <c r="S42" s="35" t="inlineStr">
        <is>
          <t>XBRL 2022, comparativo</t>
        </is>
      </c>
      <c r="T42" s="35" t="n"/>
    </row>
    <row r="43" ht="15" customHeight="1" s="31">
      <c r="A43" s="39" t="inlineStr">
        <is>
          <t>ECL</t>
        </is>
      </c>
      <c r="B43" s="39" t="n">
        <v>1</v>
      </c>
      <c r="C43" s="39" t="inlineStr">
        <is>
          <t>Servicios básicos e infraestructura</t>
        </is>
      </c>
      <c r="D43" s="49" t="n">
        <v>2022</v>
      </c>
      <c r="E43" s="38">
        <f>IFERROR(INDEX(Empresas!$H$2:$H$23,MATCH($A43,Empresas!$B$2:$B$23,0))&amp;"","")</f>
        <v/>
      </c>
      <c r="F43" s="50" t="n">
        <v>835843</v>
      </c>
      <c r="G43" s="50" t="n">
        <v>660219</v>
      </c>
      <c r="H43" s="50" t="n">
        <v>4328261</v>
      </c>
      <c r="I43" s="50" t="n">
        <v>2514346</v>
      </c>
      <c r="J43" s="50" t="n">
        <v>1813915</v>
      </c>
      <c r="K43" s="50" t="n">
        <v>1920266</v>
      </c>
      <c r="L43" s="50" t="n">
        <v>75485</v>
      </c>
      <c r="M43" s="50" t="n">
        <v>-521427</v>
      </c>
      <c r="N43" s="50" t="n">
        <v>-388769</v>
      </c>
      <c r="O43" s="50" t="n">
        <v>1813915</v>
      </c>
      <c r="P43" s="50" t="n">
        <v>-388769</v>
      </c>
      <c r="Q43" s="50" t="n">
        <v>-453535</v>
      </c>
      <c r="R43" s="45" t="n">
        <v>489.9631042480469</v>
      </c>
      <c r="S43" s="35" t="inlineStr">
        <is>
          <t>XBRL 2022, actual</t>
        </is>
      </c>
      <c r="T43" s="35" t="n"/>
    </row>
    <row r="44" ht="15" customHeight="1" s="31">
      <c r="A44" s="39" t="inlineStr">
        <is>
          <t>ECL</t>
        </is>
      </c>
      <c r="B44" s="39" t="n">
        <v>1</v>
      </c>
      <c r="C44" s="39" t="inlineStr">
        <is>
          <t>Servicios básicos e infraestructura</t>
        </is>
      </c>
      <c r="D44" s="49" t="n">
        <v>2023</v>
      </c>
      <c r="E44" s="38">
        <f>IFERROR(INDEX(Empresas!$H$2:$H$23,MATCH($A44,Empresas!$B$2:$B$23,0))&amp;"","")</f>
        <v/>
      </c>
      <c r="F44" s="50" t="n">
        <v>986370</v>
      </c>
      <c r="G44" s="50" t="n">
        <v>708618</v>
      </c>
      <c r="H44" s="50" t="n">
        <v>4258928</v>
      </c>
      <c r="I44" s="50" t="n">
        <v>2872915</v>
      </c>
      <c r="J44" s="50" t="n">
        <v>1386013</v>
      </c>
      <c r="K44" s="50" t="n">
        <v>2187837</v>
      </c>
      <c r="L44" s="50" t="n">
        <v>127764</v>
      </c>
      <c r="M44" s="50" t="n">
        <v>-499104</v>
      </c>
      <c r="N44" s="50" t="n">
        <v>-411054</v>
      </c>
      <c r="O44" s="50" t="n">
        <v>1386013</v>
      </c>
      <c r="P44" s="50" t="n">
        <v>-411054</v>
      </c>
      <c r="Q44" s="50" t="n">
        <v>-395887</v>
      </c>
      <c r="R44" s="45" t="n">
        <v>919.9306640625</v>
      </c>
      <c r="S44" s="35" t="inlineStr">
        <is>
          <t>XBRL 2024, comparativo</t>
        </is>
      </c>
      <c r="T44" s="35" t="n"/>
    </row>
    <row r="45" ht="15" customHeight="1" s="31">
      <c r="A45" s="39" t="inlineStr">
        <is>
          <t>ECL</t>
        </is>
      </c>
      <c r="B45" s="39" t="n">
        <v>1</v>
      </c>
      <c r="C45" s="39" t="inlineStr">
        <is>
          <t>Servicios básicos e infraestructura</t>
        </is>
      </c>
      <c r="D45" s="49" t="n">
        <v>2024</v>
      </c>
      <c r="E45" s="38">
        <f>IFERROR(INDEX(Empresas!$H$2:$H$23,MATCH($A45,Empresas!$B$2:$B$23,0))&amp;"","")</f>
        <v/>
      </c>
      <c r="F45" s="50" t="n">
        <v>1080511</v>
      </c>
      <c r="G45" s="50" t="n">
        <v>649883</v>
      </c>
      <c r="H45" s="50" t="n">
        <v>4720780</v>
      </c>
      <c r="I45" s="50" t="n">
        <v>3155983</v>
      </c>
      <c r="J45" s="50" t="n">
        <v>1564797</v>
      </c>
      <c r="K45" s="50" t="n">
        <v>1836464</v>
      </c>
      <c r="L45" s="50" t="n">
        <v>130907</v>
      </c>
      <c r="M45" s="50" t="n">
        <v>311205</v>
      </c>
      <c r="N45" s="50" t="n">
        <v>228291</v>
      </c>
      <c r="O45" s="50" t="n">
        <v>1564797</v>
      </c>
      <c r="P45" s="50" t="n">
        <v>228291</v>
      </c>
      <c r="Q45" s="50" t="n">
        <v>365892</v>
      </c>
      <c r="R45" s="45" t="n">
        <v>906.931640625</v>
      </c>
      <c r="S45" s="35" t="inlineStr">
        <is>
          <t>XBRL 2025, comparativo</t>
        </is>
      </c>
      <c r="T45" s="35" t="n"/>
    </row>
    <row r="46" ht="15" customHeight="1" s="31">
      <c r="A46" s="39" t="inlineStr">
        <is>
          <t>ECL</t>
        </is>
      </c>
      <c r="B46" s="39" t="n">
        <v>1</v>
      </c>
      <c r="C46" s="39" t="inlineStr">
        <is>
          <t>Servicios básicos e infraestructura</t>
        </is>
      </c>
      <c r="D46" s="49" t="n">
        <v>2025</v>
      </c>
      <c r="E46" s="38">
        <f>IFERROR(INDEX(Empresas!$H$2:$H$23,MATCH($A46,Empresas!$B$2:$B$23,0))&amp;"","")</f>
        <v/>
      </c>
      <c r="F46" s="50" t="n">
        <v>710725</v>
      </c>
      <c r="G46" s="50" t="n">
        <v>623902</v>
      </c>
      <c r="H46" s="50" t="n">
        <v>5217767</v>
      </c>
      <c r="I46" s="50" t="n">
        <v>3484998</v>
      </c>
      <c r="J46" s="50" t="n">
        <v>1732769</v>
      </c>
      <c r="K46" s="50" t="n">
        <v>2076554</v>
      </c>
      <c r="L46" s="50" t="n">
        <v>142072</v>
      </c>
      <c r="M46" s="50" t="n">
        <v>354662</v>
      </c>
      <c r="N46" s="50" t="n">
        <v>222839</v>
      </c>
      <c r="O46" s="50" t="n">
        <v>1732769</v>
      </c>
      <c r="P46" s="50" t="n">
        <v>222839</v>
      </c>
      <c r="Q46" s="50" t="n">
        <v>456372</v>
      </c>
      <c r="R46" s="45" t="n">
        <v>1346.952270507812</v>
      </c>
      <c r="S46" s="35" t="inlineStr">
        <is>
          <t>XBRL 2025, actual</t>
        </is>
      </c>
      <c r="T46" s="35" t="n"/>
    </row>
    <row r="47" ht="15" customHeight="1" s="31">
      <c r="A47" s="39" t="inlineStr">
        <is>
          <t>ENTEL</t>
        </is>
      </c>
      <c r="B47" s="39" t="n">
        <v>1</v>
      </c>
      <c r="C47" s="39" t="inlineStr">
        <is>
          <t>Servicios básicos e infraestructura</t>
        </is>
      </c>
      <c r="D47" s="49" t="n">
        <v>2017</v>
      </c>
      <c r="E47" s="38">
        <f>IFERROR(INDEX(Empresas!$H$2:$H$23,MATCH($A47,Empresas!$B$2:$B$23,0))&amp;"","")</f>
        <v/>
      </c>
      <c r="F47" s="50" t="n">
        <v>744945928</v>
      </c>
      <c r="G47" s="50" t="n">
        <v>623404767</v>
      </c>
      <c r="H47" s="50" t="n">
        <v>3529040173</v>
      </c>
      <c r="I47" s="50" t="n">
        <v>2290689003</v>
      </c>
      <c r="J47" s="50" t="n">
        <v>1238351170</v>
      </c>
      <c r="K47" s="50" t="n">
        <v>1943071198</v>
      </c>
      <c r="L47" s="50" t="n">
        <v>80035968</v>
      </c>
      <c r="M47" s="50" t="n">
        <v>26000924</v>
      </c>
      <c r="N47" s="50" t="n">
        <v>43409541</v>
      </c>
      <c r="O47" s="50" t="n">
        <v>1238351170</v>
      </c>
      <c r="P47" s="50" t="n">
        <v>43409541</v>
      </c>
      <c r="Q47" s="50" t="n">
        <v>117385336</v>
      </c>
      <c r="R47" s="45" t="n">
        <v>3253.425537109375</v>
      </c>
      <c r="S47" s="35" t="inlineStr">
        <is>
          <t>XBRL 2018, comparativo</t>
        </is>
      </c>
      <c r="T47" s="35" t="n"/>
    </row>
    <row r="48" ht="15" customHeight="1" s="31">
      <c r="A48" s="39" t="inlineStr">
        <is>
          <t>ENTEL</t>
        </is>
      </c>
      <c r="B48" s="39" t="n">
        <v>1</v>
      </c>
      <c r="C48" s="39" t="inlineStr">
        <is>
          <t>Servicios básicos e infraestructura</t>
        </is>
      </c>
      <c r="D48" s="49" t="n">
        <v>2018</v>
      </c>
      <c r="E48" s="38">
        <f>IFERROR(INDEX(Empresas!$H$2:$H$23,MATCH($A48,Empresas!$B$2:$B$23,0))&amp;"","")</f>
        <v/>
      </c>
      <c r="F48" s="50" t="n">
        <v>810596112</v>
      </c>
      <c r="G48" s="50" t="n">
        <v>658742932</v>
      </c>
      <c r="H48" s="50" t="n">
        <v>3964215271</v>
      </c>
      <c r="I48" s="50" t="n">
        <v>2597793309</v>
      </c>
      <c r="J48" s="50" t="n">
        <v>1366421962</v>
      </c>
      <c r="K48" s="50" t="n">
        <v>1913174282</v>
      </c>
      <c r="L48" s="50" t="n">
        <v>77711185</v>
      </c>
      <c r="M48" s="50" t="n">
        <v>-2270976</v>
      </c>
      <c r="N48" s="50" t="n">
        <v>-23614092</v>
      </c>
      <c r="O48" s="50" t="n">
        <v>1366421962</v>
      </c>
      <c r="P48" s="50" t="n">
        <v>-23614092</v>
      </c>
      <c r="Q48" s="50" t="n">
        <v>90913071</v>
      </c>
      <c r="R48" s="45" t="n">
        <v>2549.168212890625</v>
      </c>
      <c r="S48" s="35" t="inlineStr">
        <is>
          <t>XBRL 2018, actual</t>
        </is>
      </c>
      <c r="T48" s="35" t="n"/>
    </row>
    <row r="49" ht="15" customHeight="1" s="31">
      <c r="A49" s="39" t="inlineStr">
        <is>
          <t>ENTEL</t>
        </is>
      </c>
      <c r="B49" s="39" t="n">
        <v>1</v>
      </c>
      <c r="C49" s="39" t="inlineStr">
        <is>
          <t>Servicios básicos e infraestructura</t>
        </is>
      </c>
      <c r="D49" s="49" t="n">
        <v>2019</v>
      </c>
      <c r="E49" s="38">
        <f>IFERROR(INDEX(Empresas!$H$2:$H$23,MATCH($A49,Empresas!$B$2:$B$23,0))&amp;"","")</f>
        <v/>
      </c>
      <c r="F49" s="50" t="n">
        <v>1350183140</v>
      </c>
      <c r="G49" s="50" t="n">
        <v>891001450</v>
      </c>
      <c r="H49" s="50" t="n">
        <v>5169493602</v>
      </c>
      <c r="I49" s="50" t="n">
        <v>3560819204</v>
      </c>
      <c r="J49" s="50" t="n">
        <v>1608674398</v>
      </c>
      <c r="K49" s="50" t="n">
        <v>1978791988</v>
      </c>
      <c r="L49" s="50" t="n">
        <v>97558997</v>
      </c>
      <c r="M49" s="50" t="n">
        <v>240209837</v>
      </c>
      <c r="N49" s="50" t="n">
        <v>154152106</v>
      </c>
      <c r="O49" s="50" t="n">
        <v>1608674398</v>
      </c>
      <c r="P49" s="50" t="n"/>
      <c r="Q49" s="50" t="n">
        <v>343916569</v>
      </c>
      <c r="R49" s="45" t="n">
        <v>2533.252197265625</v>
      </c>
      <c r="S49" s="35" t="inlineStr">
        <is>
          <t>XBRL 2020, comparativo</t>
        </is>
      </c>
      <c r="T49" s="35" t="n"/>
    </row>
    <row r="50" ht="15" customHeight="1" s="31">
      <c r="A50" s="39" t="inlineStr">
        <is>
          <t>ENTEL</t>
        </is>
      </c>
      <c r="B50" s="39" t="n">
        <v>1</v>
      </c>
      <c r="C50" s="39" t="inlineStr">
        <is>
          <t>Servicios básicos e infraestructura</t>
        </is>
      </c>
      <c r="D50" s="49" t="n">
        <v>2020</v>
      </c>
      <c r="E50" s="38">
        <f>IFERROR(INDEX(Empresas!$H$2:$H$23,MATCH($A50,Empresas!$B$2:$B$23,0))&amp;"","")</f>
        <v/>
      </c>
      <c r="F50" s="50" t="n">
        <v>1376958931</v>
      </c>
      <c r="G50" s="50" t="n">
        <v>814156775</v>
      </c>
      <c r="H50" s="50" t="n">
        <v>4888444532</v>
      </c>
      <c r="I50" s="50" t="n">
        <v>3379954105</v>
      </c>
      <c r="J50" s="50" t="n">
        <v>1508490427</v>
      </c>
      <c r="K50" s="50" t="n">
        <v>2092644232</v>
      </c>
      <c r="L50" s="50" t="n">
        <v>102535938</v>
      </c>
      <c r="M50" s="50" t="n">
        <v>93954056</v>
      </c>
      <c r="N50" s="50" t="n">
        <v>84466248</v>
      </c>
      <c r="O50" s="50" t="n">
        <v>1508490427</v>
      </c>
      <c r="P50" s="50" t="n"/>
      <c r="Q50" s="50" t="n">
        <v>212469036</v>
      </c>
      <c r="R50" s="45" t="n">
        <v>2153.9814453125</v>
      </c>
      <c r="S50" s="35" t="inlineStr">
        <is>
          <t>XBRL 2020, actual</t>
        </is>
      </c>
      <c r="T50" s="35" t="n"/>
    </row>
    <row r="51" ht="15" customHeight="1" s="31">
      <c r="A51" s="39" t="inlineStr">
        <is>
          <t>ENTEL</t>
        </is>
      </c>
      <c r="B51" s="39" t="n">
        <v>1</v>
      </c>
      <c r="C51" s="39" t="inlineStr">
        <is>
          <t>Servicios básicos e infraestructura</t>
        </is>
      </c>
      <c r="D51" s="49" t="n">
        <v>2021</v>
      </c>
      <c r="E51" s="38">
        <f>IFERROR(INDEX(Empresas!$H$2:$H$23,MATCH($A51,Empresas!$B$2:$B$23,0))&amp;"","")</f>
        <v/>
      </c>
      <c r="F51" s="50" t="n">
        <v>1295049133</v>
      </c>
      <c r="G51" s="50" t="n">
        <v>1157171716</v>
      </c>
      <c r="H51" s="50" t="n">
        <v>5470958637</v>
      </c>
      <c r="I51" s="50" t="n">
        <v>3967913270</v>
      </c>
      <c r="J51" s="50" t="n">
        <v>1503045367</v>
      </c>
      <c r="K51" s="50" t="n">
        <v>2408809597</v>
      </c>
      <c r="L51" s="50" t="n">
        <v>113951133</v>
      </c>
      <c r="M51" s="50" t="n">
        <v>118630360</v>
      </c>
      <c r="N51" s="50" t="n">
        <v>74975311</v>
      </c>
      <c r="O51" s="50" t="n">
        <v>1503045367</v>
      </c>
      <c r="P51" s="50" t="n">
        <v>74975311</v>
      </c>
      <c r="Q51" s="50" t="n">
        <v>294374685</v>
      </c>
      <c r="R51" s="45" t="n">
        <v>1837.465576171875</v>
      </c>
      <c r="S51" s="35" t="inlineStr">
        <is>
          <t>XBRL 2022, comparativo</t>
        </is>
      </c>
      <c r="T51" s="35" t="n"/>
    </row>
    <row r="52" ht="15" customHeight="1" s="31">
      <c r="A52" s="39" t="inlineStr">
        <is>
          <t>ENTEL</t>
        </is>
      </c>
      <c r="B52" s="39" t="n">
        <v>1</v>
      </c>
      <c r="C52" s="39" t="inlineStr">
        <is>
          <t>Servicios básicos e infraestructura</t>
        </is>
      </c>
      <c r="D52" s="49" t="n">
        <v>2022</v>
      </c>
      <c r="E52" s="38">
        <f>IFERROR(INDEX(Empresas!$H$2:$H$23,MATCH($A52,Empresas!$B$2:$B$23,0))&amp;"","")</f>
        <v/>
      </c>
      <c r="F52" s="50" t="n">
        <v>1484646595</v>
      </c>
      <c r="G52" s="50" t="n">
        <v>1132020070</v>
      </c>
      <c r="H52" s="50" t="n">
        <v>5595346439</v>
      </c>
      <c r="I52" s="50" t="n">
        <v>4040830663</v>
      </c>
      <c r="J52" s="50" t="n">
        <v>1554515776</v>
      </c>
      <c r="K52" s="50" t="n">
        <v>2540682904</v>
      </c>
      <c r="L52" s="50" t="n">
        <v>113696383</v>
      </c>
      <c r="M52" s="50" t="n">
        <v>539751444</v>
      </c>
      <c r="N52" s="50" t="n">
        <v>456787332</v>
      </c>
      <c r="O52" s="50" t="n">
        <v>1554515776</v>
      </c>
      <c r="P52" s="50" t="n">
        <v>456787332</v>
      </c>
      <c r="Q52" s="50" t="n">
        <v>757608676</v>
      </c>
      <c r="R52" s="45" t="n">
        <v>2344.293701171875</v>
      </c>
      <c r="S52" s="35" t="inlineStr">
        <is>
          <t>XBRL 2022, actual</t>
        </is>
      </c>
      <c r="T52" s="35" t="n"/>
    </row>
    <row r="53" ht="15" customHeight="1" s="31">
      <c r="A53" s="39" t="inlineStr">
        <is>
          <t>ENTEL</t>
        </is>
      </c>
      <c r="B53" s="39" t="n">
        <v>1</v>
      </c>
      <c r="C53" s="39" t="inlineStr">
        <is>
          <t>Servicios básicos e infraestructura</t>
        </is>
      </c>
      <c r="D53" s="49" t="n">
        <v>2023</v>
      </c>
      <c r="E53" s="38">
        <f>IFERROR(INDEX(Empresas!$H$2:$H$23,MATCH($A53,Empresas!$B$2:$B$23,0))&amp;"","")</f>
        <v/>
      </c>
      <c r="F53" s="50" t="n">
        <v>1596064579</v>
      </c>
      <c r="G53" s="50" t="n">
        <v>1336992696</v>
      </c>
      <c r="H53" s="50" t="n">
        <v>5698687722</v>
      </c>
      <c r="I53" s="50" t="n">
        <v>4023234762</v>
      </c>
      <c r="J53" s="50" t="n">
        <v>1675452960</v>
      </c>
      <c r="K53" s="50" t="n">
        <v>2473692310</v>
      </c>
      <c r="L53" s="50" t="n">
        <v>113270200</v>
      </c>
      <c r="M53" s="50" t="n">
        <v>120594631</v>
      </c>
      <c r="N53" s="50" t="n">
        <v>88884366</v>
      </c>
      <c r="O53" s="50" t="n">
        <v>1675452960</v>
      </c>
      <c r="P53" s="50" t="n">
        <v>88884366</v>
      </c>
      <c r="Q53" s="50" t="n">
        <v>249569340</v>
      </c>
      <c r="R53" s="45" t="n">
        <v>2655.2822265625</v>
      </c>
      <c r="S53" s="35" t="inlineStr">
        <is>
          <t>XBRL 2024, comparativo</t>
        </is>
      </c>
      <c r="T53" s="35" t="n"/>
    </row>
    <row r="54" ht="15" customHeight="1" s="31">
      <c r="A54" s="39" t="inlineStr">
        <is>
          <t>ENTEL</t>
        </is>
      </c>
      <c r="B54" s="39" t="n">
        <v>1</v>
      </c>
      <c r="C54" s="39" t="inlineStr">
        <is>
          <t>Servicios básicos e infraestructura</t>
        </is>
      </c>
      <c r="D54" s="49" t="n">
        <v>2024</v>
      </c>
      <c r="E54" s="38">
        <f>IFERROR(INDEX(Empresas!$H$2:$H$23,MATCH($A54,Empresas!$B$2:$B$23,0))&amp;"","")</f>
        <v/>
      </c>
      <c r="F54" s="50" t="n">
        <v>1354153503</v>
      </c>
      <c r="G54" s="50" t="n">
        <v>1390644381</v>
      </c>
      <c r="H54" s="50" t="n">
        <v>5839398906</v>
      </c>
      <c r="I54" s="50" t="n">
        <v>4003379269</v>
      </c>
      <c r="J54" s="50" t="n">
        <v>1836019637</v>
      </c>
      <c r="K54" s="50" t="n">
        <v>2703236728</v>
      </c>
      <c r="L54" s="50" t="n">
        <v>111986497</v>
      </c>
      <c r="M54" s="50" t="n">
        <v>131167257</v>
      </c>
      <c r="N54" s="50" t="n">
        <v>67672129</v>
      </c>
      <c r="O54" s="50" t="n">
        <v>1836019637</v>
      </c>
      <c r="P54" s="50" t="n">
        <v>67672129</v>
      </c>
      <c r="Q54" s="50" t="n">
        <v>230852594</v>
      </c>
      <c r="R54" s="45" t="n">
        <v>2653.197509765625</v>
      </c>
      <c r="S54" s="35" t="inlineStr">
        <is>
          <t>XBRL 2025, comparativo</t>
        </is>
      </c>
      <c r="T54" s="35" t="n"/>
    </row>
    <row r="55" ht="15" customHeight="1" s="31">
      <c r="A55" s="39" t="inlineStr">
        <is>
          <t>ENTEL</t>
        </is>
      </c>
      <c r="B55" s="39" t="n">
        <v>1</v>
      </c>
      <c r="C55" s="39" t="inlineStr">
        <is>
          <t>Servicios básicos e infraestructura</t>
        </is>
      </c>
      <c r="D55" s="49" t="n">
        <v>2025</v>
      </c>
      <c r="E55" s="38">
        <f>IFERROR(INDEX(Empresas!$H$2:$H$23,MATCH($A55,Empresas!$B$2:$B$23,0))&amp;"","")</f>
        <v/>
      </c>
      <c r="F55" s="50" t="n">
        <v>1349902280</v>
      </c>
      <c r="G55" s="50" t="n">
        <v>1165931045</v>
      </c>
      <c r="H55" s="50" t="n">
        <v>5716879713</v>
      </c>
      <c r="I55" s="50" t="n">
        <v>3773582832</v>
      </c>
      <c r="J55" s="50" t="n">
        <v>1943296881</v>
      </c>
      <c r="K55" s="50" t="n">
        <v>2954930278</v>
      </c>
      <c r="L55" s="50" t="n">
        <v>165362521</v>
      </c>
      <c r="M55" s="50" t="n">
        <v>89153460</v>
      </c>
      <c r="N55" s="50" t="n">
        <v>191396469</v>
      </c>
      <c r="O55" s="50" t="n">
        <v>1943296881</v>
      </c>
      <c r="P55" s="50" t="n">
        <v>191396469</v>
      </c>
      <c r="Q55" s="50" t="n">
        <v>249853484</v>
      </c>
      <c r="R55" s="45" t="n">
        <v>4522.30810546875</v>
      </c>
      <c r="S55" s="35" t="inlineStr">
        <is>
          <t>XBRL 2025, actual</t>
        </is>
      </c>
      <c r="T55" s="35" t="n"/>
    </row>
    <row r="56" ht="15" customHeight="1" s="31">
      <c r="A56" s="39" t="inlineStr">
        <is>
          <t>CENCOSUD</t>
        </is>
      </c>
      <c r="B56" s="39" t="n">
        <v>2</v>
      </c>
      <c r="C56" s="39" t="inlineStr">
        <is>
          <t>Consumo</t>
        </is>
      </c>
      <c r="D56" s="49" t="n">
        <v>2017</v>
      </c>
      <c r="E56" s="38">
        <f>IFERROR(INDEX(Empresas!$H$2:$H$23,MATCH($A56,Empresas!$B$2:$B$23,0))&amp;"","")</f>
        <v/>
      </c>
      <c r="F56" s="50" t="n">
        <v>2616704742</v>
      </c>
      <c r="G56" s="50" t="n">
        <v>2695719238</v>
      </c>
      <c r="H56" s="50" t="n">
        <v>10024711422</v>
      </c>
      <c r="I56" s="50" t="n">
        <v>6015689973</v>
      </c>
      <c r="J56" s="50" t="n">
        <v>4009021449</v>
      </c>
      <c r="K56" s="50" t="n">
        <v>10456987206</v>
      </c>
      <c r="L56" s="50" t="n">
        <v>297173197</v>
      </c>
      <c r="M56" s="50" t="n">
        <v>638419975</v>
      </c>
      <c r="N56" s="50" t="n">
        <v>440135976</v>
      </c>
      <c r="O56" s="50" t="n">
        <v>4010150786</v>
      </c>
      <c r="P56" s="50" t="n">
        <v>439988718</v>
      </c>
      <c r="Q56" s="50" t="n">
        <v>825410527</v>
      </c>
      <c r="R56" s="45" t="n">
        <v>1181.654174804688</v>
      </c>
      <c r="S56" s="35" t="inlineStr">
        <is>
          <t>XBRL 2018, comparativo</t>
        </is>
      </c>
      <c r="T56" s="35" t="n"/>
    </row>
    <row r="57" ht="15" customHeight="1" s="31">
      <c r="A57" s="39" t="inlineStr">
        <is>
          <t>CENCOSUD</t>
        </is>
      </c>
      <c r="B57" s="39" t="n">
        <v>2</v>
      </c>
      <c r="C57" s="39" t="inlineStr">
        <is>
          <t>Consumo</t>
        </is>
      </c>
      <c r="D57" s="49" t="n">
        <v>2018</v>
      </c>
      <c r="E57" s="38">
        <f>IFERROR(INDEX(Empresas!$H$2:$H$23,MATCH($A57,Empresas!$B$2:$B$23,0))&amp;"","")</f>
        <v/>
      </c>
      <c r="F57" s="50" t="n">
        <v>2649598319</v>
      </c>
      <c r="G57" s="50" t="n">
        <v>2622878167</v>
      </c>
      <c r="H57" s="50" t="n">
        <v>10634698845</v>
      </c>
      <c r="I57" s="50" t="n">
        <v>6390656921</v>
      </c>
      <c r="J57" s="50" t="n">
        <v>4244041924</v>
      </c>
      <c r="K57" s="50" t="n">
        <v>9646001747</v>
      </c>
      <c r="L57" s="50" t="n">
        <v>237011354</v>
      </c>
      <c r="M57" s="50" t="n">
        <v>278346717</v>
      </c>
      <c r="N57" s="50" t="n">
        <v>190594477</v>
      </c>
      <c r="O57" s="50" t="n">
        <v>4245504837</v>
      </c>
      <c r="P57" s="50" t="n">
        <v>191285239</v>
      </c>
      <c r="Q57" s="50" t="n">
        <v>608906016</v>
      </c>
      <c r="R57" s="45" t="n">
        <v>840.5818481445312</v>
      </c>
      <c r="S57" s="35" t="inlineStr">
        <is>
          <t>XBRL 2018, actual</t>
        </is>
      </c>
      <c r="T57" s="35" t="n"/>
    </row>
    <row r="58" ht="15" customHeight="1" s="31">
      <c r="A58" s="39" t="inlineStr">
        <is>
          <t>CENCOSUD</t>
        </is>
      </c>
      <c r="B58" s="39" t="n">
        <v>2</v>
      </c>
      <c r="C58" s="39" t="inlineStr">
        <is>
          <t>Consumo</t>
        </is>
      </c>
      <c r="D58" s="49" t="n">
        <v>2019</v>
      </c>
      <c r="E58" s="38">
        <f>IFERROR(INDEX(Empresas!$H$2:$H$23,MATCH($A58,Empresas!$B$2:$B$23,0))&amp;"","")</f>
        <v/>
      </c>
      <c r="F58" s="50" t="n">
        <v>3211830302</v>
      </c>
      <c r="G58" s="50" t="n">
        <v>2537199479</v>
      </c>
      <c r="H58" s="50" t="n">
        <v>12248307991</v>
      </c>
      <c r="I58" s="50" t="n">
        <v>7258386384</v>
      </c>
      <c r="J58" s="50" t="n">
        <v>4989921607</v>
      </c>
      <c r="K58" s="50" t="n">
        <v>9548213456</v>
      </c>
      <c r="L58" s="50" t="n">
        <v>282095846</v>
      </c>
      <c r="M58" s="50" t="n">
        <v>329464815</v>
      </c>
      <c r="N58" s="50" t="n">
        <v>154617183</v>
      </c>
      <c r="O58" s="50" t="n">
        <v>4442538398</v>
      </c>
      <c r="P58" s="50" t="n">
        <v>114109633</v>
      </c>
      <c r="Q58" s="50" t="n">
        <v>713608184</v>
      </c>
      <c r="R58" s="45" t="n">
        <v>667.6314086914062</v>
      </c>
      <c r="S58" s="35" t="inlineStr">
        <is>
          <t>XBRL 2020, comparativo</t>
        </is>
      </c>
      <c r="T58" s="35" t="n"/>
    </row>
    <row r="59" ht="15" customHeight="1" s="31">
      <c r="A59" s="39" t="inlineStr">
        <is>
          <t>CENCOSUD</t>
        </is>
      </c>
      <c r="B59" s="39" t="n">
        <v>2</v>
      </c>
      <c r="C59" s="39" t="inlineStr">
        <is>
          <t>Consumo</t>
        </is>
      </c>
      <c r="D59" s="49" t="n">
        <v>2020</v>
      </c>
      <c r="E59" s="38">
        <f>IFERROR(INDEX(Empresas!$H$2:$H$23,MATCH($A59,Empresas!$B$2:$B$23,0))&amp;"","")</f>
        <v/>
      </c>
      <c r="F59" s="50" t="n">
        <v>2750870198</v>
      </c>
      <c r="G59" s="50" t="n">
        <v>2523502528</v>
      </c>
      <c r="H59" s="50" t="n">
        <v>10845080030</v>
      </c>
      <c r="I59" s="50" t="n">
        <v>6326579185</v>
      </c>
      <c r="J59" s="50" t="n">
        <v>4518500845</v>
      </c>
      <c r="K59" s="50" t="n">
        <v>9836117393</v>
      </c>
      <c r="L59" s="50" t="n">
        <v>264941294</v>
      </c>
      <c r="M59" s="50" t="n">
        <v>202558250</v>
      </c>
      <c r="N59" s="50" t="n">
        <v>64980678</v>
      </c>
      <c r="O59" s="50" t="n">
        <v>3957334556</v>
      </c>
      <c r="P59" s="50" t="n">
        <v>22930607</v>
      </c>
      <c r="Q59" s="50" t="n">
        <v>593715165</v>
      </c>
      <c r="R59" s="45" t="n">
        <v>879.8507080078125</v>
      </c>
      <c r="S59" s="35" t="inlineStr">
        <is>
          <t>XBRL 2020, actual</t>
        </is>
      </c>
      <c r="T59" s="35" t="n"/>
    </row>
    <row r="60" ht="15" customHeight="1" s="31">
      <c r="A60" s="39" t="inlineStr">
        <is>
          <t>CENCOSUD</t>
        </is>
      </c>
      <c r="B60" s="39" t="n">
        <v>2</v>
      </c>
      <c r="C60" s="39" t="inlineStr">
        <is>
          <t>Consumo</t>
        </is>
      </c>
      <c r="D60" s="49" t="n">
        <v>2021</v>
      </c>
      <c r="E60" s="38">
        <f>IFERROR(INDEX(Empresas!$H$2:$H$23,MATCH($A60,Empresas!$B$2:$B$23,0))&amp;"","")</f>
        <v/>
      </c>
      <c r="F60" s="50" t="n">
        <v>3360396781</v>
      </c>
      <c r="G60" s="50" t="n">
        <v>3161774685</v>
      </c>
      <c r="H60" s="50" t="n">
        <v>11951507481</v>
      </c>
      <c r="I60" s="50" t="n">
        <v>7217249903</v>
      </c>
      <c r="J60" s="50" t="n">
        <v>4734257578</v>
      </c>
      <c r="K60" s="50" t="n">
        <v>11760071408</v>
      </c>
      <c r="L60" s="50" t="n">
        <v>143512497</v>
      </c>
      <c r="M60" s="50" t="n">
        <v>755829320</v>
      </c>
      <c r="N60" s="50" t="n">
        <v>495135760</v>
      </c>
      <c r="O60" s="50" t="n">
        <v>4176462336</v>
      </c>
      <c r="P60" s="50" t="n">
        <v>471910200</v>
      </c>
      <c r="Q60" s="50" t="n">
        <v>1035297383</v>
      </c>
      <c r="R60" s="45" t="n">
        <v>1186.45556640625</v>
      </c>
      <c r="S60" s="35" t="inlineStr">
        <is>
          <t>XBRL 2022, comparativo</t>
        </is>
      </c>
      <c r="T60" s="35" t="n"/>
    </row>
    <row r="61" ht="15" customHeight="1" s="31">
      <c r="A61" s="39" t="inlineStr">
        <is>
          <t>CENCOSUD</t>
        </is>
      </c>
      <c r="B61" s="39" t="n">
        <v>2</v>
      </c>
      <c r="C61" s="39" t="inlineStr">
        <is>
          <t>Consumo</t>
        </is>
      </c>
      <c r="D61" s="49" t="n">
        <v>2022</v>
      </c>
      <c r="E61" s="38">
        <f>IFERROR(INDEX(Empresas!$H$2:$H$23,MATCH($A61,Empresas!$B$2:$B$23,0))&amp;"","")</f>
        <v/>
      </c>
      <c r="F61" s="50" t="n">
        <v>3108157445</v>
      </c>
      <c r="G61" s="50" t="n">
        <v>3753381559</v>
      </c>
      <c r="H61" s="50" t="n">
        <v>13340199791</v>
      </c>
      <c r="I61" s="50" t="n">
        <v>9093982389</v>
      </c>
      <c r="J61" s="50" t="n">
        <v>4246217402</v>
      </c>
      <c r="K61" s="50" t="n">
        <v>14202097551</v>
      </c>
      <c r="L61" s="50" t="n">
        <v>233871142</v>
      </c>
      <c r="M61" s="50" t="n">
        <v>641933421</v>
      </c>
      <c r="N61" s="50" t="n">
        <v>404748150</v>
      </c>
      <c r="O61" s="50" t="n">
        <v>3670812256</v>
      </c>
      <c r="P61" s="50" t="n">
        <v>338929324</v>
      </c>
      <c r="Q61" s="50" t="n">
        <v>1122918890</v>
      </c>
      <c r="R61" s="45" t="n">
        <v>1270.419921875</v>
      </c>
      <c r="S61" s="35" t="inlineStr">
        <is>
          <t>XBRL 2022, actual</t>
        </is>
      </c>
      <c r="T61" s="35" t="n"/>
    </row>
    <row r="62" ht="15" customHeight="1" s="31">
      <c r="A62" s="39" t="inlineStr">
        <is>
          <t>CENCOSUD</t>
        </is>
      </c>
      <c r="B62" s="39" t="n">
        <v>2</v>
      </c>
      <c r="C62" s="39" t="inlineStr">
        <is>
          <t>Consumo</t>
        </is>
      </c>
      <c r="D62" s="49" t="n">
        <v>2023</v>
      </c>
      <c r="E62" s="38">
        <f>IFERROR(INDEX(Empresas!$H$2:$H$23,MATCH($A62,Empresas!$B$2:$B$23,0))&amp;"","")</f>
        <v/>
      </c>
      <c r="F62" s="50" t="n">
        <v>2976277224</v>
      </c>
      <c r="G62" s="50" t="n">
        <v>3798928406</v>
      </c>
      <c r="H62" s="50" t="n">
        <v>13573122529</v>
      </c>
      <c r="I62" s="50" t="n">
        <v>9295494767</v>
      </c>
      <c r="J62" s="50" t="n">
        <v>4277627762</v>
      </c>
      <c r="K62" s="50" t="n">
        <v>14230641548</v>
      </c>
      <c r="L62" s="50" t="n">
        <v>311890685</v>
      </c>
      <c r="M62" s="50" t="n">
        <v>513384871</v>
      </c>
      <c r="N62" s="50" t="n">
        <v>292212589</v>
      </c>
      <c r="O62" s="50" t="n">
        <v>3670611817</v>
      </c>
      <c r="P62" s="50" t="n">
        <v>220279761</v>
      </c>
      <c r="Q62" s="50" t="n">
        <v>999026496</v>
      </c>
      <c r="R62" s="45" t="n">
        <v>1608.335205078125</v>
      </c>
      <c r="S62" s="35" t="inlineStr">
        <is>
          <t>XBRL 2024, comparativo</t>
        </is>
      </c>
      <c r="T62" s="35" t="n"/>
    </row>
    <row r="63" ht="15" customHeight="1" s="31">
      <c r="A63" s="39" t="inlineStr">
        <is>
          <t>CENCOSUD</t>
        </is>
      </c>
      <c r="B63" s="39" t="n">
        <v>2</v>
      </c>
      <c r="C63" s="39" t="inlineStr">
        <is>
          <t>Consumo</t>
        </is>
      </c>
      <c r="D63" s="49" t="n">
        <v>2024</v>
      </c>
      <c r="E63" s="38">
        <f>IFERROR(INDEX(Empresas!$H$2:$H$23,MATCH($A63,Empresas!$B$2:$B$23,0))&amp;"","")</f>
        <v/>
      </c>
      <c r="F63" s="50" t="n">
        <v>3898450092</v>
      </c>
      <c r="G63" s="50" t="n">
        <v>4248606702</v>
      </c>
      <c r="H63" s="50" t="n">
        <v>15322076179</v>
      </c>
      <c r="I63" s="50" t="n">
        <v>10010779606</v>
      </c>
      <c r="J63" s="50" t="n">
        <v>5311296573</v>
      </c>
      <c r="K63" s="50" t="n">
        <v>16493815028</v>
      </c>
      <c r="L63" s="50" t="n">
        <v>413960213</v>
      </c>
      <c r="M63" s="50" t="n">
        <v>481471824</v>
      </c>
      <c r="N63" s="50" t="n">
        <v>233683205</v>
      </c>
      <c r="O63" s="50" t="n">
        <v>4679049300</v>
      </c>
      <c r="P63" s="50" t="n">
        <v>158934578</v>
      </c>
      <c r="Q63" s="50" t="n">
        <v>1070149053</v>
      </c>
      <c r="R63" s="45" t="n">
        <v>2164.783935546875</v>
      </c>
      <c r="S63" s="35" t="inlineStr">
        <is>
          <t>XBRL 2025, comparativo</t>
        </is>
      </c>
      <c r="T63" s="35" t="n"/>
    </row>
    <row r="64" ht="15" customHeight="1" s="31">
      <c r="A64" s="39" t="inlineStr">
        <is>
          <t>CENCOSUD</t>
        </is>
      </c>
      <c r="B64" s="39" t="n">
        <v>2</v>
      </c>
      <c r="C64" s="39" t="inlineStr">
        <is>
          <t>Consumo</t>
        </is>
      </c>
      <c r="D64" s="49" t="n">
        <v>2025</v>
      </c>
      <c r="E64" s="38">
        <f>IFERROR(INDEX(Empresas!$H$2:$H$23,MATCH($A64,Empresas!$B$2:$B$23,0))&amp;"","")</f>
        <v/>
      </c>
      <c r="F64" s="50" t="n">
        <v>3464999068</v>
      </c>
      <c r="G64" s="50" t="n">
        <v>3773170490</v>
      </c>
      <c r="H64" s="50" t="n">
        <v>14863909320</v>
      </c>
      <c r="I64" s="50" t="n">
        <v>9589819107</v>
      </c>
      <c r="J64" s="50" t="n">
        <v>5274090213</v>
      </c>
      <c r="K64" s="50" t="n">
        <v>16594515400</v>
      </c>
      <c r="L64" s="50" t="n">
        <v>392867478</v>
      </c>
      <c r="M64" s="50" t="n">
        <v>668569164</v>
      </c>
      <c r="N64" s="50" t="n">
        <v>398118881</v>
      </c>
      <c r="O64" s="50" t="n">
        <v>4623884879</v>
      </c>
      <c r="P64" s="50" t="n">
        <v>314917071</v>
      </c>
      <c r="Q64" s="50" t="n">
        <v>1036690398</v>
      </c>
      <c r="R64" s="45" t="n">
        <v>2862.1171875</v>
      </c>
      <c r="S64" s="35" t="inlineStr">
        <is>
          <t>XBRL 2025, actual</t>
        </is>
      </c>
      <c r="T64" s="35" t="n"/>
    </row>
    <row r="65" ht="15" customHeight="1" s="31">
      <c r="A65" s="39" t="inlineStr">
        <is>
          <t>FALABELLA</t>
        </is>
      </c>
      <c r="B65" s="39" t="n">
        <v>2</v>
      </c>
      <c r="C65" s="39" t="inlineStr">
        <is>
          <t>Consumo</t>
        </is>
      </c>
      <c r="D65" s="49" t="n">
        <v>2017</v>
      </c>
      <c r="E65" s="38">
        <f>IFERROR(INDEX(Empresas!$H$2:$H$23,MATCH($A65,Empresas!$B$2:$B$23,0))&amp;"","")</f>
        <v/>
      </c>
      <c r="F65" s="50" t="n">
        <v>3656802438</v>
      </c>
      <c r="G65" s="50" t="n">
        <v>2280260661</v>
      </c>
      <c r="H65" s="50" t="n">
        <v>14340608485</v>
      </c>
      <c r="I65" s="50" t="n">
        <v>9047150981</v>
      </c>
      <c r="J65" s="50" t="n">
        <v>5293457504</v>
      </c>
      <c r="K65" s="50" t="n">
        <v>8209851510</v>
      </c>
      <c r="L65" s="50" t="n">
        <v>195372181</v>
      </c>
      <c r="M65" s="50" t="n">
        <v>640330711</v>
      </c>
      <c r="N65" s="50" t="n">
        <v>558904194</v>
      </c>
      <c r="O65" s="50" t="n">
        <v>4399014527</v>
      </c>
      <c r="P65" s="50" t="n">
        <v>509593496</v>
      </c>
      <c r="Q65" s="50" t="n">
        <v>823039888</v>
      </c>
      <c r="R65" s="45" t="n">
        <v>5389.91064453125</v>
      </c>
      <c r="S65" s="35" t="inlineStr">
        <is>
          <t>XBRL 2018, comparativo</t>
        </is>
      </c>
      <c r="T65" s="35" t="n"/>
    </row>
    <row r="66" ht="15" customHeight="1" s="31">
      <c r="A66" s="39" t="inlineStr">
        <is>
          <t>FALABELLA</t>
        </is>
      </c>
      <c r="B66" s="39" t="n">
        <v>2</v>
      </c>
      <c r="C66" s="39" t="inlineStr">
        <is>
          <t>Consumo</t>
        </is>
      </c>
      <c r="D66" s="49" t="n">
        <v>2018</v>
      </c>
      <c r="E66" s="38">
        <f>IFERROR(INDEX(Empresas!$H$2:$H$23,MATCH($A66,Empresas!$B$2:$B$23,0))&amp;"","")</f>
        <v/>
      </c>
      <c r="F66" s="50" t="n">
        <v>4131126897</v>
      </c>
      <c r="G66" s="50" t="n">
        <v>2532653141</v>
      </c>
      <c r="H66" s="50" t="n">
        <v>15878737437</v>
      </c>
      <c r="I66" s="50" t="n">
        <v>9891380214</v>
      </c>
      <c r="J66" s="50" t="n">
        <v>5987357223</v>
      </c>
      <c r="K66" s="50" t="n">
        <v>8483577333</v>
      </c>
      <c r="L66" s="50" t="n">
        <v>181505280</v>
      </c>
      <c r="M66" s="50" t="n">
        <v>618525741</v>
      </c>
      <c r="N66" s="50" t="n">
        <v>543727378</v>
      </c>
      <c r="O66" s="50" t="n">
        <v>5067862670</v>
      </c>
      <c r="P66" s="50" t="n">
        <v>478468376</v>
      </c>
      <c r="Q66" s="50" t="n">
        <v>793946296</v>
      </c>
      <c r="R66" s="45" t="n">
        <v>4513.107421875</v>
      </c>
      <c r="S66" s="35" t="inlineStr">
        <is>
          <t>XBRL 2018, actual</t>
        </is>
      </c>
      <c r="T66" s="35" t="n"/>
    </row>
    <row r="67" ht="15" customHeight="1" s="31">
      <c r="A67" s="39" t="inlineStr">
        <is>
          <t>FALABELLA</t>
        </is>
      </c>
      <c r="B67" s="39" t="n">
        <v>2</v>
      </c>
      <c r="C67" s="39" t="inlineStr">
        <is>
          <t>Consumo</t>
        </is>
      </c>
      <c r="D67" s="49" t="n">
        <v>2019</v>
      </c>
      <c r="E67" s="38">
        <f>IFERROR(INDEX(Empresas!$H$2:$H$23,MATCH($A67,Empresas!$B$2:$B$23,0))&amp;"","")</f>
        <v/>
      </c>
      <c r="F67" s="50" t="n">
        <v>2427250279</v>
      </c>
      <c r="G67" s="50" t="n">
        <v>2022687551</v>
      </c>
      <c r="H67" s="50" t="n">
        <v>18333670838</v>
      </c>
      <c r="I67" s="50" t="n">
        <v>12101058762</v>
      </c>
      <c r="J67" s="50" t="n">
        <v>6232612076</v>
      </c>
      <c r="K67" s="50" t="n">
        <v>8053582835</v>
      </c>
      <c r="L67" s="50" t="n">
        <v>209910800</v>
      </c>
      <c r="M67" s="50" t="n">
        <v>184981961</v>
      </c>
      <c r="N67" s="50" t="n">
        <v>356176474</v>
      </c>
      <c r="O67" s="50" t="n">
        <v>5258947121</v>
      </c>
      <c r="P67" s="50" t="n">
        <v>295473530</v>
      </c>
      <c r="Q67" s="50" t="n">
        <v>411164220</v>
      </c>
      <c r="R67" s="45" t="n">
        <v>2917.955322265625</v>
      </c>
      <c r="S67" s="35" t="inlineStr">
        <is>
          <t>XBRL 2020, comparativo</t>
        </is>
      </c>
      <c r="T67" s="35" t="n"/>
    </row>
    <row r="68" ht="15" customHeight="1" s="31">
      <c r="A68" s="39" t="inlineStr">
        <is>
          <t>FALABELLA</t>
        </is>
      </c>
      <c r="B68" s="39" t="n">
        <v>2</v>
      </c>
      <c r="C68" s="39" t="inlineStr">
        <is>
          <t>Consumo</t>
        </is>
      </c>
      <c r="D68" s="49" t="n">
        <v>2020</v>
      </c>
      <c r="E68" s="38">
        <f>IFERROR(INDEX(Empresas!$H$2:$H$23,MATCH($A68,Empresas!$B$2:$B$23,0))&amp;"","")</f>
        <v/>
      </c>
      <c r="F68" s="50" t="n">
        <v>3060891581</v>
      </c>
      <c r="G68" s="50" t="n">
        <v>2162842602</v>
      </c>
      <c r="H68" s="50" t="n">
        <v>18918529666</v>
      </c>
      <c r="I68" s="50" t="n">
        <v>12933273975</v>
      </c>
      <c r="J68" s="50" t="n">
        <v>5985255691</v>
      </c>
      <c r="K68" s="50" t="n">
        <v>8281049949</v>
      </c>
      <c r="L68" s="50" t="n">
        <v>254510949</v>
      </c>
      <c r="M68" s="50" t="n">
        <v>-87794699</v>
      </c>
      <c r="N68" s="50" t="n">
        <v>36664442</v>
      </c>
      <c r="O68" s="50" t="n">
        <v>5021739662</v>
      </c>
      <c r="P68" s="50" t="n">
        <v>30758319</v>
      </c>
      <c r="Q68" s="50" t="n">
        <v>152993905</v>
      </c>
      <c r="R68" s="45" t="n">
        <v>2397.8916015625</v>
      </c>
      <c r="S68" s="35" t="inlineStr">
        <is>
          <t>XBRL 2020, actual</t>
        </is>
      </c>
      <c r="T68" s="35" t="n"/>
    </row>
    <row r="69" ht="15" customHeight="1" s="31">
      <c r="A69" s="39" t="inlineStr">
        <is>
          <t>FALABELLA</t>
        </is>
      </c>
      <c r="B69" s="39" t="n">
        <v>2</v>
      </c>
      <c r="C69" s="39" t="inlineStr">
        <is>
          <t>Consumo</t>
        </is>
      </c>
      <c r="D69" s="49" t="n">
        <v>2021</v>
      </c>
      <c r="E69" s="38">
        <f>IFERROR(INDEX(Empresas!$H$2:$H$23,MATCH($A69,Empresas!$B$2:$B$23,0))&amp;"","")</f>
        <v/>
      </c>
      <c r="F69" s="50" t="n">
        <v>3072386843</v>
      </c>
      <c r="G69" s="50" t="n">
        <v>2447658416</v>
      </c>
      <c r="H69" s="50" t="n">
        <v>21432643866</v>
      </c>
      <c r="I69" s="50" t="n">
        <v>14787579136</v>
      </c>
      <c r="J69" s="50" t="n">
        <v>6645064730</v>
      </c>
      <c r="K69" s="50" t="n">
        <v>10335383740</v>
      </c>
      <c r="L69" s="50" t="n">
        <v>234461905</v>
      </c>
      <c r="M69" s="50" t="n">
        <v>591720860</v>
      </c>
      <c r="N69" s="50" t="n">
        <v>695021733</v>
      </c>
      <c r="O69" s="50" t="n">
        <v>5651406957</v>
      </c>
      <c r="P69" s="50" t="n">
        <v>652030703</v>
      </c>
      <c r="Q69" s="50" t="n">
        <v>776116886</v>
      </c>
      <c r="R69" s="45" t="n">
        <v>2565.022705078125</v>
      </c>
      <c r="S69" s="35" t="inlineStr">
        <is>
          <t>XBRL 2022, comparativo</t>
        </is>
      </c>
      <c r="T69" s="35" t="n"/>
    </row>
    <row r="70" ht="15" customHeight="1" s="31">
      <c r="A70" s="39" t="inlineStr">
        <is>
          <t>FALABELLA</t>
        </is>
      </c>
      <c r="B70" s="39" t="n">
        <v>2</v>
      </c>
      <c r="C70" s="39" t="inlineStr">
        <is>
          <t>Consumo</t>
        </is>
      </c>
      <c r="D70" s="49" t="n">
        <v>2022</v>
      </c>
      <c r="E70" s="38">
        <f>IFERROR(INDEX(Empresas!$H$2:$H$23,MATCH($A70,Empresas!$B$2:$B$23,0))&amp;"","")</f>
        <v/>
      </c>
      <c r="F70" s="50" t="n">
        <v>3444184685</v>
      </c>
      <c r="G70" s="50" t="n">
        <v>2659077750</v>
      </c>
      <c r="H70" s="50" t="n">
        <v>22545222145</v>
      </c>
      <c r="I70" s="50" t="n">
        <v>16044120488</v>
      </c>
      <c r="J70" s="50" t="n">
        <v>6501101657</v>
      </c>
      <c r="K70" s="50" t="n">
        <v>10460666398</v>
      </c>
      <c r="L70" s="50" t="n">
        <v>309849692</v>
      </c>
      <c r="M70" s="50" t="n">
        <v>-89392920</v>
      </c>
      <c r="N70" s="50" t="n">
        <v>132431138</v>
      </c>
      <c r="O70" s="50" t="n">
        <v>5508952271</v>
      </c>
      <c r="P70" s="50" t="n">
        <v>90188723</v>
      </c>
      <c r="Q70" s="50" t="n">
        <v>303254037</v>
      </c>
      <c r="R70" s="45" t="n">
        <v>1584.428466796875</v>
      </c>
      <c r="S70" s="35" t="inlineStr">
        <is>
          <t>XBRL 2022, actual</t>
        </is>
      </c>
      <c r="T70" s="35" t="n"/>
    </row>
    <row r="71" ht="15" customHeight="1" s="31">
      <c r="A71" s="39" t="inlineStr">
        <is>
          <t>FALABELLA</t>
        </is>
      </c>
      <c r="B71" s="39" t="n">
        <v>2</v>
      </c>
      <c r="C71" s="39" t="inlineStr">
        <is>
          <t>Consumo</t>
        </is>
      </c>
      <c r="D71" s="49" t="n">
        <v>2023</v>
      </c>
      <c r="E71" s="38">
        <f>IFERROR(INDEX(Empresas!$H$2:$H$23,MATCH($A71,Empresas!$B$2:$B$23,0))&amp;"","")</f>
        <v/>
      </c>
      <c r="F71" s="50" t="n">
        <v>3474663885</v>
      </c>
      <c r="G71" s="50" t="n">
        <v>2237236347</v>
      </c>
      <c r="H71" s="50" t="n">
        <v>23839384483</v>
      </c>
      <c r="I71" s="50" t="n">
        <v>16382873239</v>
      </c>
      <c r="J71" s="50" t="n">
        <v>7456511244</v>
      </c>
      <c r="K71" s="50" t="n">
        <v>9355114657</v>
      </c>
      <c r="L71" s="50" t="n">
        <v>350424957</v>
      </c>
      <c r="M71" s="50" t="n">
        <v>175868820</v>
      </c>
      <c r="N71" s="50" t="n">
        <v>188584511</v>
      </c>
      <c r="O71" s="50" t="n">
        <v>6301182584</v>
      </c>
      <c r="P71" s="50" t="n">
        <v>60640788</v>
      </c>
      <c r="Q71" s="50" t="n">
        <v>487551588</v>
      </c>
      <c r="R71" s="45" t="n">
        <v>2112.571044921875</v>
      </c>
      <c r="S71" s="35" t="inlineStr">
        <is>
          <t>XBRL 2024, comparativo</t>
        </is>
      </c>
      <c r="T71" s="35" t="n"/>
    </row>
    <row r="72" ht="15" customHeight="1" s="31">
      <c r="A72" s="39" t="inlineStr">
        <is>
          <t>FALABELLA</t>
        </is>
      </c>
      <c r="B72" s="39" t="n">
        <v>2</v>
      </c>
      <c r="C72" s="39" t="inlineStr">
        <is>
          <t>Consumo</t>
        </is>
      </c>
      <c r="D72" s="49" t="n">
        <v>2024</v>
      </c>
      <c r="E72" s="38">
        <f>IFERROR(INDEX(Empresas!$H$2:$H$23,MATCH($A72,Empresas!$B$2:$B$23,0))&amp;"","")</f>
        <v/>
      </c>
      <c r="F72" s="50" t="n">
        <v>4464298404</v>
      </c>
      <c r="G72" s="50" t="n">
        <v>2891943375</v>
      </c>
      <c r="H72" s="50" t="n">
        <v>25261840065</v>
      </c>
      <c r="I72" s="50" t="n">
        <v>16820286290</v>
      </c>
      <c r="J72" s="50" t="n">
        <v>8441553775</v>
      </c>
      <c r="K72" s="50" t="n">
        <v>10322104478</v>
      </c>
      <c r="L72" s="50" t="n">
        <v>350758042</v>
      </c>
      <c r="M72" s="50" t="n">
        <v>631405478</v>
      </c>
      <c r="N72" s="50" t="n">
        <v>635404389</v>
      </c>
      <c r="O72" s="50" t="n">
        <v>6828367191</v>
      </c>
      <c r="P72" s="50" t="n">
        <v>480943269</v>
      </c>
      <c r="Q72" s="50" t="n">
        <v>920128688</v>
      </c>
      <c r="R72" s="45" t="n">
        <v>3375.3125</v>
      </c>
      <c r="S72" s="35" t="inlineStr">
        <is>
          <t>XBRL 2025, comparativo</t>
        </is>
      </c>
      <c r="T72" s="35" t="n"/>
    </row>
    <row r="73" ht="15" customHeight="1" s="31">
      <c r="A73" s="39" t="inlineStr">
        <is>
          <t>FALABELLA</t>
        </is>
      </c>
      <c r="B73" s="39" t="n">
        <v>2</v>
      </c>
      <c r="C73" s="39" t="inlineStr">
        <is>
          <t>Consumo</t>
        </is>
      </c>
      <c r="D73" s="49" t="n">
        <v>2025</v>
      </c>
      <c r="E73" s="38">
        <f>IFERROR(INDEX(Empresas!$H$2:$H$23,MATCH($A73,Empresas!$B$2:$B$23,0))&amp;"","")</f>
        <v/>
      </c>
      <c r="F73" s="50" t="n">
        <v>4059192900</v>
      </c>
      <c r="G73" s="50" t="n">
        <v>2625414884</v>
      </c>
      <c r="H73" s="50" t="n">
        <v>26812998391</v>
      </c>
      <c r="I73" s="50" t="n">
        <v>16643138864</v>
      </c>
      <c r="J73" s="50" t="n">
        <v>10169859527</v>
      </c>
      <c r="K73" s="50" t="n">
        <v>11342385896</v>
      </c>
      <c r="L73" s="50" t="n">
        <v>335429574</v>
      </c>
      <c r="M73" s="50" t="n">
        <v>2217358233</v>
      </c>
      <c r="N73" s="50" t="n">
        <v>1984315017</v>
      </c>
      <c r="O73" s="50" t="n">
        <v>7972297221</v>
      </c>
      <c r="P73" s="50" t="n">
        <v>1347476767</v>
      </c>
      <c r="Q73" s="50" t="n">
        <v>2451227096</v>
      </c>
      <c r="R73" s="45" t="n">
        <v>6190.0751953125</v>
      </c>
      <c r="S73" s="35" t="inlineStr">
        <is>
          <t>XBRL 2025, actual</t>
        </is>
      </c>
      <c r="T73" s="35" t="n"/>
    </row>
    <row r="74" ht="15" customHeight="1" s="31">
      <c r="A74" s="39" t="inlineStr">
        <is>
          <t>RIPLEY</t>
        </is>
      </c>
      <c r="B74" s="39" t="n">
        <v>2</v>
      </c>
      <c r="C74" s="39" t="inlineStr">
        <is>
          <t>Consumo</t>
        </is>
      </c>
      <c r="D74" s="49" t="n">
        <v>2017</v>
      </c>
      <c r="E74" s="38">
        <f>IFERROR(INDEX(Empresas!$H$2:$H$23,MATCH($A74,Empresas!$B$2:$B$23,0))&amp;"","")</f>
        <v/>
      </c>
      <c r="F74" s="50" t="n">
        <v>1353170666</v>
      </c>
      <c r="G74" s="50" t="n">
        <v>1144243201</v>
      </c>
      <c r="H74" s="50" t="n">
        <v>2779433566</v>
      </c>
      <c r="I74" s="50" t="n">
        <v>1834505833</v>
      </c>
      <c r="J74" s="50" t="n">
        <v>944927733</v>
      </c>
      <c r="K74" s="50" t="n">
        <v>1669037686</v>
      </c>
      <c r="L74" s="50" t="n">
        <v>22342225</v>
      </c>
      <c r="M74" s="50" t="n">
        <v>100492175</v>
      </c>
      <c r="N74" s="50" t="n">
        <v>85851442</v>
      </c>
      <c r="O74" s="50" t="n">
        <v>944630784</v>
      </c>
      <c r="P74" s="50" t="n">
        <v>85843196</v>
      </c>
      <c r="Q74" s="50" t="n">
        <v>83793296</v>
      </c>
      <c r="R74" s="45" t="n">
        <v>445.8559265136719</v>
      </c>
      <c r="S74" s="35" t="inlineStr">
        <is>
          <t>XBRL 2018, comparativo</t>
        </is>
      </c>
      <c r="T74" s="35" t="n"/>
    </row>
    <row r="75" ht="15" customHeight="1" s="31">
      <c r="A75" s="39" t="inlineStr">
        <is>
          <t>RIPLEY</t>
        </is>
      </c>
      <c r="B75" s="39" t="n">
        <v>2</v>
      </c>
      <c r="C75" s="39" t="inlineStr">
        <is>
          <t>Consumo</t>
        </is>
      </c>
      <c r="D75" s="49" t="n">
        <v>2018</v>
      </c>
      <c r="E75" s="38">
        <f>IFERROR(INDEX(Empresas!$H$2:$H$23,MATCH($A75,Empresas!$B$2:$B$23,0))&amp;"","")</f>
        <v/>
      </c>
      <c r="F75" s="50" t="n">
        <v>1460966159</v>
      </c>
      <c r="G75" s="50" t="n">
        <v>1248193299</v>
      </c>
      <c r="H75" s="50" t="n">
        <v>2972212877</v>
      </c>
      <c r="I75" s="50" t="n">
        <v>1962344456</v>
      </c>
      <c r="J75" s="50" t="n">
        <v>1009868421</v>
      </c>
      <c r="K75" s="50" t="n">
        <v>1702063266</v>
      </c>
      <c r="L75" s="50" t="n">
        <v>21280078</v>
      </c>
      <c r="M75" s="50" t="n">
        <v>89844782</v>
      </c>
      <c r="N75" s="50" t="n">
        <v>69663837</v>
      </c>
      <c r="O75" s="50" t="n">
        <v>1009563831</v>
      </c>
      <c r="P75" s="50" t="n">
        <v>69656196</v>
      </c>
      <c r="Q75" s="50" t="n">
        <v>81114971</v>
      </c>
      <c r="R75" s="45" t="n">
        <v>392.3612365722656</v>
      </c>
      <c r="S75" s="35" t="inlineStr">
        <is>
          <t>XBRL 2018, actual</t>
        </is>
      </c>
      <c r="T75" s="35" t="n"/>
    </row>
    <row r="76" ht="15" customHeight="1" s="31">
      <c r="A76" s="39" t="inlineStr">
        <is>
          <t>RIPLEY</t>
        </is>
      </c>
      <c r="B76" s="39" t="n">
        <v>2</v>
      </c>
      <c r="C76" s="39" t="inlineStr">
        <is>
          <t>Consumo</t>
        </is>
      </c>
      <c r="D76" s="49" t="n">
        <v>2019</v>
      </c>
      <c r="E76" s="38">
        <f>IFERROR(INDEX(Empresas!$H$2:$H$23,MATCH($A76,Empresas!$B$2:$B$23,0))&amp;"","")</f>
        <v/>
      </c>
      <c r="F76" s="50" t="n">
        <v>1593523796</v>
      </c>
      <c r="G76" s="50" t="n">
        <v>1439340489</v>
      </c>
      <c r="H76" s="50" t="n">
        <v>3609318734</v>
      </c>
      <c r="I76" s="50" t="n">
        <v>2575669224</v>
      </c>
      <c r="J76" s="50" t="n">
        <v>1033649510</v>
      </c>
      <c r="K76" s="50" t="n">
        <v>1727425808</v>
      </c>
      <c r="L76" s="50" t="n">
        <v>36999051</v>
      </c>
      <c r="M76" s="50" t="n">
        <v>132925047</v>
      </c>
      <c r="N76" s="50" t="n">
        <v>100503920</v>
      </c>
      <c r="O76" s="50" t="n">
        <v>1033523879</v>
      </c>
      <c r="P76" s="50" t="n">
        <v>100682879</v>
      </c>
      <c r="Q76" s="50" t="n">
        <v>132598622</v>
      </c>
      <c r="R76" s="45" t="n">
        <v>234.1334991455078</v>
      </c>
      <c r="S76" s="35" t="inlineStr">
        <is>
          <t>XBRL 2020, comparativo</t>
        </is>
      </c>
      <c r="T76" s="35" t="n"/>
    </row>
    <row r="77" ht="15" customHeight="1" s="31">
      <c r="A77" s="39" t="inlineStr">
        <is>
          <t>RIPLEY</t>
        </is>
      </c>
      <c r="B77" s="39" t="n">
        <v>2</v>
      </c>
      <c r="C77" s="39" t="inlineStr">
        <is>
          <t>Consumo</t>
        </is>
      </c>
      <c r="D77" s="49" t="n">
        <v>2020</v>
      </c>
      <c r="E77" s="38">
        <f>IFERROR(INDEX(Empresas!$H$2:$H$23,MATCH($A77,Empresas!$B$2:$B$23,0))&amp;"","")</f>
        <v/>
      </c>
      <c r="F77" s="50" t="n">
        <v>1857934439</v>
      </c>
      <c r="G77" s="50" t="n">
        <v>1570653520</v>
      </c>
      <c r="H77" s="50" t="n">
        <v>3523732372</v>
      </c>
      <c r="I77" s="50" t="n">
        <v>2627828433</v>
      </c>
      <c r="J77" s="50" t="n">
        <v>895903939</v>
      </c>
      <c r="K77" s="50" t="n">
        <v>1499541059</v>
      </c>
      <c r="L77" s="50" t="n">
        <v>41730340</v>
      </c>
      <c r="M77" s="50" t="n">
        <v>-78473915</v>
      </c>
      <c r="N77" s="50" t="n">
        <v>-78555377</v>
      </c>
      <c r="O77" s="50" t="n">
        <v>895703560</v>
      </c>
      <c r="P77" s="50" t="n">
        <v>-78630125</v>
      </c>
      <c r="Q77" s="50" t="n">
        <v>-36290335</v>
      </c>
      <c r="R77" s="45" t="n">
        <v>161.4986267089844</v>
      </c>
      <c r="S77" s="35" t="inlineStr">
        <is>
          <t>XBRL 2020, actual</t>
        </is>
      </c>
      <c r="T77" s="35" t="n"/>
    </row>
    <row r="78" ht="15" customHeight="1" s="31">
      <c r="A78" s="39" t="inlineStr">
        <is>
          <t>RIPLEY</t>
        </is>
      </c>
      <c r="B78" s="39" t="n">
        <v>2</v>
      </c>
      <c r="C78" s="39" t="inlineStr">
        <is>
          <t>Consumo</t>
        </is>
      </c>
      <c r="D78" s="49" t="n">
        <v>2021</v>
      </c>
      <c r="E78" s="38">
        <f>IFERROR(INDEX(Empresas!$H$2:$H$23,MATCH($A78,Empresas!$B$2:$B$23,0))&amp;"","")</f>
        <v/>
      </c>
      <c r="F78" s="50" t="n">
        <v>1613585264</v>
      </c>
      <c r="G78" s="50" t="n">
        <v>1556664524</v>
      </c>
      <c r="H78" s="50" t="n">
        <v>3537035975</v>
      </c>
      <c r="I78" s="50" t="n">
        <v>2564804923</v>
      </c>
      <c r="J78" s="50" t="n">
        <v>972231052</v>
      </c>
      <c r="K78" s="50" t="n">
        <v>2062196083</v>
      </c>
      <c r="L78" s="50" t="n">
        <v>42814313</v>
      </c>
      <c r="M78" s="50" t="n">
        <v>97180797</v>
      </c>
      <c r="N78" s="50" t="n">
        <v>78592202</v>
      </c>
      <c r="O78" s="50" t="n">
        <v>972005765</v>
      </c>
      <c r="P78" s="50" t="n">
        <v>78567294</v>
      </c>
      <c r="Q78" s="50" t="n">
        <v>143005836</v>
      </c>
      <c r="R78" s="45" t="n">
        <v>111.2610321044922</v>
      </c>
      <c r="S78" s="35" t="inlineStr">
        <is>
          <t>XBRL 2022, comparativo</t>
        </is>
      </c>
      <c r="T78" s="35" t="n"/>
    </row>
    <row r="79" ht="15" customHeight="1" s="31">
      <c r="A79" s="39" t="inlineStr">
        <is>
          <t>RIPLEY</t>
        </is>
      </c>
      <c r="B79" s="39" t="n">
        <v>2</v>
      </c>
      <c r="C79" s="39" t="inlineStr">
        <is>
          <t>Consumo</t>
        </is>
      </c>
      <c r="D79" s="49" t="n">
        <v>2022</v>
      </c>
      <c r="E79" s="38">
        <f>IFERROR(INDEX(Empresas!$H$2:$H$23,MATCH($A79,Empresas!$B$2:$B$23,0))&amp;"","")</f>
        <v/>
      </c>
      <c r="F79" s="50" t="n">
        <v>1809329279</v>
      </c>
      <c r="G79" s="50" t="n">
        <v>1694581553</v>
      </c>
      <c r="H79" s="50" t="n">
        <v>3865279991</v>
      </c>
      <c r="I79" s="50" t="n">
        <v>2853105633</v>
      </c>
      <c r="J79" s="50" t="n">
        <v>1012174358</v>
      </c>
      <c r="K79" s="50" t="n">
        <v>2074701458</v>
      </c>
      <c r="L79" s="50" t="n">
        <v>44009255</v>
      </c>
      <c r="M79" s="50" t="n">
        <v>-10796550</v>
      </c>
      <c r="N79" s="50" t="n">
        <v>21017754</v>
      </c>
      <c r="O79" s="50" t="n">
        <v>1011757137</v>
      </c>
      <c r="P79" s="50" t="n">
        <v>20825820</v>
      </c>
      <c r="Q79" s="50" t="n">
        <v>22513123</v>
      </c>
      <c r="R79" s="45" t="n">
        <v>116.863639831543</v>
      </c>
      <c r="S79" s="35" t="inlineStr">
        <is>
          <t>XBRL 2022, actual</t>
        </is>
      </c>
      <c r="T79" s="35" t="n"/>
    </row>
    <row r="80" ht="15" customHeight="1" s="31">
      <c r="A80" s="39" t="inlineStr">
        <is>
          <t>RIPLEY</t>
        </is>
      </c>
      <c r="B80" s="39" t="n">
        <v>2</v>
      </c>
      <c r="C80" s="39" t="inlineStr">
        <is>
          <t>Consumo</t>
        </is>
      </c>
      <c r="D80" s="49" t="n">
        <v>2023</v>
      </c>
      <c r="E80" s="38">
        <f>IFERROR(INDEX(Empresas!$H$2:$H$23,MATCH($A80,Empresas!$B$2:$B$23,0))&amp;"","")</f>
        <v/>
      </c>
      <c r="F80" s="50" t="n">
        <v>1515341427</v>
      </c>
      <c r="G80" s="50" t="n">
        <v>1796876401</v>
      </c>
      <c r="H80" s="50" t="n">
        <v>3736275129</v>
      </c>
      <c r="I80" s="50" t="n">
        <v>2785044980</v>
      </c>
      <c r="J80" s="50" t="n">
        <v>951230149</v>
      </c>
      <c r="K80" s="50" t="n">
        <v>1926417770</v>
      </c>
      <c r="L80" s="50" t="n">
        <v>42682803</v>
      </c>
      <c r="M80" s="50" t="n">
        <v>-82908084</v>
      </c>
      <c r="N80" s="50" t="n">
        <v>-49860179</v>
      </c>
      <c r="O80" s="50" t="n">
        <v>949898724</v>
      </c>
      <c r="P80" s="50" t="n">
        <v>-50774383</v>
      </c>
      <c r="Q80" s="50" t="n">
        <v>-55592704</v>
      </c>
      <c r="R80" s="45" t="n">
        <v>166.6888427734375</v>
      </c>
      <c r="S80" s="35" t="inlineStr">
        <is>
          <t>XBRL 2024, comparativo</t>
        </is>
      </c>
      <c r="T80" s="35" t="n"/>
    </row>
    <row r="81" ht="15" customHeight="1" s="31">
      <c r="A81" s="39" t="inlineStr">
        <is>
          <t>RIPLEY</t>
        </is>
      </c>
      <c r="B81" s="39" t="n">
        <v>2</v>
      </c>
      <c r="C81" s="39" t="inlineStr">
        <is>
          <t>Consumo</t>
        </is>
      </c>
      <c r="D81" s="49" t="n">
        <v>2024</v>
      </c>
      <c r="E81" s="38">
        <f>IFERROR(INDEX(Empresas!$H$2:$H$23,MATCH($A81,Empresas!$B$2:$B$23,0))&amp;"","")</f>
        <v/>
      </c>
      <c r="F81" s="50" t="n">
        <v>1578252448</v>
      </c>
      <c r="G81" s="50" t="n">
        <v>1845696501</v>
      </c>
      <c r="H81" s="50" t="n">
        <v>3944151485</v>
      </c>
      <c r="I81" s="50" t="n">
        <v>2889289697</v>
      </c>
      <c r="J81" s="50" t="n">
        <v>1054861788</v>
      </c>
      <c r="K81" s="50" t="n">
        <v>2087322377</v>
      </c>
      <c r="L81" s="50" t="n">
        <v>51032763</v>
      </c>
      <c r="M81" s="50" t="n">
        <v>70964976</v>
      </c>
      <c r="N81" s="50" t="n">
        <v>54051206</v>
      </c>
      <c r="O81" s="50" t="n">
        <v>1053454452</v>
      </c>
      <c r="P81" s="50" t="n">
        <v>53975295</v>
      </c>
      <c r="Q81" s="50" t="n">
        <v>98186110</v>
      </c>
      <c r="R81" s="45" t="n">
        <v>258.8832702636719</v>
      </c>
      <c r="S81" s="35" t="inlineStr">
        <is>
          <t>XBRL 2025, comparativo</t>
        </is>
      </c>
      <c r="T81" s="35" t="n"/>
    </row>
    <row r="82" ht="15" customHeight="1" s="31">
      <c r="A82" s="39" t="inlineStr">
        <is>
          <t>RIPLEY</t>
        </is>
      </c>
      <c r="B82" s="39" t="n">
        <v>2</v>
      </c>
      <c r="C82" s="39" t="inlineStr">
        <is>
          <t>Consumo</t>
        </is>
      </c>
      <c r="D82" s="49" t="n">
        <v>2025</v>
      </c>
      <c r="E82" s="38">
        <f>IFERROR(INDEX(Empresas!$H$2:$H$23,MATCH($A82,Empresas!$B$2:$B$23,0))&amp;"","")</f>
        <v/>
      </c>
      <c r="F82" s="50" t="n">
        <v>1574103305</v>
      </c>
      <c r="G82" s="50" t="n">
        <v>1890538443</v>
      </c>
      <c r="H82" s="50" t="n">
        <v>4125759004</v>
      </c>
      <c r="I82" s="50" t="n">
        <v>2967645277</v>
      </c>
      <c r="J82" s="50" t="n">
        <v>1158113727</v>
      </c>
      <c r="K82" s="50" t="n">
        <v>2219805354</v>
      </c>
      <c r="L82" s="50" t="n">
        <v>52989036</v>
      </c>
      <c r="M82" s="50" t="n">
        <v>142840018</v>
      </c>
      <c r="N82" s="50" t="n">
        <v>119175688</v>
      </c>
      <c r="O82" s="50" t="n">
        <v>1156735714</v>
      </c>
      <c r="P82" s="50" t="n">
        <v>119205011</v>
      </c>
      <c r="Q82" s="50" t="n">
        <v>153015556</v>
      </c>
      <c r="R82" s="45" t="n">
        <v>404.8383178710938</v>
      </c>
      <c r="S82" s="35" t="inlineStr">
        <is>
          <t>XBRL 2025, actual</t>
        </is>
      </c>
      <c r="T82" s="35" t="n"/>
    </row>
    <row r="83" ht="15" customHeight="1" s="31">
      <c r="A83" s="39" t="inlineStr">
        <is>
          <t>CCU</t>
        </is>
      </c>
      <c r="B83" s="39" t="n">
        <v>2</v>
      </c>
      <c r="C83" s="39" t="inlineStr">
        <is>
          <t>Consumo</t>
        </is>
      </c>
      <c r="D83" s="49" t="n">
        <v>2017</v>
      </c>
      <c r="E83" s="38">
        <f>IFERROR(INDEX(Empresas!$H$2:$H$23,MATCH($A83,Empresas!$B$2:$B$23,0))&amp;"","")</f>
        <v/>
      </c>
      <c r="F83" s="50" t="n">
        <v>729106553</v>
      </c>
      <c r="G83" s="50" t="n">
        <v>468749455</v>
      </c>
      <c r="H83" s="50" t="n">
        <v>1976229087</v>
      </c>
      <c r="I83" s="50" t="n">
        <v>749400479</v>
      </c>
      <c r="J83" s="50" t="n">
        <v>1226828608</v>
      </c>
      <c r="K83" s="50" t="n">
        <v>1698360794</v>
      </c>
      <c r="L83" s="50" t="n">
        <v>24166313</v>
      </c>
      <c r="M83" s="50" t="n">
        <v>196474395</v>
      </c>
      <c r="N83" s="50" t="n">
        <v>148108419</v>
      </c>
      <c r="O83" s="50" t="n">
        <v>1101077057</v>
      </c>
      <c r="P83" s="50" t="n">
        <v>129607353</v>
      </c>
      <c r="Q83" s="50" t="n">
        <v>227177411</v>
      </c>
      <c r="R83" s="45" t="n">
        <v>6225.71630859375</v>
      </c>
      <c r="S83" s="35" t="inlineStr">
        <is>
          <t>XBRL 2018, comparativo</t>
        </is>
      </c>
      <c r="T83" s="35" t="n"/>
    </row>
    <row r="84" ht="15" customHeight="1" s="31">
      <c r="A84" s="39" t="inlineStr">
        <is>
          <t>CCU</t>
        </is>
      </c>
      <c r="B84" s="39" t="n">
        <v>2</v>
      </c>
      <c r="C84" s="39" t="inlineStr">
        <is>
          <t>Consumo</t>
        </is>
      </c>
      <c r="D84" s="49" t="n">
        <v>2018</v>
      </c>
      <c r="E84" s="38">
        <f>IFERROR(INDEX(Empresas!$H$2:$H$23,MATCH($A84,Empresas!$B$2:$B$23,0))&amp;"","")</f>
        <v/>
      </c>
      <c r="F84" s="50" t="n">
        <v>941007259</v>
      </c>
      <c r="G84" s="50" t="n">
        <v>645724245</v>
      </c>
      <c r="H84" s="50" t="n">
        <v>2405864916</v>
      </c>
      <c r="I84" s="50" t="n">
        <v>1016748973</v>
      </c>
      <c r="J84" s="50" t="n">
        <v>1389115943</v>
      </c>
      <c r="K84" s="50" t="n">
        <v>1783282337</v>
      </c>
      <c r="L84" s="50" t="n">
        <v>23560662</v>
      </c>
      <c r="M84" s="50" t="n">
        <v>458211348</v>
      </c>
      <c r="N84" s="50" t="n">
        <v>322084531</v>
      </c>
      <c r="O84" s="50" t="n">
        <v>1280126708</v>
      </c>
      <c r="P84" s="50" t="n">
        <v>306890792</v>
      </c>
      <c r="Q84" s="50" t="n">
        <v>472751376</v>
      </c>
      <c r="R84" s="45" t="n">
        <v>6139.24609375</v>
      </c>
      <c r="S84" s="35" t="inlineStr">
        <is>
          <t>XBRL 2018, actual</t>
        </is>
      </c>
      <c r="T84" s="35" t="n"/>
    </row>
    <row r="85" ht="15" customHeight="1" s="31">
      <c r="A85" s="39" t="inlineStr">
        <is>
          <t>CCU</t>
        </is>
      </c>
      <c r="B85" s="39" t="n">
        <v>2</v>
      </c>
      <c r="C85" s="39" t="inlineStr">
        <is>
          <t>Consumo</t>
        </is>
      </c>
      <c r="D85" s="49" t="n">
        <v>2019</v>
      </c>
      <c r="E85" s="38">
        <f>IFERROR(INDEX(Empresas!$H$2:$H$23,MATCH($A85,Empresas!$B$2:$B$23,0))&amp;"","")</f>
        <v/>
      </c>
      <c r="F85" s="50" t="n">
        <v>789281758</v>
      </c>
      <c r="G85" s="50" t="n">
        <v>483281996</v>
      </c>
      <c r="H85" s="50" t="n">
        <v>2353690714</v>
      </c>
      <c r="I85" s="50" t="n">
        <v>910763491</v>
      </c>
      <c r="J85" s="50" t="n">
        <v>1442927223</v>
      </c>
      <c r="K85" s="50" t="n">
        <v>1822540697</v>
      </c>
      <c r="L85" s="50" t="n">
        <v>27720203</v>
      </c>
      <c r="M85" s="50" t="n">
        <v>185621574</v>
      </c>
      <c r="N85" s="50" t="n">
        <v>145645660</v>
      </c>
      <c r="O85" s="50" t="n">
        <v>1328054170</v>
      </c>
      <c r="P85" s="50" t="n">
        <v>130141692</v>
      </c>
      <c r="Q85" s="50" t="n">
        <v>233965051</v>
      </c>
      <c r="R85" s="45" t="n">
        <v>5408.9140625</v>
      </c>
      <c r="S85" s="35" t="inlineStr">
        <is>
          <t>XBRL 2020, comparativo</t>
        </is>
      </c>
      <c r="T85" s="35" t="n"/>
    </row>
    <row r="86" ht="15" customHeight="1" s="31">
      <c r="A86" s="39" t="inlineStr">
        <is>
          <t>CCU</t>
        </is>
      </c>
      <c r="B86" s="39" t="n">
        <v>2</v>
      </c>
      <c r="C86" s="39" t="inlineStr">
        <is>
          <t>Consumo</t>
        </is>
      </c>
      <c r="D86" s="49" t="n">
        <v>2020</v>
      </c>
      <c r="E86" s="38">
        <f>IFERROR(INDEX(Empresas!$H$2:$H$23,MATCH($A86,Empresas!$B$2:$B$23,0))&amp;"","")</f>
        <v/>
      </c>
      <c r="F86" s="50" t="n">
        <v>960006128</v>
      </c>
      <c r="G86" s="50" t="n">
        <v>521524086</v>
      </c>
      <c r="H86" s="50" t="n">
        <v>2525336532</v>
      </c>
      <c r="I86" s="50" t="n">
        <v>1116517857</v>
      </c>
      <c r="J86" s="50" t="n">
        <v>1408818675</v>
      </c>
      <c r="K86" s="50" t="n">
        <v>1857593678</v>
      </c>
      <c r="L86" s="50" t="n">
        <v>28714063</v>
      </c>
      <c r="M86" s="50" t="n">
        <v>143603276</v>
      </c>
      <c r="N86" s="50" t="n">
        <v>108194856</v>
      </c>
      <c r="O86" s="50" t="n">
        <v>1296574455</v>
      </c>
      <c r="P86" s="50" t="n">
        <v>96152272</v>
      </c>
      <c r="Q86" s="50" t="n">
        <v>175180780</v>
      </c>
      <c r="R86" s="45" t="n">
        <v>3999.017333984375</v>
      </c>
      <c r="S86" s="35" t="inlineStr">
        <is>
          <t>XBRL 2020, actual</t>
        </is>
      </c>
      <c r="T86" s="35" t="n"/>
    </row>
    <row r="87" ht="15" customHeight="1" s="31">
      <c r="A87" s="39" t="inlineStr">
        <is>
          <t>CCU</t>
        </is>
      </c>
      <c r="B87" s="39" t="n">
        <v>2</v>
      </c>
      <c r="C87" s="39" t="inlineStr">
        <is>
          <t>Consumo</t>
        </is>
      </c>
      <c r="D87" s="49" t="n">
        <v>2021</v>
      </c>
      <c r="E87" s="38">
        <f>IFERROR(INDEX(Empresas!$H$2:$H$23,MATCH($A87,Empresas!$B$2:$B$23,0))&amp;"","")</f>
        <v/>
      </c>
      <c r="F87" s="50" t="n">
        <v>1091372374</v>
      </c>
      <c r="G87" s="50" t="n">
        <v>781115264</v>
      </c>
      <c r="H87" s="50" t="n">
        <v>2846750637</v>
      </c>
      <c r="I87" s="50" t="n">
        <v>1421235334</v>
      </c>
      <c r="J87" s="50" t="n">
        <v>1425515303</v>
      </c>
      <c r="K87" s="50" t="n">
        <v>2484712280</v>
      </c>
      <c r="L87" s="50" t="n">
        <v>35660493</v>
      </c>
      <c r="M87" s="50" t="n">
        <v>301680454</v>
      </c>
      <c r="N87" s="50" t="n">
        <v>219050681</v>
      </c>
      <c r="O87" s="50" t="n">
        <v>1307618232</v>
      </c>
      <c r="P87" s="50" t="n">
        <v>199162731</v>
      </c>
      <c r="Q87" s="50" t="n">
        <v>330471299</v>
      </c>
      <c r="R87" s="45" t="n">
        <v>5923.845703125</v>
      </c>
      <c r="S87" s="35" t="inlineStr">
        <is>
          <t>XBRL 2022, comparativo</t>
        </is>
      </c>
      <c r="T87" s="35" t="n"/>
    </row>
    <row r="88" ht="15" customHeight="1" s="31">
      <c r="A88" s="39" t="inlineStr">
        <is>
          <t>CCU</t>
        </is>
      </c>
      <c r="B88" s="39" t="n">
        <v>2</v>
      </c>
      <c r="C88" s="39" t="inlineStr">
        <is>
          <t>Consumo</t>
        </is>
      </c>
      <c r="D88" s="49" t="n">
        <v>2022</v>
      </c>
      <c r="E88" s="38">
        <f>IFERROR(INDEX(Empresas!$H$2:$H$23,MATCH($A88,Empresas!$B$2:$B$23,0))&amp;"","")</f>
        <v/>
      </c>
      <c r="F88" s="50" t="n">
        <v>1661948432</v>
      </c>
      <c r="G88" s="50" t="n">
        <v>797152420</v>
      </c>
      <c r="H88" s="50" t="n">
        <v>3595078979</v>
      </c>
      <c r="I88" s="50" t="n">
        <v>2159109926</v>
      </c>
      <c r="J88" s="50" t="n">
        <v>1435969053</v>
      </c>
      <c r="K88" s="50" t="n">
        <v>2711434948</v>
      </c>
      <c r="L88" s="50" t="n">
        <v>75930875</v>
      </c>
      <c r="M88" s="50" t="n">
        <v>135748395</v>
      </c>
      <c r="N88" s="50" t="n">
        <v>135484452</v>
      </c>
      <c r="O88" s="50" t="n">
        <v>1315026066</v>
      </c>
      <c r="P88" s="50" t="n">
        <v>118168351</v>
      </c>
      <c r="Q88" s="50" t="n">
        <v>218761616</v>
      </c>
      <c r="R88" s="45" t="n">
        <v>5136.697265625</v>
      </c>
      <c r="S88" s="35" t="inlineStr">
        <is>
          <t>XBRL 2022, actual</t>
        </is>
      </c>
      <c r="T88" s="35" t="n"/>
    </row>
    <row r="89" ht="15" customHeight="1" s="31">
      <c r="A89" s="39" t="inlineStr">
        <is>
          <t>CCU</t>
        </is>
      </c>
      <c r="B89" s="39" t="n">
        <v>2</v>
      </c>
      <c r="C89" s="39" t="inlineStr">
        <is>
          <t>Consumo</t>
        </is>
      </c>
      <c r="D89" s="49" t="n">
        <v>2023</v>
      </c>
      <c r="E89" s="38">
        <f>IFERROR(INDEX(Empresas!$H$2:$H$23,MATCH($A89,Empresas!$B$2:$B$23,0))&amp;"","")</f>
        <v/>
      </c>
      <c r="F89" s="50" t="n">
        <v>1601683087</v>
      </c>
      <c r="G89" s="50" t="n">
        <v>687482634</v>
      </c>
      <c r="H89" s="50" t="n">
        <v>3423946280</v>
      </c>
      <c r="I89" s="50" t="n">
        <v>2086563699</v>
      </c>
      <c r="J89" s="50" t="n">
        <v>1337382581</v>
      </c>
      <c r="K89" s="50" t="n">
        <v>2565556067</v>
      </c>
      <c r="L89" s="50" t="n">
        <v>77023048</v>
      </c>
      <c r="M89" s="50" t="n">
        <v>103158188</v>
      </c>
      <c r="N89" s="50" t="n">
        <v>118425443</v>
      </c>
      <c r="O89" s="50" t="n">
        <v>1218364782</v>
      </c>
      <c r="P89" s="50" t="n">
        <v>105652728</v>
      </c>
      <c r="Q89" s="50" t="n">
        <v>239966967</v>
      </c>
      <c r="R89" s="45" t="n">
        <v>5191.3876953125</v>
      </c>
      <c r="S89" s="35" t="inlineStr">
        <is>
          <t>XBRL 2024, comparativo</t>
        </is>
      </c>
      <c r="T89" s="35" t="n"/>
    </row>
    <row r="90" ht="15" customHeight="1" s="31">
      <c r="A90" s="39" t="inlineStr">
        <is>
          <t>CCU</t>
        </is>
      </c>
      <c r="B90" s="39" t="n">
        <v>2</v>
      </c>
      <c r="C90" s="39" t="inlineStr">
        <is>
          <t>Consumo</t>
        </is>
      </c>
      <c r="D90" s="49" t="n">
        <v>2024</v>
      </c>
      <c r="E90" s="38">
        <f>IFERROR(INDEX(Empresas!$H$2:$H$23,MATCH($A90,Empresas!$B$2:$B$23,0))&amp;"","")</f>
        <v/>
      </c>
      <c r="F90" s="50" t="n">
        <v>1771266840</v>
      </c>
      <c r="G90" s="50" t="n">
        <v>860006211</v>
      </c>
      <c r="H90" s="50" t="n">
        <v>3989716990</v>
      </c>
      <c r="I90" s="50" t="n">
        <v>2317201680</v>
      </c>
      <c r="J90" s="50" t="n">
        <v>1672515310</v>
      </c>
      <c r="K90" s="50" t="n">
        <v>2904566454</v>
      </c>
      <c r="L90" s="50" t="n">
        <v>97165278</v>
      </c>
      <c r="M90" s="50" t="n">
        <v>165529723</v>
      </c>
      <c r="N90" s="50" t="n">
        <v>176544797</v>
      </c>
      <c r="O90" s="50" t="n">
        <v>1525183185</v>
      </c>
      <c r="P90" s="50" t="n">
        <v>160944138</v>
      </c>
      <c r="Q90" s="50" t="n">
        <v>262606953</v>
      </c>
      <c r="R90" s="45" t="n">
        <v>5508.10595703125</v>
      </c>
      <c r="S90" s="35" t="inlineStr">
        <is>
          <t>XBRL 2025, comparativo</t>
        </is>
      </c>
      <c r="T90" s="35" t="n"/>
    </row>
    <row r="91" ht="15" customHeight="1" s="31">
      <c r="A91" s="39" t="inlineStr">
        <is>
          <t>CCU</t>
        </is>
      </c>
      <c r="B91" s="39" t="n">
        <v>2</v>
      </c>
      <c r="C91" s="39" t="inlineStr">
        <is>
          <t>Consumo</t>
        </is>
      </c>
      <c r="D91" s="49" t="n">
        <v>2025</v>
      </c>
      <c r="E91" s="38">
        <f>IFERROR(INDEX(Empresas!$H$2:$H$23,MATCH($A91,Empresas!$B$2:$B$23,0))&amp;"","")</f>
        <v/>
      </c>
      <c r="F91" s="50" t="n">
        <v>1511097013</v>
      </c>
      <c r="G91" s="50" t="n">
        <v>795650399</v>
      </c>
      <c r="H91" s="50" t="n">
        <v>3645386969</v>
      </c>
      <c r="I91" s="50" t="n">
        <v>2028926466</v>
      </c>
      <c r="J91" s="50" t="n">
        <v>1616460503</v>
      </c>
      <c r="K91" s="50" t="n">
        <v>2909625448</v>
      </c>
      <c r="L91" s="50" t="n">
        <v>79947714</v>
      </c>
      <c r="M91" s="50" t="n">
        <v>110240817</v>
      </c>
      <c r="N91" s="50" t="n">
        <v>137292684</v>
      </c>
      <c r="O91" s="50" t="n">
        <v>1471929546</v>
      </c>
      <c r="P91" s="50" t="n">
        <v>117152207</v>
      </c>
      <c r="Q91" s="50" t="n">
        <v>193176343</v>
      </c>
      <c r="R91" s="45" t="n">
        <v>5786.7080078125</v>
      </c>
      <c r="S91" s="35" t="inlineStr">
        <is>
          <t>XBRL 2025, actual</t>
        </is>
      </c>
      <c r="T91" s="35" t="n"/>
    </row>
    <row r="92" ht="15" customHeight="1" s="31">
      <c r="A92" s="39" t="inlineStr">
        <is>
          <t>ANDINA-B</t>
        </is>
      </c>
      <c r="B92" s="39" t="n">
        <v>2</v>
      </c>
      <c r="C92" s="39" t="inlineStr">
        <is>
          <t>Consumo</t>
        </is>
      </c>
      <c r="D92" s="49" t="n">
        <v>2017</v>
      </c>
      <c r="E92" s="38">
        <f>IFERROR(INDEX(Empresas!$H$2:$H$23,MATCH($A92,Empresas!$B$2:$B$23,0))&amp;"","")</f>
        <v/>
      </c>
      <c r="F92" s="50" t="n">
        <v>484010050</v>
      </c>
      <c r="G92" s="50" t="n">
        <v>428287322</v>
      </c>
      <c r="H92" s="50" t="n">
        <v>2114859467</v>
      </c>
      <c r="I92" s="50" t="n">
        <v>1301626118</v>
      </c>
      <c r="J92" s="50" t="n">
        <v>813233349</v>
      </c>
      <c r="K92" s="50" t="n">
        <v>1848878619</v>
      </c>
      <c r="L92" s="50" t="n">
        <v>55220369</v>
      </c>
      <c r="M92" s="50" t="n">
        <v>170798359</v>
      </c>
      <c r="N92" s="50" t="n">
        <v>119000725</v>
      </c>
      <c r="O92" s="50" t="n">
        <v>791310056</v>
      </c>
      <c r="P92" s="50" t="n">
        <v>117835790</v>
      </c>
      <c r="Q92" s="50" t="n">
        <v>220038553</v>
      </c>
      <c r="R92" s="45" t="n">
        <v>1863.17431640625</v>
      </c>
      <c r="S92" s="35" t="inlineStr">
        <is>
          <t>XBRL 2018, comparativo</t>
        </is>
      </c>
      <c r="T92" s="35" t="n"/>
    </row>
    <row r="93" ht="15" customHeight="1" s="31">
      <c r="A93" s="39" t="inlineStr">
        <is>
          <t>ANDINA-B</t>
        </is>
      </c>
      <c r="B93" s="39" t="n">
        <v>2</v>
      </c>
      <c r="C93" s="39" t="inlineStr">
        <is>
          <t>Consumo</t>
        </is>
      </c>
      <c r="D93" s="49" t="n">
        <v>2018</v>
      </c>
      <c r="E93" s="38">
        <f>IFERROR(INDEX(Empresas!$H$2:$H$23,MATCH($A93,Empresas!$B$2:$B$23,0))&amp;"","")</f>
        <v/>
      </c>
      <c r="F93" s="50" t="n">
        <v>481586454</v>
      </c>
      <c r="G93" s="50" t="n">
        <v>419862101</v>
      </c>
      <c r="H93" s="50" t="n">
        <v>2214504689</v>
      </c>
      <c r="I93" s="50" t="n">
        <v>1350789946</v>
      </c>
      <c r="J93" s="50" t="n">
        <v>863714743</v>
      </c>
      <c r="K93" s="50" t="n">
        <v>1672915799</v>
      </c>
      <c r="L93" s="50" t="n">
        <v>55014660</v>
      </c>
      <c r="M93" s="50" t="n">
        <v>153015601</v>
      </c>
      <c r="N93" s="50" t="n">
        <v>97450746</v>
      </c>
      <c r="O93" s="50" t="n">
        <v>843813126</v>
      </c>
      <c r="P93" s="50" t="n">
        <v>96603371</v>
      </c>
      <c r="Q93" s="50" t="n">
        <v>209213234</v>
      </c>
      <c r="R93" s="45" t="n">
        <v>1630.304443359375</v>
      </c>
      <c r="S93" s="35" t="inlineStr">
        <is>
          <t>XBRL 2018, actual</t>
        </is>
      </c>
      <c r="T93" s="35" t="n"/>
    </row>
    <row r="94" ht="15" customHeight="1" s="31">
      <c r="A94" s="39" t="inlineStr">
        <is>
          <t>ANDINA-B</t>
        </is>
      </c>
      <c r="B94" s="39" t="n">
        <v>2</v>
      </c>
      <c r="C94" s="39" t="inlineStr">
        <is>
          <t>Consumo</t>
        </is>
      </c>
      <c r="D94" s="49" t="n">
        <v>2019</v>
      </c>
      <c r="E94" s="38">
        <f>IFERROR(INDEX(Empresas!$H$2:$H$23,MATCH($A94,Empresas!$B$2:$B$23,0))&amp;"","")</f>
        <v/>
      </c>
      <c r="F94" s="50" t="n">
        <v>533474103</v>
      </c>
      <c r="G94" s="50" t="n">
        <v>411658352</v>
      </c>
      <c r="H94" s="50" t="n">
        <v>2390948423</v>
      </c>
      <c r="I94" s="50" t="n">
        <v>1422044475</v>
      </c>
      <c r="J94" s="50" t="n">
        <v>968903948</v>
      </c>
      <c r="K94" s="50" t="n">
        <v>1779025115</v>
      </c>
      <c r="L94" s="50" t="n">
        <v>46209020</v>
      </c>
      <c r="M94" s="50" t="n">
        <v>236413116</v>
      </c>
      <c r="N94" s="50" t="n">
        <v>175246225</v>
      </c>
      <c r="O94" s="50" t="n">
        <v>948649690</v>
      </c>
      <c r="P94" s="50" t="n">
        <v>173721928</v>
      </c>
      <c r="Q94" s="50" t="n">
        <v>252548437</v>
      </c>
      <c r="R94" s="45" t="n">
        <v>1424.103759765625</v>
      </c>
      <c r="S94" s="35" t="inlineStr">
        <is>
          <t>XBRL 2020, comparativo</t>
        </is>
      </c>
      <c r="T94" s="35" t="n"/>
    </row>
    <row r="95" ht="15" customHeight="1" s="31">
      <c r="A95" s="39" t="inlineStr">
        <is>
          <t>ANDINA-B</t>
        </is>
      </c>
      <c r="B95" s="39" t="n">
        <v>2</v>
      </c>
      <c r="C95" s="39" t="inlineStr">
        <is>
          <t>Consumo</t>
        </is>
      </c>
      <c r="D95" s="49" t="n">
        <v>2020</v>
      </c>
      <c r="E95" s="38">
        <f>IFERROR(INDEX(Empresas!$H$2:$H$23,MATCH($A95,Empresas!$B$2:$B$23,0))&amp;"","")</f>
        <v/>
      </c>
      <c r="F95" s="50" t="n">
        <v>797297716</v>
      </c>
      <c r="G95" s="50" t="n">
        <v>378056186</v>
      </c>
      <c r="H95" s="50" t="n">
        <v>2448064400</v>
      </c>
      <c r="I95" s="50" t="n">
        <v>1616503809</v>
      </c>
      <c r="J95" s="50" t="n">
        <v>831560591</v>
      </c>
      <c r="K95" s="50" t="n">
        <v>1698281237</v>
      </c>
      <c r="L95" s="50" t="n">
        <v>54772837</v>
      </c>
      <c r="M95" s="50" t="n">
        <v>178022719</v>
      </c>
      <c r="N95" s="50" t="n">
        <v>123117320</v>
      </c>
      <c r="O95" s="50" t="n">
        <v>811181114</v>
      </c>
      <c r="P95" s="50" t="n">
        <v>121999805</v>
      </c>
      <c r="Q95" s="50" t="n">
        <v>230537954</v>
      </c>
      <c r="R95" s="45" t="n">
        <v>1267.948120117188</v>
      </c>
      <c r="S95" s="35" t="inlineStr">
        <is>
          <t>XBRL 2020, actual</t>
        </is>
      </c>
      <c r="T95" s="35" t="n"/>
    </row>
    <row r="96" ht="15" customHeight="1" s="31">
      <c r="A96" s="39" t="inlineStr">
        <is>
          <t>ANDINA-B</t>
        </is>
      </c>
      <c r="B96" s="39" t="n">
        <v>2</v>
      </c>
      <c r="C96" s="39" t="inlineStr">
        <is>
          <t>Consumo</t>
        </is>
      </c>
      <c r="D96" s="49" t="n">
        <v>2021</v>
      </c>
      <c r="E96" s="38">
        <f>IFERROR(INDEX(Empresas!$H$2:$H$23,MATCH($A96,Empresas!$B$2:$B$23,0))&amp;"","")</f>
        <v/>
      </c>
      <c r="F96" s="50" t="n">
        <v>990986123</v>
      </c>
      <c r="G96" s="50" t="n">
        <v>529567279</v>
      </c>
      <c r="H96" s="50" t="n">
        <v>2946106647</v>
      </c>
      <c r="I96" s="50" t="n">
        <v>1844693088</v>
      </c>
      <c r="J96" s="50" t="n">
        <v>1101413559</v>
      </c>
      <c r="K96" s="50" t="n">
        <v>2216732593</v>
      </c>
      <c r="L96" s="50" t="n">
        <v>52992456</v>
      </c>
      <c r="M96" s="50" t="n">
        <v>203208988</v>
      </c>
      <c r="N96" s="50" t="n">
        <v>157031668</v>
      </c>
      <c r="O96" s="50" t="n">
        <v>1076143804</v>
      </c>
      <c r="P96" s="50" t="n">
        <v>154698150</v>
      </c>
      <c r="Q96" s="50" t="n">
        <v>278563672</v>
      </c>
      <c r="R96" s="45" t="n">
        <v>1373.147338867188</v>
      </c>
      <c r="S96" s="35" t="inlineStr">
        <is>
          <t>XBRL 2022, comparativo</t>
        </is>
      </c>
      <c r="T96" s="35" t="n"/>
    </row>
    <row r="97" ht="15" customHeight="1" s="31">
      <c r="A97" s="39" t="inlineStr">
        <is>
          <t>ANDINA-B</t>
        </is>
      </c>
      <c r="B97" s="39" t="n">
        <v>2</v>
      </c>
      <c r="C97" s="39" t="inlineStr">
        <is>
          <t>Consumo</t>
        </is>
      </c>
      <c r="D97" s="49" t="n">
        <v>2022</v>
      </c>
      <c r="E97" s="38">
        <f>IFERROR(INDEX(Empresas!$H$2:$H$23,MATCH($A97,Empresas!$B$2:$B$23,0))&amp;"","")</f>
        <v/>
      </c>
      <c r="F97" s="50" t="n">
        <v>1161729392</v>
      </c>
      <c r="G97" s="50" t="n">
        <v>949245134</v>
      </c>
      <c r="H97" s="50" t="n">
        <v>3010700607</v>
      </c>
      <c r="I97" s="50" t="n">
        <v>2127297955</v>
      </c>
      <c r="J97" s="50" t="n">
        <v>883402652</v>
      </c>
      <c r="K97" s="50" t="n">
        <v>2656878395</v>
      </c>
      <c r="L97" s="50" t="n">
        <v>59547953</v>
      </c>
      <c r="M97" s="50" t="n">
        <v>232803625</v>
      </c>
      <c r="N97" s="50" t="n">
        <v>128458987</v>
      </c>
      <c r="O97" s="50" t="n">
        <v>855260144</v>
      </c>
      <c r="P97" s="50" t="n">
        <v>125497642</v>
      </c>
      <c r="Q97" s="50" t="n">
        <v>321771470</v>
      </c>
      <c r="R97" s="45" t="n">
        <v>1663.956176757812</v>
      </c>
      <c r="S97" s="35" t="inlineStr">
        <is>
          <t>XBRL 2022, actual</t>
        </is>
      </c>
      <c r="T97" s="35" t="n"/>
    </row>
    <row r="98" ht="15" customHeight="1" s="31">
      <c r="A98" s="39" t="inlineStr">
        <is>
          <t>ANDINA-B</t>
        </is>
      </c>
      <c r="B98" s="39" t="n">
        <v>2</v>
      </c>
      <c r="C98" s="39" t="inlineStr">
        <is>
          <t>Consumo</t>
        </is>
      </c>
      <c r="D98" s="49" t="n">
        <v>2023</v>
      </c>
      <c r="E98" s="38">
        <f>IFERROR(INDEX(Empresas!$H$2:$H$23,MATCH($A98,Empresas!$B$2:$B$23,0))&amp;"","")</f>
        <v/>
      </c>
      <c r="F98" s="50" t="n">
        <v>981771027</v>
      </c>
      <c r="G98" s="50" t="n">
        <v>692871296</v>
      </c>
      <c r="H98" s="50" t="n">
        <v>2921520889</v>
      </c>
      <c r="I98" s="50" t="n">
        <v>2000535475</v>
      </c>
      <c r="J98" s="50" t="n">
        <v>920985414</v>
      </c>
      <c r="K98" s="50" t="n">
        <v>2618437052</v>
      </c>
      <c r="L98" s="50" t="n">
        <v>65288352</v>
      </c>
      <c r="M98" s="50" t="n">
        <v>260505794</v>
      </c>
      <c r="N98" s="50" t="n">
        <v>174511487</v>
      </c>
      <c r="O98" s="50" t="n">
        <v>886290527</v>
      </c>
      <c r="P98" s="50" t="n">
        <v>171441410</v>
      </c>
      <c r="Q98" s="50" t="n">
        <v>316296892</v>
      </c>
      <c r="R98" s="45" t="n">
        <v>1884.246948242188</v>
      </c>
      <c r="S98" s="35" t="inlineStr">
        <is>
          <t>XBRL 2024, comparativo</t>
        </is>
      </c>
      <c r="T98" s="35" t="n"/>
    </row>
    <row r="99" ht="15" customHeight="1" s="31">
      <c r="A99" s="39" t="inlineStr">
        <is>
          <t>ANDINA-B</t>
        </is>
      </c>
      <c r="B99" s="39" t="n">
        <v>2</v>
      </c>
      <c r="C99" s="39" t="inlineStr">
        <is>
          <t>Consumo</t>
        </is>
      </c>
      <c r="D99" s="49" t="n">
        <v>2024</v>
      </c>
      <c r="E99" s="38">
        <f>IFERROR(INDEX(Empresas!$H$2:$H$23,MATCH($A99,Empresas!$B$2:$B$23,0))&amp;"","")</f>
        <v/>
      </c>
      <c r="F99" s="50" t="n">
        <v>1013195740</v>
      </c>
      <c r="G99" s="50" t="n">
        <v>906143994</v>
      </c>
      <c r="H99" s="50" t="n">
        <v>3291104273</v>
      </c>
      <c r="I99" s="50" t="n">
        <v>2276707253</v>
      </c>
      <c r="J99" s="50" t="n">
        <v>1014397020</v>
      </c>
      <c r="K99" s="50" t="n">
        <v>3224233005</v>
      </c>
      <c r="L99" s="50" t="n">
        <v>70413883</v>
      </c>
      <c r="M99" s="50" t="n">
        <v>368036771</v>
      </c>
      <c r="N99" s="50" t="n">
        <v>234644125</v>
      </c>
      <c r="O99" s="50" t="n">
        <v>976409192</v>
      </c>
      <c r="P99" s="50" t="n">
        <v>232662884</v>
      </c>
      <c r="Q99" s="50" t="n">
        <v>411911208</v>
      </c>
      <c r="R99" s="45" t="n">
        <v>2731.12353515625</v>
      </c>
      <c r="S99" s="35" t="inlineStr">
        <is>
          <t>XBRL 2025, comparativo</t>
        </is>
      </c>
      <c r="T99" s="35" t="n"/>
    </row>
    <row r="100" ht="15" customHeight="1" s="31">
      <c r="A100" s="39" t="inlineStr">
        <is>
          <t>ANDINA-B</t>
        </is>
      </c>
      <c r="B100" s="39" t="n">
        <v>2</v>
      </c>
      <c r="C100" s="39" t="inlineStr">
        <is>
          <t>Consumo</t>
        </is>
      </c>
      <c r="D100" s="49" t="n">
        <v>2025</v>
      </c>
      <c r="E100" s="38">
        <f>IFERROR(INDEX(Empresas!$H$2:$H$23,MATCH($A100,Empresas!$B$2:$B$23,0))&amp;"","")</f>
        <v/>
      </c>
      <c r="F100" s="50" t="n">
        <v>1033052781</v>
      </c>
      <c r="G100" s="50" t="n">
        <v>730412517</v>
      </c>
      <c r="H100" s="50" t="n">
        <v>3420405418</v>
      </c>
      <c r="I100" s="50" t="n">
        <v>2223851570</v>
      </c>
      <c r="J100" s="50" t="n">
        <v>1196553848</v>
      </c>
      <c r="K100" s="50" t="n">
        <v>3344835851</v>
      </c>
      <c r="L100" s="50" t="n">
        <v>68218413</v>
      </c>
      <c r="M100" s="50" t="n">
        <v>380634342</v>
      </c>
      <c r="N100" s="50" t="n">
        <v>270477415</v>
      </c>
      <c r="O100" s="50" t="n">
        <v>1157398797</v>
      </c>
      <c r="P100" s="50" t="n">
        <v>268696936</v>
      </c>
      <c r="Q100" s="50" t="n">
        <v>438634537</v>
      </c>
      <c r="R100" s="45" t="n">
        <v>4065.642333984375</v>
      </c>
      <c r="S100" s="35" t="inlineStr">
        <is>
          <t>XBRL 2025, actual</t>
        </is>
      </c>
      <c r="T100" s="35" t="n"/>
    </row>
    <row r="101" ht="15" customHeight="1" s="31">
      <c r="A101" s="39" t="inlineStr">
        <is>
          <t>CONCHATORO</t>
        </is>
      </c>
      <c r="B101" s="39" t="n">
        <v>2</v>
      </c>
      <c r="C101" s="39" t="inlineStr">
        <is>
          <t>Consumo</t>
        </is>
      </c>
      <c r="D101" s="49" t="n">
        <v>2017</v>
      </c>
      <c r="E101" s="38">
        <f>IFERROR(INDEX(Empresas!$H$2:$H$23,MATCH($A101,Empresas!$B$2:$B$23,0))&amp;"","")</f>
        <v/>
      </c>
      <c r="F101" s="50" t="n">
        <v>531907388</v>
      </c>
      <c r="G101" s="50" t="n">
        <v>320692140</v>
      </c>
      <c r="H101" s="50" t="n">
        <v>1056826587</v>
      </c>
      <c r="I101" s="50" t="n">
        <v>505593351</v>
      </c>
      <c r="J101" s="50" t="n">
        <v>551233236</v>
      </c>
      <c r="K101" s="50" t="n">
        <v>613515357</v>
      </c>
      <c r="L101" s="50" t="n">
        <v>9985677</v>
      </c>
      <c r="M101" s="50" t="n">
        <v>63710208</v>
      </c>
      <c r="N101" s="50" t="n">
        <v>49990420</v>
      </c>
      <c r="O101" s="50" t="n">
        <v>548366807</v>
      </c>
      <c r="P101" s="50" t="n">
        <v>49574670</v>
      </c>
      <c r="Q101" s="50" t="n">
        <v>61912248</v>
      </c>
      <c r="R101" s="45" t="n">
        <v>877.6301879882812</v>
      </c>
      <c r="S101" s="35" t="inlineStr">
        <is>
          <t>XBRL 2018, comparativo</t>
        </is>
      </c>
      <c r="T101" s="35" t="n"/>
    </row>
    <row r="102" ht="15" customHeight="1" s="31">
      <c r="A102" s="39" t="inlineStr">
        <is>
          <t>CONCHATORO</t>
        </is>
      </c>
      <c r="B102" s="39" t="n">
        <v>2</v>
      </c>
      <c r="C102" s="39" t="inlineStr">
        <is>
          <t>Consumo</t>
        </is>
      </c>
      <c r="D102" s="49" t="n">
        <v>2018</v>
      </c>
      <c r="E102" s="38">
        <f>IFERROR(INDEX(Empresas!$H$2:$H$23,MATCH($A102,Empresas!$B$2:$B$23,0))&amp;"","")</f>
        <v/>
      </c>
      <c r="F102" s="50" t="n">
        <v>567845869</v>
      </c>
      <c r="G102" s="50" t="n">
        <v>313267679</v>
      </c>
      <c r="H102" s="50" t="n">
        <v>1146168107</v>
      </c>
      <c r="I102" s="50" t="n">
        <v>574014863</v>
      </c>
      <c r="J102" s="50" t="n">
        <v>572153244</v>
      </c>
      <c r="K102" s="50" t="n">
        <v>614128905</v>
      </c>
      <c r="L102" s="50" t="n">
        <v>11647790</v>
      </c>
      <c r="M102" s="50" t="n">
        <v>61495451</v>
      </c>
      <c r="N102" s="50" t="n">
        <v>50101333</v>
      </c>
      <c r="O102" s="50" t="n">
        <v>568321968</v>
      </c>
      <c r="P102" s="50" t="n">
        <v>49111118</v>
      </c>
      <c r="Q102" s="50" t="n">
        <v>60007337</v>
      </c>
      <c r="R102" s="45" t="n">
        <v>1038.869140625</v>
      </c>
      <c r="S102" s="35" t="inlineStr">
        <is>
          <t>XBRL 2018, actual</t>
        </is>
      </c>
      <c r="T102" s="35" t="n"/>
    </row>
    <row r="103" ht="15" customHeight="1" s="31">
      <c r="A103" s="39" t="inlineStr">
        <is>
          <t>CONCHATORO</t>
        </is>
      </c>
      <c r="B103" s="39" t="n">
        <v>2</v>
      </c>
      <c r="C103" s="39" t="inlineStr">
        <is>
          <t>Consumo</t>
        </is>
      </c>
      <c r="D103" s="49" t="n">
        <v>2019</v>
      </c>
      <c r="E103" s="38">
        <f>IFERROR(INDEX(Empresas!$H$2:$H$23,MATCH($A103,Empresas!$B$2:$B$23,0))&amp;"","")</f>
        <v/>
      </c>
      <c r="F103" s="50" t="n">
        <v>642488325</v>
      </c>
      <c r="G103" s="50" t="n">
        <v>338947998</v>
      </c>
      <c r="H103" s="50" t="n">
        <v>1253817127</v>
      </c>
      <c r="I103" s="50" t="n">
        <v>659782661</v>
      </c>
      <c r="J103" s="50" t="n">
        <v>594034466</v>
      </c>
      <c r="K103" s="50" t="n">
        <v>656980447</v>
      </c>
      <c r="L103" s="50" t="n">
        <v>12413267</v>
      </c>
      <c r="M103" s="50" t="n">
        <v>70481519</v>
      </c>
      <c r="N103" s="50" t="n">
        <v>53409975</v>
      </c>
      <c r="O103" s="50" t="n">
        <v>589591330</v>
      </c>
      <c r="P103" s="50" t="n">
        <v>52499765</v>
      </c>
      <c r="Q103" s="50" t="n">
        <v>77077016</v>
      </c>
      <c r="R103" s="45" t="n">
        <v>1102.373657226562</v>
      </c>
      <c r="S103" s="35" t="inlineStr">
        <is>
          <t>XBRL 2020, comparativo</t>
        </is>
      </c>
      <c r="T103" s="35" t="n"/>
    </row>
    <row r="104" ht="15" customHeight="1" s="31">
      <c r="A104" s="39" t="inlineStr">
        <is>
          <t>CONCHATORO</t>
        </is>
      </c>
      <c r="B104" s="39" t="n">
        <v>2</v>
      </c>
      <c r="C104" s="39" t="inlineStr">
        <is>
          <t>Consumo</t>
        </is>
      </c>
      <c r="D104" s="49" t="n">
        <v>2020</v>
      </c>
      <c r="E104" s="38">
        <f>IFERROR(INDEX(Empresas!$H$2:$H$23,MATCH($A104,Empresas!$B$2:$B$23,0))&amp;"","")</f>
        <v/>
      </c>
      <c r="F104" s="50" t="n">
        <v>655243747</v>
      </c>
      <c r="G104" s="50" t="n">
        <v>292892961</v>
      </c>
      <c r="H104" s="50" t="n">
        <v>1279692619</v>
      </c>
      <c r="I104" s="50" t="n">
        <v>631117940</v>
      </c>
      <c r="J104" s="50" t="n">
        <v>648574679</v>
      </c>
      <c r="K104" s="50" t="n">
        <v>769067418</v>
      </c>
      <c r="L104" s="50" t="n">
        <v>15349687</v>
      </c>
      <c r="M104" s="50" t="n">
        <v>105483987</v>
      </c>
      <c r="N104" s="50" t="n">
        <v>79093919</v>
      </c>
      <c r="O104" s="50" t="n">
        <v>643754739</v>
      </c>
      <c r="P104" s="50" t="n">
        <v>77994383</v>
      </c>
      <c r="Q104" s="50" t="n">
        <v>120310570</v>
      </c>
      <c r="R104" s="45" t="n">
        <v>984.542236328125</v>
      </c>
      <c r="S104" s="35" t="inlineStr">
        <is>
          <t>XBRL 2020, actual</t>
        </is>
      </c>
      <c r="T104" s="35" t="n"/>
    </row>
    <row r="105" ht="15" customHeight="1" s="31">
      <c r="A105" s="39" t="inlineStr">
        <is>
          <t>CONCHATORO</t>
        </is>
      </c>
      <c r="B105" s="39" t="n">
        <v>2</v>
      </c>
      <c r="C105" s="39" t="inlineStr">
        <is>
          <t>Consumo</t>
        </is>
      </c>
      <c r="D105" s="49" t="n">
        <v>2021</v>
      </c>
      <c r="E105" s="38">
        <f>IFERROR(INDEX(Empresas!$H$2:$H$23,MATCH($A105,Empresas!$B$2:$B$23,0))&amp;"","")</f>
        <v/>
      </c>
      <c r="F105" s="50" t="n">
        <v>750678839</v>
      </c>
      <c r="G105" s="50" t="n">
        <v>392158832</v>
      </c>
      <c r="H105" s="50" t="n">
        <v>1444395509</v>
      </c>
      <c r="I105" s="50" t="n">
        <v>779890316</v>
      </c>
      <c r="J105" s="50" t="n">
        <v>664505193</v>
      </c>
      <c r="K105" s="50" t="n">
        <v>836712564</v>
      </c>
      <c r="L105" s="50" t="n">
        <v>13060426</v>
      </c>
      <c r="M105" s="50" t="n">
        <v>129833578</v>
      </c>
      <c r="N105" s="50" t="n">
        <v>100694318</v>
      </c>
      <c r="O105" s="50" t="n">
        <v>658025874</v>
      </c>
      <c r="P105" s="50" t="n">
        <v>98809935</v>
      </c>
      <c r="Q105" s="50" t="n">
        <v>132912173</v>
      </c>
      <c r="R105" s="45" t="n">
        <v>1102.860107421875</v>
      </c>
      <c r="S105" s="35" t="inlineStr">
        <is>
          <t>XBRL 2022, comparativo</t>
        </is>
      </c>
      <c r="T105" s="35" t="n"/>
    </row>
    <row r="106" ht="15" customHeight="1" s="31">
      <c r="A106" s="39" t="inlineStr">
        <is>
          <t>CONCHATORO</t>
        </is>
      </c>
      <c r="B106" s="39" t="n">
        <v>2</v>
      </c>
      <c r="C106" s="39" t="inlineStr">
        <is>
          <t>Consumo</t>
        </is>
      </c>
      <c r="D106" s="49" t="n">
        <v>2022</v>
      </c>
      <c r="E106" s="38">
        <f>IFERROR(INDEX(Empresas!$H$2:$H$23,MATCH($A106,Empresas!$B$2:$B$23,0))&amp;"","")</f>
        <v/>
      </c>
      <c r="F106" s="50" t="n">
        <v>784435869</v>
      </c>
      <c r="G106" s="50" t="n">
        <v>442639527</v>
      </c>
      <c r="H106" s="50" t="n">
        <v>1581779780</v>
      </c>
      <c r="I106" s="50" t="n">
        <v>817671052</v>
      </c>
      <c r="J106" s="50" t="n">
        <v>764108728</v>
      </c>
      <c r="K106" s="50" t="n">
        <v>870581770</v>
      </c>
      <c r="L106" s="50" t="n">
        <v>15564182</v>
      </c>
      <c r="M106" s="50" t="n">
        <v>101723395</v>
      </c>
      <c r="N106" s="50" t="n">
        <v>88983196</v>
      </c>
      <c r="O106" s="50" t="n">
        <v>756762764</v>
      </c>
      <c r="P106" s="50" t="n">
        <v>87212576</v>
      </c>
      <c r="Q106" s="50" t="n">
        <v>104873199</v>
      </c>
      <c r="R106" s="45" t="n">
        <v>922.8073120117188</v>
      </c>
      <c r="S106" s="35" t="inlineStr">
        <is>
          <t>XBRL 2022, actual</t>
        </is>
      </c>
      <c r="T106" s="35" t="n"/>
    </row>
    <row r="107" ht="15" customHeight="1" s="31">
      <c r="A107" s="39" t="inlineStr">
        <is>
          <t>CONCHATORO</t>
        </is>
      </c>
      <c r="B107" s="39" t="n">
        <v>2</v>
      </c>
      <c r="C107" s="39" t="inlineStr">
        <is>
          <t>Consumo</t>
        </is>
      </c>
      <c r="D107" s="49" t="n">
        <v>2023</v>
      </c>
      <c r="E107" s="38">
        <f>IFERROR(INDEX(Empresas!$H$2:$H$23,MATCH($A107,Empresas!$B$2:$B$23,0))&amp;"","")</f>
        <v/>
      </c>
      <c r="F107" s="50" t="n">
        <v>821783906</v>
      </c>
      <c r="G107" s="50" t="n">
        <v>456385261</v>
      </c>
      <c r="H107" s="50" t="n">
        <v>1636537152</v>
      </c>
      <c r="I107" s="50" t="n">
        <v>854453275</v>
      </c>
      <c r="J107" s="50" t="n">
        <v>782083877</v>
      </c>
      <c r="K107" s="50" t="n">
        <v>837213197</v>
      </c>
      <c r="L107" s="50" t="n">
        <v>22067073</v>
      </c>
      <c r="M107" s="50" t="n">
        <v>52475816</v>
      </c>
      <c r="N107" s="50" t="n">
        <v>43979040</v>
      </c>
      <c r="O107" s="50" t="n">
        <v>774256549</v>
      </c>
      <c r="P107" s="50" t="n">
        <v>43126287</v>
      </c>
      <c r="Q107" s="50" t="n">
        <v>65268973</v>
      </c>
      <c r="R107" s="45" t="n">
        <v>939.8743286132812</v>
      </c>
      <c r="S107" s="35" t="inlineStr">
        <is>
          <t>XBRL 2024, comparativo</t>
        </is>
      </c>
      <c r="T107" s="35" t="n"/>
    </row>
    <row r="108" ht="15" customHeight="1" s="31">
      <c r="A108" s="39" t="inlineStr">
        <is>
          <t>CONCHATORO</t>
        </is>
      </c>
      <c r="B108" s="39" t="n">
        <v>2</v>
      </c>
      <c r="C108" s="39" t="inlineStr">
        <is>
          <t>Consumo</t>
        </is>
      </c>
      <c r="D108" s="49" t="n">
        <v>2024</v>
      </c>
      <c r="E108" s="38">
        <f>IFERROR(INDEX(Empresas!$H$2:$H$23,MATCH($A108,Empresas!$B$2:$B$23,0))&amp;"","")</f>
        <v/>
      </c>
      <c r="F108" s="50" t="n">
        <v>849575742</v>
      </c>
      <c r="G108" s="50" t="n">
        <v>505542137</v>
      </c>
      <c r="H108" s="50" t="n">
        <v>1718769070</v>
      </c>
      <c r="I108" s="50" t="n">
        <v>893876762</v>
      </c>
      <c r="J108" s="50" t="n">
        <v>824892308</v>
      </c>
      <c r="K108" s="50" t="n">
        <v>958629954</v>
      </c>
      <c r="L108" s="50" t="n">
        <v>23583343</v>
      </c>
      <c r="M108" s="50" t="n">
        <v>105620090</v>
      </c>
      <c r="N108" s="50" t="n">
        <v>78704031</v>
      </c>
      <c r="O108" s="50" t="n">
        <v>817671946</v>
      </c>
      <c r="P108" s="50" t="n">
        <v>77420064</v>
      </c>
      <c r="Q108" s="50" t="n">
        <v>119717689</v>
      </c>
      <c r="R108" s="45" t="n">
        <v>1006.952697753906</v>
      </c>
      <c r="S108" s="35" t="inlineStr">
        <is>
          <t>XBRL 2025, comparativo</t>
        </is>
      </c>
      <c r="T108" s="35" t="n"/>
    </row>
    <row r="109" ht="15" customHeight="1" s="31">
      <c r="A109" s="39" t="inlineStr">
        <is>
          <t>CONCHATORO</t>
        </is>
      </c>
      <c r="B109" s="39" t="n">
        <v>2</v>
      </c>
      <c r="C109" s="39" t="inlineStr">
        <is>
          <t>Consumo</t>
        </is>
      </c>
      <c r="D109" s="49" t="n">
        <v>2025</v>
      </c>
      <c r="E109" s="38">
        <f>IFERROR(INDEX(Empresas!$H$2:$H$23,MATCH($A109,Empresas!$B$2:$B$23,0))&amp;"","")</f>
        <v/>
      </c>
      <c r="F109" s="50" t="n">
        <v>844489858</v>
      </c>
      <c r="G109" s="50" t="n">
        <v>462353053</v>
      </c>
      <c r="H109" s="50" t="n">
        <v>1737156504</v>
      </c>
      <c r="I109" s="50" t="n">
        <v>871081738</v>
      </c>
      <c r="J109" s="50" t="n">
        <v>866074766</v>
      </c>
      <c r="K109" s="50" t="n">
        <v>975332952</v>
      </c>
      <c r="L109" s="50" t="n">
        <v>20997433</v>
      </c>
      <c r="M109" s="50" t="n">
        <v>90678719</v>
      </c>
      <c r="N109" s="50" t="n">
        <v>68351880</v>
      </c>
      <c r="O109" s="50" t="n">
        <v>858330216</v>
      </c>
      <c r="P109" s="50" t="n">
        <v>67220320</v>
      </c>
      <c r="Q109" s="50" t="n">
        <v>103521870</v>
      </c>
      <c r="R109" s="45" t="n">
        <v>982.80126953125</v>
      </c>
      <c r="S109" s="35" t="inlineStr">
        <is>
          <t>XBRL 2025, actual</t>
        </is>
      </c>
      <c r="T109" s="35" t="n"/>
    </row>
    <row r="110" ht="15" customHeight="1" s="31">
      <c r="A110" s="39" t="inlineStr">
        <is>
          <t>LTM</t>
        </is>
      </c>
      <c r="B110" s="39" t="n">
        <v>3</v>
      </c>
      <c r="C110" s="39" t="inlineStr">
        <is>
          <t>Industria, recursos naturales e inmobiliario</t>
        </is>
      </c>
      <c r="D110" s="49" t="n">
        <v>2017</v>
      </c>
      <c r="E110" s="38">
        <f>IFERROR(INDEX(Empresas!$H$2:$H$23,MATCH($A110,Empresas!$B$2:$B$23,0))&amp;"","")</f>
        <v/>
      </c>
      <c r="F110" s="50" t="n">
        <v>3745499</v>
      </c>
      <c r="G110" s="50" t="n">
        <v>5842714</v>
      </c>
      <c r="H110" s="50" t="n">
        <v>18797972</v>
      </c>
      <c r="I110" s="50" t="n">
        <v>14530736</v>
      </c>
      <c r="J110" s="50" t="n">
        <v>4267236</v>
      </c>
      <c r="K110" s="50" t="n">
        <v>9613907</v>
      </c>
      <c r="L110" s="50" t="n">
        <v>393286</v>
      </c>
      <c r="M110" s="50" t="n">
        <v>374218</v>
      </c>
      <c r="N110" s="50" t="n">
        <v>200714</v>
      </c>
      <c r="O110" s="50" t="n">
        <v>4176089</v>
      </c>
      <c r="P110" s="50" t="n">
        <v>155304</v>
      </c>
      <c r="Q110" s="50" t="n">
        <v>706779</v>
      </c>
      <c r="R110" s="45" t="n">
        <v>485.07861328125</v>
      </c>
      <c r="S110" s="35" t="inlineStr">
        <is>
          <t>XBRL 2018, comparativo</t>
        </is>
      </c>
      <c r="T110" s="35" t="n"/>
    </row>
    <row r="111" ht="15" customHeight="1" s="31">
      <c r="A111" s="39" t="inlineStr">
        <is>
          <t>LTM</t>
        </is>
      </c>
      <c r="B111" s="39" t="n">
        <v>3</v>
      </c>
      <c r="C111" s="39" t="inlineStr">
        <is>
          <t>Industria, recursos naturales e inmobiliario</t>
        </is>
      </c>
      <c r="D111" s="49" t="n">
        <v>2018</v>
      </c>
      <c r="E111" s="38">
        <f>IFERROR(INDEX(Empresas!$H$2:$H$23,MATCH($A111,Empresas!$B$2:$B$23,0))&amp;"","")</f>
        <v/>
      </c>
      <c r="F111" s="50" t="n">
        <v>3306362</v>
      </c>
      <c r="G111" s="50" t="n">
        <v>5568752</v>
      </c>
      <c r="H111" s="50" t="n">
        <v>17566777</v>
      </c>
      <c r="I111" s="50" t="n">
        <v>13820001</v>
      </c>
      <c r="J111" s="50" t="n">
        <v>3746776</v>
      </c>
      <c r="K111" s="50" t="n">
        <v>9895456</v>
      </c>
      <c r="L111" s="50" t="n">
        <v>356269</v>
      </c>
      <c r="M111" s="50" t="n">
        <v>297029</v>
      </c>
      <c r="N111" s="50" t="n">
        <v>213247</v>
      </c>
      <c r="O111" s="50" t="n">
        <v>3666836</v>
      </c>
      <c r="P111" s="50" t="n">
        <v>181935</v>
      </c>
      <c r="Q111" s="50" t="n">
        <v>758619</v>
      </c>
      <c r="R111" s="45" t="n">
        <v>385.8339538574219</v>
      </c>
      <c r="S111" s="35" t="inlineStr">
        <is>
          <t>XBRL 2018, actual</t>
        </is>
      </c>
      <c r="T111" s="35" t="n"/>
    </row>
    <row r="112" ht="15" customHeight="1" s="31">
      <c r="A112" s="39" t="inlineStr">
        <is>
          <t>LTM</t>
        </is>
      </c>
      <c r="B112" s="39" t="n">
        <v>3</v>
      </c>
      <c r="C112" s="39" t="inlineStr">
        <is>
          <t>Industria, recursos naturales e inmobiliario</t>
        </is>
      </c>
      <c r="D112" s="49" t="n">
        <v>2019</v>
      </c>
      <c r="E112" s="38">
        <f>IFERROR(INDEX(Empresas!$H$2:$H$23,MATCH($A112,Empresas!$B$2:$B$23,0))&amp;"","")</f>
        <v/>
      </c>
      <c r="F112" s="50" t="n">
        <v>4018228</v>
      </c>
      <c r="G112" s="50" t="n">
        <v>6960942</v>
      </c>
      <c r="H112" s="50" t="n">
        <v>21087806</v>
      </c>
      <c r="I112" s="50" t="n">
        <v>17958629</v>
      </c>
      <c r="J112" s="50" t="n">
        <v>3129177</v>
      </c>
      <c r="K112" s="50" t="n">
        <v>10070063</v>
      </c>
      <c r="L112" s="50" t="n">
        <v>589934</v>
      </c>
      <c r="M112" s="50" t="n">
        <v>141916</v>
      </c>
      <c r="N112" s="50" t="n">
        <v>195613</v>
      </c>
      <c r="O112" s="50" t="n">
        <v>3130782</v>
      </c>
      <c r="P112" s="50" t="n">
        <v>190430</v>
      </c>
      <c r="Q112" s="50" t="n">
        <v>753127</v>
      </c>
      <c r="R112" s="45" t="n">
        <v>419.8258666992188</v>
      </c>
      <c r="S112" s="35" t="inlineStr">
        <is>
          <t>XBRL 2020, comparativo</t>
        </is>
      </c>
      <c r="T112" s="35" t="n"/>
    </row>
    <row r="113" ht="15" customHeight="1" s="31">
      <c r="A113" s="39" t="inlineStr">
        <is>
          <t>LTM</t>
        </is>
      </c>
      <c r="B113" s="39" t="n">
        <v>3</v>
      </c>
      <c r="C113" s="39" t="inlineStr">
        <is>
          <t>Industria, recursos naturales e inmobiliario</t>
        </is>
      </c>
      <c r="D113" s="49" t="n">
        <v>2020</v>
      </c>
      <c r="E113" s="38">
        <f>IFERROR(INDEX(Empresas!$H$2:$H$23,MATCH($A113,Empresas!$B$2:$B$23,0))&amp;"","")</f>
        <v/>
      </c>
      <c r="F113" s="50" t="n">
        <v>3143538</v>
      </c>
      <c r="G113" s="50" t="n">
        <v>7491888</v>
      </c>
      <c r="H113" s="50" t="n">
        <v>15650090</v>
      </c>
      <c r="I113" s="50" t="n">
        <v>18092475</v>
      </c>
      <c r="J113" s="50" t="n">
        <v>-2442385</v>
      </c>
      <c r="K113" s="50" t="n">
        <v>3923667</v>
      </c>
      <c r="L113" s="50" t="n">
        <v>586979</v>
      </c>
      <c r="M113" s="50" t="n">
        <v>-5105723</v>
      </c>
      <c r="N113" s="50" t="n">
        <v>-4555535</v>
      </c>
      <c r="O113" s="50" t="n">
        <v>-2435713</v>
      </c>
      <c r="P113" s="50" t="n">
        <v>-4545887</v>
      </c>
      <c r="Q113" s="50" t="n">
        <v>-4530086</v>
      </c>
      <c r="R113" s="45" t="n">
        <v>70.455078125</v>
      </c>
      <c r="S113" s="35" t="inlineStr">
        <is>
          <t>XBRL 2020, actual</t>
        </is>
      </c>
      <c r="T113" s="35" t="n"/>
    </row>
    <row r="114" ht="15" customHeight="1" s="31">
      <c r="A114" s="39" t="inlineStr">
        <is>
          <t>LTM</t>
        </is>
      </c>
      <c r="B114" s="39" t="n">
        <v>3</v>
      </c>
      <c r="C114" s="39" t="inlineStr">
        <is>
          <t>Industria, recursos naturales e inmobiliario</t>
        </is>
      </c>
      <c r="D114" s="49" t="n">
        <v>2021</v>
      </c>
      <c r="E114" s="38">
        <f>IFERROR(INDEX(Empresas!$H$2:$H$23,MATCH($A114,Empresas!$B$2:$B$23,0))&amp;"","")</f>
        <v/>
      </c>
      <c r="F114" s="50" t="n">
        <v>2614228</v>
      </c>
      <c r="G114" s="50" t="n">
        <v>12315427</v>
      </c>
      <c r="H114" s="50" t="n">
        <v>13291532</v>
      </c>
      <c r="I114" s="50" t="n">
        <v>20358436</v>
      </c>
      <c r="J114" s="50" t="n">
        <v>-7066904</v>
      </c>
      <c r="K114" s="50" t="n">
        <v>4884015</v>
      </c>
      <c r="L114" s="50" t="n">
        <v>805544</v>
      </c>
      <c r="M114" s="50" t="n">
        <v>-4084207</v>
      </c>
      <c r="N114" s="50" t="n">
        <v>-4653142</v>
      </c>
      <c r="O114" s="50" t="n">
        <v>-7056548</v>
      </c>
      <c r="P114" s="50" t="n">
        <v>-4647491</v>
      </c>
      <c r="Q114" s="50" t="n">
        <v>-3425785</v>
      </c>
      <c r="R114" s="45" t="n">
        <v>18.15461730957031</v>
      </c>
      <c r="S114" s="35" t="inlineStr">
        <is>
          <t>XBRL 2022, comparativo</t>
        </is>
      </c>
      <c r="T114" s="35" t="n"/>
    </row>
    <row r="115" ht="15" customHeight="1" s="31">
      <c r="A115" s="39" t="inlineStr">
        <is>
          <t>LTM</t>
        </is>
      </c>
      <c r="B115" s="39" t="n">
        <v>3</v>
      </c>
      <c r="C115" s="39" t="inlineStr">
        <is>
          <t>Industria, recursos naturales e inmobiliario</t>
        </is>
      </c>
      <c r="D115" s="49" t="n">
        <v>2022</v>
      </c>
      <c r="E115" s="38">
        <f>IFERROR(INDEX(Empresas!$H$2:$H$23,MATCH($A115,Empresas!$B$2:$B$23,0))&amp;"","")</f>
        <v/>
      </c>
      <c r="F115" s="50" t="n">
        <v>3536424</v>
      </c>
      <c r="G115" s="50" t="n">
        <v>5088695</v>
      </c>
      <c r="H115" s="50" t="n">
        <v>13211024</v>
      </c>
      <c r="I115" s="50" t="n">
        <v>13180303</v>
      </c>
      <c r="J115" s="50" t="n">
        <v>30721</v>
      </c>
      <c r="K115" s="50" t="n">
        <v>9362521</v>
      </c>
      <c r="L115" s="50" t="n">
        <v>942403</v>
      </c>
      <c r="M115" s="50" t="n">
        <v>1346051</v>
      </c>
      <c r="N115" s="50" t="n">
        <v>1337137</v>
      </c>
      <c r="O115" s="50" t="n">
        <v>42278</v>
      </c>
      <c r="P115" s="50" t="n">
        <v>1339210</v>
      </c>
      <c r="Q115" s="50" t="n">
        <v>1211578</v>
      </c>
      <c r="R115" s="45" t="n">
        <v>5.637465476989746</v>
      </c>
      <c r="S115" s="35" t="inlineStr">
        <is>
          <t>XBRL 2022, actual</t>
        </is>
      </c>
      <c r="T115" s="35" t="n"/>
    </row>
    <row r="116" ht="15" customHeight="1" s="31">
      <c r="A116" s="39" t="inlineStr">
        <is>
          <t>LTM</t>
        </is>
      </c>
      <c r="B116" s="39" t="n">
        <v>3</v>
      </c>
      <c r="C116" s="39" t="inlineStr">
        <is>
          <t>Industria, recursos naturales e inmobiliario</t>
        </is>
      </c>
      <c r="D116" s="49" t="n">
        <v>2023</v>
      </c>
      <c r="E116" s="38">
        <f>IFERROR(INDEX(Empresas!$H$2:$H$23,MATCH($A116,Empresas!$B$2:$B$23,0))&amp;"","")</f>
        <v/>
      </c>
      <c r="F116" s="50" t="n">
        <v>4203362</v>
      </c>
      <c r="G116" s="50" t="n">
        <v>5688135</v>
      </c>
      <c r="H116" s="50" t="n">
        <v>14667315</v>
      </c>
      <c r="I116" s="50" t="n">
        <v>14229040</v>
      </c>
      <c r="J116" s="50" t="n">
        <v>438275</v>
      </c>
      <c r="K116" s="50" t="n">
        <v>11640541</v>
      </c>
      <c r="L116" s="50" t="n">
        <v>698231</v>
      </c>
      <c r="M116" s="50" t="n">
        <v>596492</v>
      </c>
      <c r="N116" s="50" t="n">
        <v>581550</v>
      </c>
      <c r="O116" s="50" t="n">
        <v>450302</v>
      </c>
      <c r="P116" s="50" t="n">
        <v>581831</v>
      </c>
      <c r="Q116" s="50" t="n">
        <v>1078165</v>
      </c>
      <c r="R116" s="45" t="n">
        <v>9.525442123413086</v>
      </c>
      <c r="S116" s="35" t="inlineStr">
        <is>
          <t>XBRL 2024, comparativo</t>
        </is>
      </c>
      <c r="T116" s="35" t="n"/>
    </row>
    <row r="117" ht="15" customHeight="1" s="31">
      <c r="A117" s="39" t="inlineStr">
        <is>
          <t>LTM</t>
        </is>
      </c>
      <c r="B117" s="39" t="n">
        <v>3</v>
      </c>
      <c r="C117" s="39" t="inlineStr">
        <is>
          <t>Industria, recursos naturales e inmobiliario</t>
        </is>
      </c>
      <c r="D117" s="49" t="n">
        <v>2024</v>
      </c>
      <c r="E117" s="38">
        <f>IFERROR(INDEX(Empresas!$H$2:$H$23,MATCH($A117,Empresas!$B$2:$B$23,0))&amp;"","")</f>
        <v/>
      </c>
      <c r="F117" s="50" t="n">
        <v>3900419</v>
      </c>
      <c r="G117" s="50" t="n">
        <v>6290842</v>
      </c>
      <c r="H117" s="50" t="n">
        <v>15253365</v>
      </c>
      <c r="I117" s="50" t="n">
        <v>14542036</v>
      </c>
      <c r="J117" s="50" t="n">
        <v>711329</v>
      </c>
      <c r="K117" s="50" t="n">
        <v>12833043</v>
      </c>
      <c r="L117" s="50" t="n">
        <v>881950</v>
      </c>
      <c r="M117" s="50" t="n">
        <v>993934</v>
      </c>
      <c r="N117" s="50" t="n">
        <v>977445</v>
      </c>
      <c r="O117" s="50" t="n">
        <v>723267</v>
      </c>
      <c r="P117" s="50" t="n">
        <v>976972</v>
      </c>
      <c r="Q117" s="50" t="n">
        <v>1541048</v>
      </c>
      <c r="R117" s="45" t="n">
        <v>13.69469165802002</v>
      </c>
      <c r="S117" s="35" t="inlineStr">
        <is>
          <t>XBRL 2025, comparativo</t>
        </is>
      </c>
      <c r="T117" s="35" t="n"/>
    </row>
    <row r="118" ht="15" customHeight="1" s="31">
      <c r="A118" s="39" t="inlineStr">
        <is>
          <t>LTM</t>
        </is>
      </c>
      <c r="B118" s="39" t="n">
        <v>3</v>
      </c>
      <c r="C118" s="39" t="inlineStr">
        <is>
          <t>Industria, recursos naturales e inmobiliario</t>
        </is>
      </c>
      <c r="D118" s="49" t="n">
        <v>2025</v>
      </c>
      <c r="E118" s="38">
        <f>IFERROR(INDEX(Empresas!$H$2:$H$23,MATCH($A118,Empresas!$B$2:$B$23,0))&amp;"","")</f>
        <v/>
      </c>
      <c r="F118" s="50" t="n">
        <v>4383212</v>
      </c>
      <c r="G118" s="50" t="n">
        <v>7294394</v>
      </c>
      <c r="H118" s="50" t="n">
        <v>17640891</v>
      </c>
      <c r="I118" s="50" t="n">
        <v>16303689</v>
      </c>
      <c r="J118" s="50" t="n">
        <v>1337202</v>
      </c>
      <c r="K118" s="50" t="n">
        <v>14265056</v>
      </c>
      <c r="L118" s="50" t="n">
        <v>721416</v>
      </c>
      <c r="M118" s="50" t="n">
        <v>1618618</v>
      </c>
      <c r="N118" s="50" t="n">
        <v>1463561</v>
      </c>
      <c r="O118" s="50" t="n">
        <v>1345594</v>
      </c>
      <c r="P118" s="50" t="n">
        <v>1459984</v>
      </c>
      <c r="Q118" s="50" t="n">
        <v>2335538</v>
      </c>
      <c r="R118" s="45" t="n">
        <v>24.32877540588379</v>
      </c>
      <c r="S118" s="35" t="inlineStr">
        <is>
          <t>XBRL 2025, actual</t>
        </is>
      </c>
      <c r="T118" s="35" t="n"/>
    </row>
    <row r="119" ht="15" customHeight="1" s="31">
      <c r="A119" s="39" t="inlineStr">
        <is>
          <t>PARAUCO</t>
        </is>
      </c>
      <c r="B119" s="39" t="n">
        <v>3</v>
      </c>
      <c r="C119" s="39" t="inlineStr">
        <is>
          <t>Industria, recursos naturales e inmobiliario</t>
        </is>
      </c>
      <c r="D119" s="49" t="n">
        <v>2017</v>
      </c>
      <c r="E119" s="38">
        <f>IFERROR(INDEX(Empresas!$H$2:$H$23,MATCH($A119,Empresas!$B$2:$B$23,0))&amp;"","")</f>
        <v/>
      </c>
      <c r="F119" s="50" t="n">
        <v>232706710</v>
      </c>
      <c r="G119" s="50" t="n">
        <v>96845567</v>
      </c>
      <c r="H119" s="50" t="n">
        <v>2081013981</v>
      </c>
      <c r="I119" s="50" t="n">
        <v>1140244562</v>
      </c>
      <c r="J119" s="50" t="n">
        <v>940769419</v>
      </c>
      <c r="K119" s="50" t="n">
        <v>182215067</v>
      </c>
      <c r="L119" s="50" t="n">
        <v>38086741</v>
      </c>
      <c r="M119" s="50" t="n">
        <v>142844424</v>
      </c>
      <c r="N119" s="50" t="n">
        <v>99467569</v>
      </c>
      <c r="O119" s="50" t="n">
        <v>798174870</v>
      </c>
      <c r="P119" s="50" t="n">
        <v>88989529</v>
      </c>
      <c r="Q119" s="50" t="n">
        <v>122762095</v>
      </c>
      <c r="R119" s="45" t="n">
        <v>1617.35400390625</v>
      </c>
      <c r="S119" s="35" t="inlineStr">
        <is>
          <t>XBRL 2018, comparativo</t>
        </is>
      </c>
      <c r="T119" s="35" t="n"/>
    </row>
    <row r="120" ht="15" customHeight="1" s="31">
      <c r="A120" s="39" t="inlineStr">
        <is>
          <t>PARAUCO</t>
        </is>
      </c>
      <c r="B120" s="39" t="n">
        <v>3</v>
      </c>
      <c r="C120" s="39" t="inlineStr">
        <is>
          <t>Industria, recursos naturales e inmobiliario</t>
        </is>
      </c>
      <c r="D120" s="49" t="n">
        <v>2018</v>
      </c>
      <c r="E120" s="38">
        <f>IFERROR(INDEX(Empresas!$H$2:$H$23,MATCH($A120,Empresas!$B$2:$B$23,0))&amp;"","")</f>
        <v/>
      </c>
      <c r="F120" s="50" t="n">
        <v>364167584</v>
      </c>
      <c r="G120" s="50" t="n">
        <v>190331991</v>
      </c>
      <c r="H120" s="50" t="n">
        <v>2378100049</v>
      </c>
      <c r="I120" s="50" t="n">
        <v>1300072309</v>
      </c>
      <c r="J120" s="50" t="n">
        <v>1078027740</v>
      </c>
      <c r="K120" s="50" t="n">
        <v>189618287</v>
      </c>
      <c r="L120" s="50" t="n">
        <v>36627127</v>
      </c>
      <c r="M120" s="50" t="n">
        <v>170848592</v>
      </c>
      <c r="N120" s="50" t="n">
        <v>123389413</v>
      </c>
      <c r="O120" s="50" t="n">
        <v>919826325</v>
      </c>
      <c r="P120" s="50" t="n">
        <v>117863488</v>
      </c>
      <c r="Q120" s="50" t="n">
        <v>156998818</v>
      </c>
      <c r="R120" s="45" t="n">
        <v>1334.3291015625</v>
      </c>
      <c r="S120" s="35" t="inlineStr">
        <is>
          <t>XBRL 2018, actual</t>
        </is>
      </c>
      <c r="T120" s="35" t="n"/>
    </row>
    <row r="121" ht="15" customHeight="1" s="31">
      <c r="A121" s="39" t="inlineStr">
        <is>
          <t>PARAUCO</t>
        </is>
      </c>
      <c r="B121" s="39" t="n">
        <v>3</v>
      </c>
      <c r="C121" s="39" t="inlineStr">
        <is>
          <t>Industria, recursos naturales e inmobiliario</t>
        </is>
      </c>
      <c r="D121" s="49" t="n">
        <v>2019</v>
      </c>
      <c r="E121" s="38">
        <f>IFERROR(INDEX(Empresas!$H$2:$H$23,MATCH($A121,Empresas!$B$2:$B$23,0))&amp;"","")</f>
        <v/>
      </c>
      <c r="F121" s="50" t="n">
        <v>409922039</v>
      </c>
      <c r="G121" s="50" t="n">
        <v>321246233</v>
      </c>
      <c r="H121" s="50" t="n">
        <v>2683268130</v>
      </c>
      <c r="I121" s="50" t="n">
        <v>1515389543</v>
      </c>
      <c r="J121" s="50" t="n">
        <v>1167878587</v>
      </c>
      <c r="K121" s="50" t="n">
        <v>205612761</v>
      </c>
      <c r="L121" s="50" t="n">
        <v>40046031</v>
      </c>
      <c r="M121" s="50" t="n">
        <v>141462276</v>
      </c>
      <c r="N121" s="50" t="n">
        <v>104642623</v>
      </c>
      <c r="O121" s="50" t="n">
        <v>1057070228</v>
      </c>
      <c r="P121" s="50" t="n">
        <v>93393722</v>
      </c>
      <c r="Q121" s="50" t="n">
        <v>183941040</v>
      </c>
      <c r="R121" s="45" t="n">
        <v>1631.50048828125</v>
      </c>
      <c r="S121" s="35" t="inlineStr">
        <is>
          <t>XBRL 2020, comparativo</t>
        </is>
      </c>
      <c r="T121" s="35" t="n"/>
    </row>
    <row r="122" ht="15" customHeight="1" s="31">
      <c r="A122" s="39" t="inlineStr">
        <is>
          <t>PARAUCO</t>
        </is>
      </c>
      <c r="B122" s="39" t="n">
        <v>3</v>
      </c>
      <c r="C122" s="39" t="inlineStr">
        <is>
          <t>Industria, recursos naturales e inmobiliario</t>
        </is>
      </c>
      <c r="D122" s="49" t="n">
        <v>2020</v>
      </c>
      <c r="E122" s="38">
        <f>IFERROR(INDEX(Empresas!$H$2:$H$23,MATCH($A122,Empresas!$B$2:$B$23,0))&amp;"","")</f>
        <v/>
      </c>
      <c r="F122" s="50" t="n">
        <v>426919721</v>
      </c>
      <c r="G122" s="50" t="n">
        <v>93861631</v>
      </c>
      <c r="H122" s="50" t="n">
        <v>2687663249</v>
      </c>
      <c r="I122" s="50" t="n">
        <v>1600038758</v>
      </c>
      <c r="J122" s="50" t="n">
        <v>1087624491</v>
      </c>
      <c r="K122" s="50" t="n">
        <v>125851928</v>
      </c>
      <c r="L122" s="50" t="n">
        <v>49812899</v>
      </c>
      <c r="M122" s="50" t="n">
        <v>14993617</v>
      </c>
      <c r="N122" s="50" t="n">
        <v>4248683</v>
      </c>
      <c r="O122" s="50" t="n">
        <v>978269482</v>
      </c>
      <c r="P122" s="50" t="n">
        <v>1846222</v>
      </c>
      <c r="Q122" s="50" t="n">
        <v>74802326</v>
      </c>
      <c r="R122" s="45" t="n">
        <v>1043.135375976562</v>
      </c>
      <c r="S122" s="35" t="inlineStr">
        <is>
          <t>XBRL 2020, actual</t>
        </is>
      </c>
      <c r="T122" s="35" t="n"/>
    </row>
    <row r="123" ht="15" customHeight="1" s="31">
      <c r="A123" s="39" t="inlineStr">
        <is>
          <t>PARAUCO</t>
        </is>
      </c>
      <c r="B123" s="39" t="n">
        <v>3</v>
      </c>
      <c r="C123" s="39" t="inlineStr">
        <is>
          <t>Industria, recursos naturales e inmobiliario</t>
        </is>
      </c>
      <c r="D123" s="49" t="n">
        <v>2021</v>
      </c>
      <c r="E123" s="38">
        <f>IFERROR(INDEX(Empresas!$H$2:$H$23,MATCH($A123,Empresas!$B$2:$B$23,0))&amp;"","")</f>
        <v/>
      </c>
      <c r="F123" s="50" t="n">
        <v>368697544</v>
      </c>
      <c r="G123" s="50" t="n">
        <v>169075333</v>
      </c>
      <c r="H123" s="50" t="n">
        <v>2775897576</v>
      </c>
      <c r="I123" s="50" t="n">
        <v>1485634611</v>
      </c>
      <c r="J123" s="50" t="n">
        <v>1290262965</v>
      </c>
      <c r="K123" s="50" t="n">
        <v>169859243</v>
      </c>
      <c r="L123" s="50" t="n">
        <v>43117522</v>
      </c>
      <c r="M123" s="50" t="n">
        <v>68471589</v>
      </c>
      <c r="N123" s="50" t="n">
        <v>47944764</v>
      </c>
      <c r="O123" s="50" t="n">
        <v>1077424538</v>
      </c>
      <c r="P123" s="50" t="n">
        <v>23438353</v>
      </c>
      <c r="Q123" s="50" t="n">
        <v>149138358</v>
      </c>
      <c r="R123" s="45" t="n">
        <v>843.0292358398438</v>
      </c>
      <c r="S123" s="35" t="inlineStr">
        <is>
          <t>XBRL 2022, comparativo</t>
        </is>
      </c>
      <c r="T123" s="35" t="n"/>
    </row>
    <row r="124" ht="15" customHeight="1" s="31">
      <c r="A124" s="39" t="inlineStr">
        <is>
          <t>PARAUCO</t>
        </is>
      </c>
      <c r="B124" s="39" t="n">
        <v>3</v>
      </c>
      <c r="C124" s="39" t="inlineStr">
        <is>
          <t>Industria, recursos naturales e inmobiliario</t>
        </is>
      </c>
      <c r="D124" s="49" t="n">
        <v>2022</v>
      </c>
      <c r="E124" s="38">
        <f>IFERROR(INDEX(Empresas!$H$2:$H$23,MATCH($A124,Empresas!$B$2:$B$23,0))&amp;"","")</f>
        <v/>
      </c>
      <c r="F124" s="50" t="n">
        <v>316127718</v>
      </c>
      <c r="G124" s="50" t="n">
        <v>191652165</v>
      </c>
      <c r="H124" s="50" t="n">
        <v>2938210602</v>
      </c>
      <c r="I124" s="50" t="n">
        <v>1582145524</v>
      </c>
      <c r="J124" s="50" t="n">
        <v>1356065078</v>
      </c>
      <c r="K124" s="50" t="n">
        <v>243119543</v>
      </c>
      <c r="L124" s="50" t="n">
        <v>48218849</v>
      </c>
      <c r="M124" s="50" t="n">
        <v>182884070</v>
      </c>
      <c r="N124" s="50" t="n">
        <v>137551973</v>
      </c>
      <c r="O124" s="50" t="n">
        <v>1144928854</v>
      </c>
      <c r="P124" s="50" t="n">
        <v>101031635</v>
      </c>
      <c r="Q124" s="50" t="n">
        <v>271632108</v>
      </c>
      <c r="R124" s="45" t="n">
        <v>994.656982421875</v>
      </c>
      <c r="S124" s="35" t="inlineStr">
        <is>
          <t>XBRL 2022, actual</t>
        </is>
      </c>
      <c r="T124" s="35" t="n"/>
    </row>
    <row r="125" ht="15" customHeight="1" s="31">
      <c r="A125" s="39" t="inlineStr">
        <is>
          <t>PARAUCO</t>
        </is>
      </c>
      <c r="B125" s="39" t="n">
        <v>3</v>
      </c>
      <c r="C125" s="39" t="inlineStr">
        <is>
          <t>Industria, recursos naturales e inmobiliario</t>
        </is>
      </c>
      <c r="D125" s="49" t="n">
        <v>2023</v>
      </c>
      <c r="E125" s="38">
        <f>IFERROR(INDEX(Empresas!$H$2:$H$23,MATCH($A125,Empresas!$B$2:$B$23,0))&amp;"","")</f>
        <v/>
      </c>
      <c r="F125" s="50" t="n">
        <v>420724391</v>
      </c>
      <c r="G125" s="50" t="n">
        <v>260905891</v>
      </c>
      <c r="H125" s="50" t="n">
        <v>3482971147</v>
      </c>
      <c r="I125" s="50" t="n">
        <v>1852010714</v>
      </c>
      <c r="J125" s="50" t="n">
        <v>1630960433</v>
      </c>
      <c r="K125" s="50" t="n">
        <v>264312607</v>
      </c>
      <c r="L125" s="50" t="n">
        <v>59234605</v>
      </c>
      <c r="M125" s="50" t="n">
        <v>180500145</v>
      </c>
      <c r="N125" s="50" t="n">
        <v>129114886</v>
      </c>
      <c r="O125" s="50" t="n">
        <v>1298911303</v>
      </c>
      <c r="P125" s="50" t="n">
        <v>112345334</v>
      </c>
      <c r="Q125" s="50" t="n">
        <v>228661956</v>
      </c>
      <c r="R125" s="45" t="n">
        <v>1344.037841796875</v>
      </c>
      <c r="S125" s="35" t="inlineStr">
        <is>
          <t>XBRL 2024, comparativo</t>
        </is>
      </c>
      <c r="T125" s="35" t="n"/>
    </row>
    <row r="126" ht="15" customHeight="1" s="31">
      <c r="A126" s="39" t="inlineStr">
        <is>
          <t>PARAUCO</t>
        </is>
      </c>
      <c r="B126" s="39" t="n">
        <v>3</v>
      </c>
      <c r="C126" s="39" t="inlineStr">
        <is>
          <t>Industria, recursos naturales e inmobiliario</t>
        </is>
      </c>
      <c r="D126" s="49" t="n">
        <v>2024</v>
      </c>
      <c r="E126" s="38">
        <f>IFERROR(INDEX(Empresas!$H$2:$H$23,MATCH($A126,Empresas!$B$2:$B$23,0))&amp;"","")</f>
        <v/>
      </c>
      <c r="F126" s="50" t="n">
        <v>528036127</v>
      </c>
      <c r="G126" s="50" t="n">
        <v>296359983</v>
      </c>
      <c r="H126" s="50" t="n">
        <v>3930479526</v>
      </c>
      <c r="I126" s="50" t="n">
        <v>2142432261</v>
      </c>
      <c r="J126" s="50" t="n">
        <v>1788047265</v>
      </c>
      <c r="K126" s="50" t="n">
        <v>316775712</v>
      </c>
      <c r="L126" s="50" t="n">
        <v>66790173</v>
      </c>
      <c r="M126" s="50" t="n">
        <v>208580311</v>
      </c>
      <c r="N126" s="50" t="n">
        <v>149541579</v>
      </c>
      <c r="O126" s="50" t="n">
        <v>1464457742</v>
      </c>
      <c r="P126" s="50" t="n">
        <v>120571308</v>
      </c>
      <c r="Q126" s="50" t="n">
        <v>271106287</v>
      </c>
      <c r="R126" s="45" t="n">
        <v>1535.233520507812</v>
      </c>
      <c r="S126" s="35" t="inlineStr">
        <is>
          <t>XBRL 2025, comparativo</t>
        </is>
      </c>
      <c r="T126" s="35" t="n"/>
    </row>
    <row r="127" ht="15" customHeight="1" s="31">
      <c r="A127" s="39" t="inlineStr">
        <is>
          <t>PARAUCO</t>
        </is>
      </c>
      <c r="B127" s="39" t="n">
        <v>3</v>
      </c>
      <c r="C127" s="39" t="inlineStr">
        <is>
          <t>Industria, recursos naturales e inmobiliario</t>
        </is>
      </c>
      <c r="D127" s="49" t="n">
        <v>2025</v>
      </c>
      <c r="E127" s="38">
        <f>IFERROR(INDEX(Empresas!$H$2:$H$23,MATCH($A127,Empresas!$B$2:$B$23,0))&amp;"","")</f>
        <v/>
      </c>
      <c r="F127" s="50" t="n">
        <v>274033137</v>
      </c>
      <c r="G127" s="50" t="n">
        <v>278117654</v>
      </c>
      <c r="H127" s="50" t="n">
        <v>4284682595</v>
      </c>
      <c r="I127" s="50" t="n">
        <v>2327799886</v>
      </c>
      <c r="J127" s="50" t="n">
        <v>1956882709</v>
      </c>
      <c r="K127" s="50" t="n">
        <v>383792582</v>
      </c>
      <c r="L127" s="50" t="n">
        <v>67646806</v>
      </c>
      <c r="M127" s="50" t="n">
        <v>272450287</v>
      </c>
      <c r="N127" s="50" t="n">
        <v>213796304</v>
      </c>
      <c r="O127" s="50" t="n">
        <v>1594521872</v>
      </c>
      <c r="P127" s="50" t="n">
        <v>149972703</v>
      </c>
      <c r="Q127" s="50" t="n">
        <v>328348131</v>
      </c>
      <c r="R127" s="45" t="n">
        <v>2959.069091796875</v>
      </c>
      <c r="S127" s="35" t="inlineStr">
        <is>
          <t>XBRL 2025, actual</t>
        </is>
      </c>
      <c r="T127" s="35" t="n"/>
    </row>
    <row r="128" ht="15" customHeight="1" s="31">
      <c r="A128" s="39" t="inlineStr">
        <is>
          <t>CAP</t>
        </is>
      </c>
      <c r="B128" s="39" t="n">
        <v>3</v>
      </c>
      <c r="C128" s="39" t="inlineStr">
        <is>
          <t>Industria, recursos naturales e inmobiliario</t>
        </is>
      </c>
      <c r="D128" s="49" t="n">
        <v>2017</v>
      </c>
      <c r="E128" s="38">
        <f>IFERROR(INDEX(Empresas!$H$2:$H$23,MATCH($A128,Empresas!$B$2:$B$23,0))&amp;"","")</f>
        <v/>
      </c>
      <c r="F128" s="50" t="n">
        <v>1343364</v>
      </c>
      <c r="G128" s="50" t="n">
        <v>1065360</v>
      </c>
      <c r="H128" s="50" t="n">
        <v>5550301</v>
      </c>
      <c r="I128" s="50" t="n">
        <v>2286509</v>
      </c>
      <c r="J128" s="50" t="n">
        <v>3263792</v>
      </c>
      <c r="K128" s="50" t="n">
        <v>1931645</v>
      </c>
      <c r="L128" s="50" t="n">
        <v>91579</v>
      </c>
      <c r="M128" s="50" t="n">
        <v>279999</v>
      </c>
      <c r="N128" s="50" t="n">
        <v>192093</v>
      </c>
      <c r="O128" s="50" t="n">
        <v>1966786</v>
      </c>
      <c r="P128" s="50" t="n">
        <v>130296</v>
      </c>
      <c r="Q128" s="50" t="n">
        <v>360159</v>
      </c>
      <c r="R128" s="45" t="n">
        <v>4816.89599609375</v>
      </c>
      <c r="S128" s="35" t="inlineStr">
        <is>
          <t>XBRL 2018, comparativo</t>
        </is>
      </c>
      <c r="T128" s="35" t="n"/>
    </row>
    <row r="129" ht="15" customHeight="1" s="31">
      <c r="A129" s="39" t="inlineStr">
        <is>
          <t>CAP</t>
        </is>
      </c>
      <c r="B129" s="39" t="n">
        <v>3</v>
      </c>
      <c r="C129" s="39" t="inlineStr">
        <is>
          <t>Industria, recursos naturales e inmobiliario</t>
        </is>
      </c>
      <c r="D129" s="49" t="n">
        <v>2018</v>
      </c>
      <c r="E129" s="38">
        <f>IFERROR(INDEX(Empresas!$H$2:$H$23,MATCH($A129,Empresas!$B$2:$B$23,0))&amp;"","")</f>
        <v/>
      </c>
      <c r="F129" s="50" t="n">
        <v>1198596</v>
      </c>
      <c r="G129" s="50" t="n">
        <v>872839</v>
      </c>
      <c r="H129" s="50" t="n">
        <v>5341485</v>
      </c>
      <c r="I129" s="50" t="n">
        <v>1999229</v>
      </c>
      <c r="J129" s="50" t="n">
        <v>3342256</v>
      </c>
      <c r="K129" s="50" t="n">
        <v>1917134</v>
      </c>
      <c r="L129" s="50" t="n">
        <v>78142</v>
      </c>
      <c r="M129" s="50" t="n">
        <v>253006</v>
      </c>
      <c r="N129" s="50" t="n">
        <v>174466</v>
      </c>
      <c r="O129" s="50" t="n">
        <v>2027265</v>
      </c>
      <c r="P129" s="50" t="n">
        <v>124641</v>
      </c>
      <c r="Q129" s="50" t="n">
        <v>318192</v>
      </c>
      <c r="R129" s="45" t="n">
        <v>3891.11279296875</v>
      </c>
      <c r="S129" s="35" t="inlineStr">
        <is>
          <t>XBRL 2018, actual</t>
        </is>
      </c>
      <c r="T129" s="35" t="n"/>
    </row>
    <row r="130" ht="15" customHeight="1" s="31">
      <c r="A130" s="39" t="inlineStr">
        <is>
          <t>CAP</t>
        </is>
      </c>
      <c r="B130" s="39" t="n">
        <v>3</v>
      </c>
      <c r="C130" s="39" t="inlineStr">
        <is>
          <t>Industria, recursos naturales e inmobiliario</t>
        </is>
      </c>
      <c r="D130" s="49" t="n">
        <v>2019</v>
      </c>
      <c r="E130" s="38">
        <f>IFERROR(INDEX(Empresas!$H$2:$H$23,MATCH($A130,Empresas!$B$2:$B$23,0))&amp;"","")</f>
        <v/>
      </c>
      <c r="F130" s="50" t="n">
        <v>1241151</v>
      </c>
      <c r="G130" s="50" t="n">
        <v>1144830</v>
      </c>
      <c r="H130" s="50" t="n">
        <v>5478735</v>
      </c>
      <c r="I130" s="50" t="n">
        <v>2235480</v>
      </c>
      <c r="J130" s="50" t="n">
        <v>3243255</v>
      </c>
      <c r="K130" s="50" t="n">
        <v>1590249</v>
      </c>
      <c r="L130" s="50" t="n">
        <v>98459</v>
      </c>
      <c r="M130" s="50" t="n">
        <v>-120761</v>
      </c>
      <c r="N130" s="50" t="n">
        <v>-89380</v>
      </c>
      <c r="O130" s="50" t="n">
        <v>1920154</v>
      </c>
      <c r="P130" s="50" t="n">
        <v>-104118</v>
      </c>
      <c r="Q130" s="50" t="n">
        <v>-29996</v>
      </c>
      <c r="R130" s="45" t="n">
        <v>3723.728271484375</v>
      </c>
      <c r="S130" s="35" t="inlineStr">
        <is>
          <t>XBRL 2020, comparativo</t>
        </is>
      </c>
      <c r="T130" s="35" t="n"/>
    </row>
    <row r="131" ht="15" customHeight="1" s="31">
      <c r="A131" s="39" t="inlineStr">
        <is>
          <t>CAP</t>
        </is>
      </c>
      <c r="B131" s="39" t="n">
        <v>3</v>
      </c>
      <c r="C131" s="39" t="inlineStr">
        <is>
          <t>Industria, recursos naturales e inmobiliario</t>
        </is>
      </c>
      <c r="D131" s="49" t="n">
        <v>2020</v>
      </c>
      <c r="E131" s="38">
        <f>IFERROR(INDEX(Empresas!$H$2:$H$23,MATCH($A131,Empresas!$B$2:$B$23,0))&amp;"","")</f>
        <v/>
      </c>
      <c r="F131" s="50" t="n">
        <v>1485184</v>
      </c>
      <c r="G131" s="50" t="n">
        <v>1556718</v>
      </c>
      <c r="H131" s="50" t="n">
        <v>5866188</v>
      </c>
      <c r="I131" s="50" t="n">
        <v>2416683</v>
      </c>
      <c r="J131" s="50" t="n">
        <v>3449505</v>
      </c>
      <c r="K131" s="50" t="n">
        <v>2679003</v>
      </c>
      <c r="L131" s="50" t="n">
        <v>85275</v>
      </c>
      <c r="M131" s="50" t="n">
        <v>620813</v>
      </c>
      <c r="N131" s="50" t="n">
        <v>432039</v>
      </c>
      <c r="O131" s="50" t="n">
        <v>2060907</v>
      </c>
      <c r="P131" s="50" t="n">
        <v>300422</v>
      </c>
      <c r="Q131" s="50" t="n">
        <v>699012</v>
      </c>
      <c r="R131" s="45" t="n">
        <v>6444.31884765625</v>
      </c>
      <c r="S131" s="35" t="inlineStr">
        <is>
          <t>XBRL 2020, actual</t>
        </is>
      </c>
      <c r="T131" s="35" t="n"/>
    </row>
    <row r="132" ht="15" customHeight="1" s="31">
      <c r="A132" s="39" t="inlineStr">
        <is>
          <t>CAP</t>
        </is>
      </c>
      <c r="B132" s="39" t="n">
        <v>3</v>
      </c>
      <c r="C132" s="39" t="inlineStr">
        <is>
          <t>Industria, recursos naturales e inmobiliario</t>
        </is>
      </c>
      <c r="D132" s="49" t="n">
        <v>2021</v>
      </c>
      <c r="E132" s="38">
        <f>IFERROR(INDEX(Empresas!$H$2:$H$23,MATCH($A132,Empresas!$B$2:$B$23,0))&amp;"","")</f>
        <v/>
      </c>
      <c r="F132" s="50" t="n">
        <v>1983261</v>
      </c>
      <c r="G132" s="50" t="n">
        <v>1620066</v>
      </c>
      <c r="H132" s="50" t="n">
        <v>6612342</v>
      </c>
      <c r="I132" s="50" t="n">
        <v>2945020</v>
      </c>
      <c r="J132" s="50" t="n">
        <v>3667322</v>
      </c>
      <c r="K132" s="50" t="n">
        <v>3676883</v>
      </c>
      <c r="L132" s="50" t="n">
        <v>63359</v>
      </c>
      <c r="M132" s="50" t="n">
        <v>1474030</v>
      </c>
      <c r="N132" s="50" t="n">
        <v>993164</v>
      </c>
      <c r="O132" s="50" t="n">
        <v>2242713</v>
      </c>
      <c r="P132" s="50" t="n">
        <v>741380</v>
      </c>
      <c r="Q132" s="50" t="n">
        <v>1521261</v>
      </c>
      <c r="R132" s="45" t="n">
        <v>6413.54296875</v>
      </c>
      <c r="S132" s="35" t="inlineStr">
        <is>
          <t>XBRL 2022, comparativo</t>
        </is>
      </c>
      <c r="T132" s="35" t="n"/>
    </row>
    <row r="133" ht="15" customHeight="1" s="31">
      <c r="A133" s="39" t="inlineStr">
        <is>
          <t>CAP</t>
        </is>
      </c>
      <c r="B133" s="39" t="n">
        <v>3</v>
      </c>
      <c r="C133" s="39" t="inlineStr">
        <is>
          <t>Industria, recursos naturales e inmobiliario</t>
        </is>
      </c>
      <c r="D133" s="49" t="n">
        <v>2022</v>
      </c>
      <c r="E133" s="38">
        <f>IFERROR(INDEX(Empresas!$H$2:$H$23,MATCH($A133,Empresas!$B$2:$B$23,0))&amp;"","")</f>
        <v/>
      </c>
      <c r="F133" s="50" t="n">
        <v>1686180</v>
      </c>
      <c r="G133" s="50" t="n">
        <v>1487049</v>
      </c>
      <c r="H133" s="50" t="n">
        <v>6561905</v>
      </c>
      <c r="I133" s="50" t="n">
        <v>2862032</v>
      </c>
      <c r="J133" s="50" t="n">
        <v>3699873</v>
      </c>
      <c r="K133" s="50" t="n">
        <v>3006047</v>
      </c>
      <c r="L133" s="50" t="n">
        <v>80694</v>
      </c>
      <c r="M133" s="50" t="n">
        <v>509517</v>
      </c>
      <c r="N133" s="50" t="n">
        <v>334999</v>
      </c>
      <c r="O133" s="50" t="n">
        <v>2277312</v>
      </c>
      <c r="P133" s="50" t="n">
        <v>225971</v>
      </c>
      <c r="Q133" s="50" t="n">
        <v>589071</v>
      </c>
      <c r="R133" s="45" t="n">
        <v>6648.81591796875</v>
      </c>
      <c r="S133" s="35" t="inlineStr">
        <is>
          <t>XBRL 2022, actual</t>
        </is>
      </c>
      <c r="T133" s="35" t="n"/>
    </row>
    <row r="134" ht="15" customHeight="1" s="31">
      <c r="A134" s="39" t="inlineStr">
        <is>
          <t>CAP</t>
        </is>
      </c>
      <c r="B134" s="39" t="n">
        <v>3</v>
      </c>
      <c r="C134" s="39" t="inlineStr">
        <is>
          <t>Industria, recursos naturales e inmobiliario</t>
        </is>
      </c>
      <c r="D134" s="49" t="n">
        <v>2023</v>
      </c>
      <c r="E134" s="38">
        <f>IFERROR(INDEX(Empresas!$H$2:$H$23,MATCH($A134,Empresas!$B$2:$B$23,0))&amp;"","")</f>
        <v/>
      </c>
      <c r="F134" s="50" t="n">
        <v>2015012</v>
      </c>
      <c r="G134" s="50" t="n">
        <v>1409958</v>
      </c>
      <c r="H134" s="50" t="n">
        <v>7006540</v>
      </c>
      <c r="I134" s="50" t="n">
        <v>3345428</v>
      </c>
      <c r="J134" s="50" t="n">
        <v>3661112</v>
      </c>
      <c r="K134" s="50" t="n">
        <v>2400759</v>
      </c>
      <c r="L134" s="50" t="n">
        <v>88491</v>
      </c>
      <c r="M134" s="50" t="n">
        <v>561954</v>
      </c>
      <c r="N134" s="50" t="n">
        <v>87971</v>
      </c>
      <c r="O134" s="50" t="n">
        <v>2266167</v>
      </c>
      <c r="P134" s="50" t="n">
        <v>-6987</v>
      </c>
      <c r="Q134" s="50" t="n">
        <v>640018</v>
      </c>
      <c r="R134" s="45" t="n">
        <v>7200</v>
      </c>
      <c r="S134" s="35" t="inlineStr">
        <is>
          <t>XBRL 2024, comparativo</t>
        </is>
      </c>
      <c r="T134" s="35" t="n"/>
    </row>
    <row r="135" ht="15" customHeight="1" s="31">
      <c r="A135" s="39" t="inlineStr">
        <is>
          <t>CAP</t>
        </is>
      </c>
      <c r="B135" s="39" t="n">
        <v>3</v>
      </c>
      <c r="C135" s="39" t="inlineStr">
        <is>
          <t>Industria, recursos naturales e inmobiliario</t>
        </is>
      </c>
      <c r="D135" s="49" t="n">
        <v>2024</v>
      </c>
      <c r="E135" s="38">
        <f>IFERROR(INDEX(Empresas!$H$2:$H$23,MATCH($A135,Empresas!$B$2:$B$23,0))&amp;"","")</f>
        <v/>
      </c>
      <c r="F135" s="50" t="n">
        <v>1290157</v>
      </c>
      <c r="G135" s="50" t="n">
        <v>1152649</v>
      </c>
      <c r="H135" s="50" t="n">
        <v>6355771</v>
      </c>
      <c r="I135" s="50" t="n">
        <v>3169800</v>
      </c>
      <c r="J135" s="50" t="n">
        <v>3185971</v>
      </c>
      <c r="K135" s="50" t="n">
        <v>1801367</v>
      </c>
      <c r="L135" s="50" t="n">
        <v>121768</v>
      </c>
      <c r="M135" s="50" t="n">
        <v>75637</v>
      </c>
      <c r="N135" s="50" t="n">
        <v>-408027</v>
      </c>
      <c r="O135" s="50" t="n">
        <v>1817979</v>
      </c>
      <c r="P135" s="50" t="n">
        <v>-426881</v>
      </c>
      <c r="Q135" s="50" t="n">
        <v>147338</v>
      </c>
      <c r="R135" s="45" t="n">
        <v>5260</v>
      </c>
      <c r="S135" s="35" t="inlineStr">
        <is>
          <t>XBRL 2025, comparativo</t>
        </is>
      </c>
      <c r="T135" s="35" t="n"/>
    </row>
    <row r="136" ht="15" customHeight="1" s="31">
      <c r="A136" s="39" t="inlineStr">
        <is>
          <t>CAP</t>
        </is>
      </c>
      <c r="B136" s="39" t="n">
        <v>3</v>
      </c>
      <c r="C136" s="39" t="inlineStr">
        <is>
          <t>Industria, recursos naturales e inmobiliario</t>
        </is>
      </c>
      <c r="D136" s="49" t="n">
        <v>2025</v>
      </c>
      <c r="E136" s="38">
        <f>IFERROR(INDEX(Empresas!$H$2:$H$23,MATCH($A136,Empresas!$B$2:$B$23,0))&amp;"","")</f>
        <v/>
      </c>
      <c r="F136" s="50" t="n">
        <v>1188950</v>
      </c>
      <c r="G136" s="50" t="n">
        <v>1019237</v>
      </c>
      <c r="H136" s="50" t="n">
        <v>6116224</v>
      </c>
      <c r="I136" s="50" t="n">
        <v>3098483</v>
      </c>
      <c r="J136" s="50" t="n">
        <v>3017741</v>
      </c>
      <c r="K136" s="50" t="n">
        <v>1930033</v>
      </c>
      <c r="L136" s="50" t="n">
        <v>129484</v>
      </c>
      <c r="M136" s="50" t="n">
        <v>-73171</v>
      </c>
      <c r="N136" s="50" t="n">
        <v>-98515</v>
      </c>
      <c r="O136" s="50" t="n">
        <v>1734086</v>
      </c>
      <c r="P136" s="50" t="n">
        <v>-84660</v>
      </c>
      <c r="Q136" s="50" t="n">
        <v>43794</v>
      </c>
      <c r="R136" s="45" t="n">
        <v>7420</v>
      </c>
      <c r="S136" s="35" t="inlineStr">
        <is>
          <t>XBRL 2025, actual</t>
        </is>
      </c>
      <c r="T136" s="35" t="n"/>
    </row>
    <row r="137" ht="15" customHeight="1" s="31">
      <c r="A137" s="39" t="inlineStr">
        <is>
          <t>CMPC</t>
        </is>
      </c>
      <c r="B137" s="39" t="n">
        <v>3</v>
      </c>
      <c r="C137" s="39" t="inlineStr">
        <is>
          <t>Industria, recursos naturales e inmobiliario</t>
        </is>
      </c>
      <c r="D137" s="49" t="n">
        <v>2017</v>
      </c>
      <c r="E137" s="38">
        <f>IFERROR(INDEX(Empresas!$H$2:$H$23,MATCH($A137,Empresas!$B$2:$B$23,0))&amp;"","")</f>
        <v/>
      </c>
      <c r="F137" s="50" t="n">
        <v>3365482</v>
      </c>
      <c r="G137" s="50" t="n">
        <v>1449387</v>
      </c>
      <c r="H137" s="50" t="n">
        <v>14950801</v>
      </c>
      <c r="I137" s="50" t="n">
        <v>6866319</v>
      </c>
      <c r="J137" s="50" t="n">
        <v>8084482</v>
      </c>
      <c r="K137" s="50" t="n">
        <v>5143074</v>
      </c>
      <c r="L137" s="50" t="n">
        <v>219485</v>
      </c>
      <c r="M137" s="50" t="n">
        <v>119111</v>
      </c>
      <c r="N137" s="50" t="n">
        <v>102583</v>
      </c>
      <c r="O137" s="50" t="n">
        <v>8082116</v>
      </c>
      <c r="P137" s="50" t="n">
        <v>103345</v>
      </c>
      <c r="Q137" s="50" t="n">
        <v>330663</v>
      </c>
      <c r="R137" s="45" t="n">
        <v>1870.98486328125</v>
      </c>
      <c r="S137" s="35" t="inlineStr">
        <is>
          <t>XBRL 2018, comparativo</t>
        </is>
      </c>
      <c r="T137" s="35" t="n"/>
    </row>
    <row r="138" ht="15" customHeight="1" s="31">
      <c r="A138" s="39" t="inlineStr">
        <is>
          <t>CMPC</t>
        </is>
      </c>
      <c r="B138" s="39" t="n">
        <v>3</v>
      </c>
      <c r="C138" s="39" t="inlineStr">
        <is>
          <t>Industria, recursos naturales e inmobiliario</t>
        </is>
      </c>
      <c r="D138" s="49" t="n">
        <v>2018</v>
      </c>
      <c r="E138" s="38">
        <f>IFERROR(INDEX(Empresas!$H$2:$H$23,MATCH($A138,Empresas!$B$2:$B$23,0))&amp;"","")</f>
        <v/>
      </c>
      <c r="F138" s="50" t="n">
        <v>3756383</v>
      </c>
      <c r="G138" s="50" t="n">
        <v>1650581</v>
      </c>
      <c r="H138" s="50" t="n">
        <v>14983311</v>
      </c>
      <c r="I138" s="50" t="n">
        <v>6739293</v>
      </c>
      <c r="J138" s="50" t="n">
        <v>8244018</v>
      </c>
      <c r="K138" s="50" t="n">
        <v>6274472</v>
      </c>
      <c r="L138" s="50" t="n">
        <v>215970</v>
      </c>
      <c r="M138" s="50" t="n">
        <v>880197</v>
      </c>
      <c r="N138" s="50" t="n">
        <v>502310</v>
      </c>
      <c r="O138" s="50" t="n">
        <v>8241835</v>
      </c>
      <c r="P138" s="50" t="n">
        <v>502502</v>
      </c>
      <c r="Q138" s="50" t="n">
        <v>1080582</v>
      </c>
      <c r="R138" s="45" t="n">
        <v>1997.122802734375</v>
      </c>
      <c r="S138" s="35" t="inlineStr">
        <is>
          <t>XBRL 2018, actual</t>
        </is>
      </c>
      <c r="T138" s="35" t="n"/>
    </row>
    <row r="139" ht="15" customHeight="1" s="31">
      <c r="A139" s="39" t="inlineStr">
        <is>
          <t>CMPC</t>
        </is>
      </c>
      <c r="B139" s="39" t="n">
        <v>3</v>
      </c>
      <c r="C139" s="39" t="inlineStr">
        <is>
          <t>Industria, recursos naturales e inmobiliario</t>
        </is>
      </c>
      <c r="D139" s="49" t="n">
        <v>2019</v>
      </c>
      <c r="E139" s="38">
        <f>IFERROR(INDEX(Empresas!$H$2:$H$23,MATCH($A139,Empresas!$B$2:$B$23,0))&amp;"","")</f>
        <v/>
      </c>
      <c r="F139" s="50" t="n">
        <v>3454223</v>
      </c>
      <c r="G139" s="50" t="n">
        <v>1525070</v>
      </c>
      <c r="H139" s="50" t="n">
        <v>14955796</v>
      </c>
      <c r="I139" s="50" t="n">
        <v>6820221</v>
      </c>
      <c r="J139" s="50" t="n">
        <v>8135575</v>
      </c>
      <c r="K139" s="50" t="n">
        <v>5670277</v>
      </c>
      <c r="L139" s="50" t="n">
        <v>195350</v>
      </c>
      <c r="M139" s="50" t="n">
        <v>221262</v>
      </c>
      <c r="N139" s="50" t="n">
        <v>84391</v>
      </c>
      <c r="O139" s="50" t="n">
        <v>8133310</v>
      </c>
      <c r="P139" s="50" t="n">
        <v>84492</v>
      </c>
      <c r="Q139" s="50" t="n">
        <v>364614</v>
      </c>
      <c r="R139" s="45" t="n">
        <v>1721.363037109375</v>
      </c>
      <c r="S139" s="35" t="inlineStr">
        <is>
          <t>XBRL 2020, comparativo</t>
        </is>
      </c>
      <c r="T139" s="35" t="n"/>
    </row>
    <row r="140" ht="15" customHeight="1" s="31">
      <c r="A140" s="39" t="inlineStr">
        <is>
          <t>CMPC</t>
        </is>
      </c>
      <c r="B140" s="39" t="n">
        <v>3</v>
      </c>
      <c r="C140" s="39" t="inlineStr">
        <is>
          <t>Industria, recursos naturales e inmobiliario</t>
        </is>
      </c>
      <c r="D140" s="49" t="n">
        <v>2020</v>
      </c>
      <c r="E140" s="38">
        <f>IFERROR(INDEX(Empresas!$H$2:$H$23,MATCH($A140,Empresas!$B$2:$B$23,0))&amp;"","")</f>
        <v/>
      </c>
      <c r="F140" s="50" t="n">
        <v>3577658</v>
      </c>
      <c r="G140" s="50" t="n">
        <v>1195048</v>
      </c>
      <c r="H140" s="50" t="n">
        <v>14726953</v>
      </c>
      <c r="I140" s="50" t="n">
        <v>6860816</v>
      </c>
      <c r="J140" s="50" t="n">
        <v>7866137</v>
      </c>
      <c r="K140" s="50" t="n">
        <v>5286927</v>
      </c>
      <c r="L140" s="50" t="n">
        <v>200911</v>
      </c>
      <c r="M140" s="50" t="n">
        <v>51656</v>
      </c>
      <c r="N140" s="50" t="n">
        <v>-27666</v>
      </c>
      <c r="O140" s="50" t="n">
        <v>7863289</v>
      </c>
      <c r="P140" s="50" t="n">
        <v>-28366</v>
      </c>
      <c r="Q140" s="50" t="n">
        <v>217778</v>
      </c>
      <c r="R140" s="45" t="n">
        <v>1754.144409179688</v>
      </c>
      <c r="S140" s="35" t="inlineStr">
        <is>
          <t>XBRL 2020, actual</t>
        </is>
      </c>
      <c r="T140" s="35" t="n"/>
    </row>
    <row r="141" ht="15" customHeight="1" s="31">
      <c r="A141" s="39" t="inlineStr">
        <is>
          <t>CMPC</t>
        </is>
      </c>
      <c r="B141" s="39" t="n">
        <v>3</v>
      </c>
      <c r="C141" s="39" t="inlineStr">
        <is>
          <t>Industria, recursos naturales e inmobiliario</t>
        </is>
      </c>
      <c r="D141" s="49" t="n">
        <v>2021</v>
      </c>
      <c r="E141" s="38">
        <f>IFERROR(INDEX(Empresas!$H$2:$H$23,MATCH($A141,Empresas!$B$2:$B$23,0))&amp;"","")</f>
        <v/>
      </c>
      <c r="F141" s="50" t="n">
        <v>4233805</v>
      </c>
      <c r="G141" s="50" t="n">
        <v>2052702</v>
      </c>
      <c r="H141" s="50" t="n">
        <v>15226299</v>
      </c>
      <c r="I141" s="50" t="n">
        <v>7677349</v>
      </c>
      <c r="J141" s="50" t="n">
        <v>7548950</v>
      </c>
      <c r="K141" s="50" t="n">
        <v>6323022</v>
      </c>
      <c r="L141" s="50" t="n">
        <v>216449</v>
      </c>
      <c r="M141" s="50" t="n">
        <v>874827</v>
      </c>
      <c r="N141" s="50" t="n">
        <v>538448</v>
      </c>
      <c r="O141" s="50" t="n">
        <v>7546078</v>
      </c>
      <c r="P141" s="50" t="n">
        <v>538811</v>
      </c>
      <c r="Q141" s="50" t="n">
        <v>978047</v>
      </c>
      <c r="R141" s="45" t="n">
        <v>1415.439575195312</v>
      </c>
      <c r="S141" s="35" t="inlineStr">
        <is>
          <t>XBRL 2022, comparativo</t>
        </is>
      </c>
      <c r="T141" s="35" t="n"/>
    </row>
    <row r="142" ht="15" customHeight="1" s="31">
      <c r="A142" s="39" t="inlineStr">
        <is>
          <t>CMPC</t>
        </is>
      </c>
      <c r="B142" s="39" t="n">
        <v>3</v>
      </c>
      <c r="C142" s="39" t="inlineStr">
        <is>
          <t>Industria, recursos naturales e inmobiliario</t>
        </is>
      </c>
      <c r="D142" s="49" t="n">
        <v>2022</v>
      </c>
      <c r="E142" s="38">
        <f>IFERROR(INDEX(Empresas!$H$2:$H$23,MATCH($A142,Empresas!$B$2:$B$23,0))&amp;"","")</f>
        <v/>
      </c>
      <c r="F142" s="50" t="n">
        <v>4683924</v>
      </c>
      <c r="G142" s="50" t="n">
        <v>2399407</v>
      </c>
      <c r="H142" s="50" t="n">
        <v>16571979</v>
      </c>
      <c r="I142" s="50" t="n">
        <v>8661158</v>
      </c>
      <c r="J142" s="50" t="n">
        <v>7910821</v>
      </c>
      <c r="K142" s="50" t="n">
        <v>7821345</v>
      </c>
      <c r="L142" s="50" t="n">
        <v>216483</v>
      </c>
      <c r="M142" s="50" t="n">
        <v>1360362</v>
      </c>
      <c r="N142" s="50" t="n">
        <v>1005382</v>
      </c>
      <c r="O142" s="50" t="n">
        <v>7908737</v>
      </c>
      <c r="P142" s="50" t="n">
        <v>1005375</v>
      </c>
      <c r="Q142" s="50" t="n">
        <v>1394145</v>
      </c>
      <c r="R142" s="45" t="n">
        <v>1403.631225585938</v>
      </c>
      <c r="S142" s="35" t="inlineStr">
        <is>
          <t>XBRL 2022, actual</t>
        </is>
      </c>
      <c r="T142" s="35" t="n"/>
    </row>
    <row r="143" ht="15" customHeight="1" s="31">
      <c r="A143" s="39" t="inlineStr">
        <is>
          <t>CMPC</t>
        </is>
      </c>
      <c r="B143" s="39" t="n">
        <v>3</v>
      </c>
      <c r="C143" s="39" t="inlineStr">
        <is>
          <t>Industria, recursos naturales e inmobiliario</t>
        </is>
      </c>
      <c r="D143" s="49" t="n">
        <v>2023</v>
      </c>
      <c r="E143" s="38">
        <f>IFERROR(INDEX(Empresas!$H$2:$H$23,MATCH($A143,Empresas!$B$2:$B$23,0))&amp;"","")</f>
        <v/>
      </c>
      <c r="F143" s="50" t="n">
        <v>4573147</v>
      </c>
      <c r="G143" s="50" t="n">
        <v>2476374</v>
      </c>
      <c r="H143" s="50" t="n">
        <v>17177308</v>
      </c>
      <c r="I143" s="50" t="n">
        <v>9292411</v>
      </c>
      <c r="J143" s="50" t="n">
        <v>7884897</v>
      </c>
      <c r="K143" s="50" t="n">
        <v>8099816</v>
      </c>
      <c r="L143" s="50" t="n">
        <v>264782</v>
      </c>
      <c r="M143" s="50" t="n">
        <v>590421</v>
      </c>
      <c r="N143" s="50" t="n">
        <v>470247</v>
      </c>
      <c r="O143" s="50" t="n">
        <v>7884443</v>
      </c>
      <c r="P143" s="50" t="n">
        <v>470242</v>
      </c>
      <c r="Q143" s="50" t="n">
        <v>555693</v>
      </c>
      <c r="R143" s="45" t="n">
        <v>1685.378540039062</v>
      </c>
      <c r="S143" s="35" t="inlineStr">
        <is>
          <t>XBRL 2024, comparativo</t>
        </is>
      </c>
      <c r="T143" s="35" t="n"/>
    </row>
    <row r="144" ht="15" customHeight="1" s="31">
      <c r="A144" s="39" t="inlineStr">
        <is>
          <t>CMPC</t>
        </is>
      </c>
      <c r="B144" s="39" t="n">
        <v>3</v>
      </c>
      <c r="C144" s="39" t="inlineStr">
        <is>
          <t>Industria, recursos naturales e inmobiliario</t>
        </is>
      </c>
      <c r="D144" s="49" t="n">
        <v>2024</v>
      </c>
      <c r="E144" s="38">
        <f>IFERROR(INDEX(Empresas!$H$2:$H$23,MATCH($A144,Empresas!$B$2:$B$23,0))&amp;"","")</f>
        <v/>
      </c>
      <c r="F144" s="50" t="n">
        <v>4258369</v>
      </c>
      <c r="G144" s="50" t="n">
        <v>2044709</v>
      </c>
      <c r="H144" s="50" t="n">
        <v>16935671</v>
      </c>
      <c r="I144" s="50" t="n">
        <v>9136507</v>
      </c>
      <c r="J144" s="50" t="n">
        <v>7799164</v>
      </c>
      <c r="K144" s="50" t="n">
        <v>7742688</v>
      </c>
      <c r="L144" s="50" t="n">
        <v>314714</v>
      </c>
      <c r="M144" s="50" t="n">
        <v>769649</v>
      </c>
      <c r="N144" s="50" t="n">
        <v>491099</v>
      </c>
      <c r="O144" s="50" t="n">
        <v>7798739</v>
      </c>
      <c r="P144" s="50" t="n">
        <v>491053</v>
      </c>
      <c r="Q144" s="50" t="n">
        <v>848376</v>
      </c>
      <c r="R144" s="45" t="n">
        <v>1547.573852539062</v>
      </c>
      <c r="S144" s="35" t="inlineStr">
        <is>
          <t>XBRL 2025, comparativo</t>
        </is>
      </c>
      <c r="T144" s="35" t="n"/>
    </row>
    <row r="145" ht="15" customHeight="1" s="31">
      <c r="A145" s="39" t="inlineStr">
        <is>
          <t>CMPC</t>
        </is>
      </c>
      <c r="B145" s="39" t="n">
        <v>3</v>
      </c>
      <c r="C145" s="39" t="inlineStr">
        <is>
          <t>Industria, recursos naturales e inmobiliario</t>
        </is>
      </c>
      <c r="D145" s="49" t="n">
        <v>2025</v>
      </c>
      <c r="E145" s="38">
        <f>IFERROR(INDEX(Empresas!$H$2:$H$23,MATCH($A145,Empresas!$B$2:$B$23,0))&amp;"","")</f>
        <v/>
      </c>
      <c r="F145" s="50" t="n">
        <v>4368620</v>
      </c>
      <c r="G145" s="50" t="n">
        <v>2089423</v>
      </c>
      <c r="H145" s="50" t="n">
        <v>20578401</v>
      </c>
      <c r="I145" s="50" t="n">
        <v>10476429</v>
      </c>
      <c r="J145" s="50" t="n">
        <v>10101972</v>
      </c>
      <c r="K145" s="50" t="n">
        <v>7475096</v>
      </c>
      <c r="L145" s="50" t="n">
        <v>338039</v>
      </c>
      <c r="M145" s="50" t="n">
        <v>222103</v>
      </c>
      <c r="N145" s="50" t="n">
        <v>201752</v>
      </c>
      <c r="O145" s="50" t="n">
        <v>10101384</v>
      </c>
      <c r="P145" s="50" t="n">
        <v>201724</v>
      </c>
      <c r="Q145" s="50" t="n">
        <v>415258</v>
      </c>
      <c r="R145" s="45" t="n">
        <v>1401.944580078125</v>
      </c>
      <c r="S145" s="35" t="inlineStr">
        <is>
          <t>XBRL 2025, actual</t>
        </is>
      </c>
      <c r="T145" s="35" t="n"/>
    </row>
    <row r="146" ht="15" customHeight="1" s="31">
      <c r="A146" s="39" t="inlineStr">
        <is>
          <t>SQM-B</t>
        </is>
      </c>
      <c r="B146" s="39" t="n">
        <v>3</v>
      </c>
      <c r="C146" s="39" t="inlineStr">
        <is>
          <t>Industria, recursos naturales e inmobiliario</t>
        </is>
      </c>
      <c r="D146" s="49" t="n">
        <v>2017</v>
      </c>
      <c r="E146" s="38">
        <f>IFERROR(INDEX(Empresas!$H$2:$H$23,MATCH($A146,Empresas!$B$2:$B$23,0))&amp;"","")</f>
        <v/>
      </c>
      <c r="F146" s="50" t="n">
        <v>2466261</v>
      </c>
      <c r="G146" s="50" t="n">
        <v>748045</v>
      </c>
      <c r="H146" s="50" t="n">
        <v>4296236</v>
      </c>
      <c r="I146" s="50" t="n">
        <v>2048768</v>
      </c>
      <c r="J146" s="50" t="n">
        <v>2247468</v>
      </c>
      <c r="K146" s="50" t="n">
        <v>2157323</v>
      </c>
      <c r="L146" s="50" t="n">
        <v>50124</v>
      </c>
      <c r="M146" s="50" t="n">
        <v>594590</v>
      </c>
      <c r="N146" s="50" t="n">
        <v>428417</v>
      </c>
      <c r="O146" s="50" t="n">
        <v>2187821</v>
      </c>
      <c r="P146" s="50" t="n">
        <v>427697</v>
      </c>
      <c r="Q146" s="50" t="n">
        <v>626100</v>
      </c>
      <c r="R146" s="45" t="n">
        <v>32022.70703125</v>
      </c>
      <c r="S146" s="35" t="inlineStr">
        <is>
          <t>XBRL 2018, comparativo</t>
        </is>
      </c>
      <c r="T146" s="35" t="n"/>
    </row>
    <row r="147" ht="15" customHeight="1" s="31">
      <c r="A147" s="39" t="inlineStr">
        <is>
          <t>SQM-B</t>
        </is>
      </c>
      <c r="B147" s="39" t="n">
        <v>3</v>
      </c>
      <c r="C147" s="39" t="inlineStr">
        <is>
          <t>Industria, recursos naturales e inmobiliario</t>
        </is>
      </c>
      <c r="D147" s="49" t="n">
        <v>2018</v>
      </c>
      <c r="E147" s="38">
        <f>IFERROR(INDEX(Empresas!$H$2:$H$23,MATCH($A147,Empresas!$B$2:$B$23,0))&amp;"","")</f>
        <v/>
      </c>
      <c r="F147" s="50" t="n">
        <v>2399596</v>
      </c>
      <c r="G147" s="50" t="n">
        <v>555663</v>
      </c>
      <c r="H147" s="50" t="n">
        <v>4268094</v>
      </c>
      <c r="I147" s="50" t="n">
        <v>2130292</v>
      </c>
      <c r="J147" s="50" t="n">
        <v>2137802</v>
      </c>
      <c r="K147" s="50" t="n">
        <v>2265803</v>
      </c>
      <c r="L147" s="50" t="n">
        <v>59914</v>
      </c>
      <c r="M147" s="50" t="n">
        <v>621038</v>
      </c>
      <c r="N147" s="50" t="n">
        <v>442063</v>
      </c>
      <c r="O147" s="50" t="n">
        <v>2085491</v>
      </c>
      <c r="P147" s="50" t="n">
        <v>439830</v>
      </c>
      <c r="Q147" s="50" t="n">
        <v>665698</v>
      </c>
      <c r="R147" s="45" t="n">
        <v>24643.794921875</v>
      </c>
      <c r="S147" s="35" t="inlineStr">
        <is>
          <t>XBRL 2018, actual</t>
        </is>
      </c>
      <c r="T147" s="35" t="n"/>
    </row>
    <row r="148" ht="15" customHeight="1" s="31">
      <c r="A148" s="39" t="inlineStr">
        <is>
          <t>SQM-B</t>
        </is>
      </c>
      <c r="B148" s="39" t="n">
        <v>3</v>
      </c>
      <c r="C148" s="39" t="inlineStr">
        <is>
          <t>Industria, recursos naturales e inmobiliario</t>
        </is>
      </c>
      <c r="D148" s="49" t="n">
        <v>2019</v>
      </c>
      <c r="E148" s="38">
        <f>IFERROR(INDEX(Empresas!$H$2:$H$23,MATCH($A148,Empresas!$B$2:$B$23,0))&amp;"","")</f>
        <v/>
      </c>
      <c r="F148" s="50" t="n">
        <v>2682166</v>
      </c>
      <c r="G148" s="50" t="n">
        <v>776812</v>
      </c>
      <c r="H148" s="50" t="n">
        <v>4684151</v>
      </c>
      <c r="I148" s="50" t="n">
        <v>2549679</v>
      </c>
      <c r="J148" s="50" t="n">
        <v>2134472</v>
      </c>
      <c r="K148" s="50" t="n">
        <v>1943655</v>
      </c>
      <c r="L148" s="50" t="n">
        <v>76939</v>
      </c>
      <c r="M148" s="50" t="n">
        <v>390622</v>
      </c>
      <c r="N148" s="50" t="n">
        <v>280603</v>
      </c>
      <c r="O148" s="50" t="n">
        <v>2086267</v>
      </c>
      <c r="P148" s="50" t="n">
        <v>278115</v>
      </c>
      <c r="Q148" s="50" t="n">
        <v>434712</v>
      </c>
      <c r="R148" s="45" t="n">
        <v>18557.4375</v>
      </c>
      <c r="S148" s="35" t="inlineStr">
        <is>
          <t>XBRL 2020, comparativo</t>
        </is>
      </c>
      <c r="T148" s="35" t="n"/>
    </row>
    <row r="149" ht="15" customHeight="1" s="31">
      <c r="A149" s="39" t="inlineStr">
        <is>
          <t>SQM-B</t>
        </is>
      </c>
      <c r="B149" s="39" t="n">
        <v>3</v>
      </c>
      <c r="C149" s="39" t="inlineStr">
        <is>
          <t>Industria, recursos naturales e inmobiliario</t>
        </is>
      </c>
      <c r="D149" s="49" t="n">
        <v>2020</v>
      </c>
      <c r="E149" s="38">
        <f>IFERROR(INDEX(Empresas!$H$2:$H$23,MATCH($A149,Empresas!$B$2:$B$23,0))&amp;"","")</f>
        <v/>
      </c>
      <c r="F149" s="50" t="n">
        <v>2569258</v>
      </c>
      <c r="G149" s="50" t="n">
        <v>475882</v>
      </c>
      <c r="H149" s="50" t="n">
        <v>4818463</v>
      </c>
      <c r="I149" s="50" t="n">
        <v>2655885</v>
      </c>
      <c r="J149" s="50" t="n">
        <v>2162578</v>
      </c>
      <c r="K149" s="50" t="n">
        <v>1817191</v>
      </c>
      <c r="L149" s="50" t="n">
        <v>82199</v>
      </c>
      <c r="M149" s="50" t="n">
        <v>238538</v>
      </c>
      <c r="N149" s="50" t="n">
        <v>168359</v>
      </c>
      <c r="O149" s="50" t="n">
        <v>2123085</v>
      </c>
      <c r="P149" s="50" t="n">
        <v>164518</v>
      </c>
      <c r="Q149" s="50" t="n">
        <v>297821</v>
      </c>
      <c r="R149" s="45" t="n">
        <v>32511.171875</v>
      </c>
      <c r="S149" s="35" t="inlineStr">
        <is>
          <t>XBRL 2020, actual</t>
        </is>
      </c>
      <c r="T149" s="35" t="n"/>
    </row>
    <row r="150" ht="15" customHeight="1" s="31">
      <c r="A150" s="39" t="inlineStr">
        <is>
          <t>SQM-B</t>
        </is>
      </c>
      <c r="B150" s="39" t="n">
        <v>3</v>
      </c>
      <c r="C150" s="39" t="inlineStr">
        <is>
          <t>Industria, recursos naturales e inmobiliario</t>
        </is>
      </c>
      <c r="D150" s="49" t="n">
        <v>2021</v>
      </c>
      <c r="E150" s="38">
        <f>IFERROR(INDEX(Empresas!$H$2:$H$23,MATCH($A150,Empresas!$B$2:$B$23,0))&amp;"","")</f>
        <v/>
      </c>
      <c r="F150" s="50" t="n">
        <v>4586095</v>
      </c>
      <c r="G150" s="50" t="n">
        <v>991709</v>
      </c>
      <c r="H150" s="50" t="n">
        <v>7180201</v>
      </c>
      <c r="I150" s="50" t="n">
        <v>3964230</v>
      </c>
      <c r="J150" s="50" t="n">
        <v>3215971</v>
      </c>
      <c r="K150" s="50" t="n">
        <v>2862315</v>
      </c>
      <c r="L150" s="50" t="n">
        <v>84626</v>
      </c>
      <c r="M150" s="50" t="n">
        <v>841221</v>
      </c>
      <c r="N150" s="50" t="n">
        <v>592205</v>
      </c>
      <c r="O150" s="50" t="n">
        <v>3181520</v>
      </c>
      <c r="P150" s="50" t="n">
        <v>585454</v>
      </c>
      <c r="Q150" s="50" t="n">
        <v>927523</v>
      </c>
      <c r="R150" s="45" t="n">
        <v>41495.19921875</v>
      </c>
      <c r="S150" s="35" t="inlineStr">
        <is>
          <t>XBRL 2022, comparativo</t>
        </is>
      </c>
      <c r="T150" s="35" t="n"/>
    </row>
    <row r="151" ht="15" customHeight="1" s="31">
      <c r="A151" s="39" t="inlineStr">
        <is>
          <t>SQM-B</t>
        </is>
      </c>
      <c r="B151" s="39" t="n">
        <v>3</v>
      </c>
      <c r="C151" s="39" t="inlineStr">
        <is>
          <t>Industria, recursos naturales e inmobiliario</t>
        </is>
      </c>
      <c r="D151" s="49" t="n">
        <v>2022</v>
      </c>
      <c r="E151" s="38">
        <f>IFERROR(INDEX(Empresas!$H$2:$H$23,MATCH($A151,Empresas!$B$2:$B$23,0))&amp;"","")</f>
        <v/>
      </c>
      <c r="F151" s="50" t="n">
        <v>6991509</v>
      </c>
      <c r="G151" s="50" t="n">
        <v>3051547</v>
      </c>
      <c r="H151" s="50" t="n">
        <v>10819101</v>
      </c>
      <c r="I151" s="50" t="n">
        <v>5887100</v>
      </c>
      <c r="J151" s="50" t="n">
        <v>4932001</v>
      </c>
      <c r="K151" s="50" t="n">
        <v>10710578</v>
      </c>
      <c r="L151" s="50" t="n">
        <v>86651</v>
      </c>
      <c r="M151" s="50" t="n">
        <v>5486496</v>
      </c>
      <c r="N151" s="50" t="n">
        <v>3914284</v>
      </c>
      <c r="O151" s="50" t="n">
        <v>4896632</v>
      </c>
      <c r="P151" s="50" t="n">
        <v>3906311</v>
      </c>
      <c r="Q151" s="50" t="n">
        <v>5527981</v>
      </c>
      <c r="R151" s="45" t="n">
        <v>68591.015625</v>
      </c>
      <c r="S151" s="35" t="inlineStr">
        <is>
          <t>XBRL 2022, actual</t>
        </is>
      </c>
      <c r="T151" s="35" t="n"/>
    </row>
    <row r="152" ht="15" customHeight="1" s="31">
      <c r="A152" s="39" t="inlineStr">
        <is>
          <t>SQM-B</t>
        </is>
      </c>
      <c r="B152" s="39" t="n">
        <v>3</v>
      </c>
      <c r="C152" s="39" t="inlineStr">
        <is>
          <t>Industria, recursos naturales e inmobiliario</t>
        </is>
      </c>
      <c r="D152" s="49" t="n">
        <v>2023</v>
      </c>
      <c r="E152" s="38">
        <f>IFERROR(INDEX(Empresas!$H$2:$H$23,MATCH($A152,Empresas!$B$2:$B$23,0))&amp;"","")</f>
        <v/>
      </c>
      <c r="F152" s="50" t="n">
        <v>5866141</v>
      </c>
      <c r="G152" s="50" t="n">
        <v>2351133</v>
      </c>
      <c r="H152" s="50" t="n">
        <v>11705570</v>
      </c>
      <c r="I152" s="50" t="n">
        <v>6138665</v>
      </c>
      <c r="J152" s="50" t="n">
        <v>5566905</v>
      </c>
      <c r="K152" s="50" t="n">
        <v>7467490</v>
      </c>
      <c r="L152" s="50" t="n">
        <v>138402</v>
      </c>
      <c r="M152" s="50" t="n">
        <v>2807018</v>
      </c>
      <c r="N152" s="50" t="n">
        <v>2019743</v>
      </c>
      <c r="O152" s="50" t="n">
        <v>5530675</v>
      </c>
      <c r="P152" s="50" t="n">
        <v>2012667</v>
      </c>
      <c r="Q152" s="50" t="n">
        <v>2844192</v>
      </c>
      <c r="R152" s="45" t="n">
        <v>52647.921875</v>
      </c>
      <c r="S152" s="35" t="inlineStr">
        <is>
          <t>XBRL 2024, comparativo</t>
        </is>
      </c>
      <c r="T152" s="35" t="n"/>
    </row>
    <row r="153" ht="15" customHeight="1" s="31">
      <c r="A153" s="39" t="inlineStr">
        <is>
          <t>SQM-B</t>
        </is>
      </c>
      <c r="B153" s="39" t="n">
        <v>3</v>
      </c>
      <c r="C153" s="39" t="inlineStr">
        <is>
          <t>Industria, recursos naturales e inmobiliario</t>
        </is>
      </c>
      <c r="D153" s="49" t="n">
        <v>2024</v>
      </c>
      <c r="E153" s="38">
        <f>IFERROR(INDEX(Empresas!$H$2:$H$23,MATCH($A153,Empresas!$B$2:$B$23,0))&amp;"","")</f>
        <v/>
      </c>
      <c r="F153" s="50" t="n">
        <v>5578440</v>
      </c>
      <c r="G153" s="50" t="n">
        <v>2218816</v>
      </c>
      <c r="H153" s="50" t="n">
        <v>11495569</v>
      </c>
      <c r="I153" s="50" t="n">
        <v>6297502</v>
      </c>
      <c r="J153" s="50" t="n">
        <v>5198067</v>
      </c>
      <c r="K153" s="50" t="n">
        <v>4528761</v>
      </c>
      <c r="L153" s="50" t="n">
        <v>197544</v>
      </c>
      <c r="M153" s="50" t="n">
        <v>974414</v>
      </c>
      <c r="N153" s="50" t="n">
        <v>-397635</v>
      </c>
      <c r="O153" s="50" t="n">
        <v>5160819</v>
      </c>
      <c r="P153" s="50" t="n">
        <v>-404359</v>
      </c>
      <c r="Q153" s="50" t="n">
        <v>1066537</v>
      </c>
      <c r="R153" s="45" t="n">
        <v>36598.734375</v>
      </c>
      <c r="S153" s="35" t="inlineStr">
        <is>
          <t>XBRL 2025, comparativo</t>
        </is>
      </c>
      <c r="T153" s="35" t="n"/>
    </row>
    <row r="154" ht="15" customHeight="1" s="31">
      <c r="A154" s="39" t="inlineStr">
        <is>
          <t>SQM-B</t>
        </is>
      </c>
      <c r="B154" s="39" t="n">
        <v>3</v>
      </c>
      <c r="C154" s="39" t="inlineStr">
        <is>
          <t>Industria, recursos naturales e inmobiliario</t>
        </is>
      </c>
      <c r="D154" s="49" t="n">
        <v>2025</v>
      </c>
      <c r="E154" s="38">
        <f>IFERROR(INDEX(Empresas!$H$2:$H$23,MATCH($A154,Empresas!$B$2:$B$23,0))&amp;"","")</f>
        <v/>
      </c>
      <c r="F154" s="50" t="n">
        <v>5780494</v>
      </c>
      <c r="G154" s="50" t="n">
        <v>1768836</v>
      </c>
      <c r="H154" s="50" t="n">
        <v>14504960</v>
      </c>
      <c r="I154" s="50" t="n">
        <v>6451081</v>
      </c>
      <c r="J154" s="50" t="n">
        <v>8053879</v>
      </c>
      <c r="K154" s="50" t="n">
        <v>4576224</v>
      </c>
      <c r="L154" s="50" t="n">
        <v>192672</v>
      </c>
      <c r="M154" s="50" t="n">
        <v>960726</v>
      </c>
      <c r="N154" s="50" t="n">
        <v>640643</v>
      </c>
      <c r="O154" s="50" t="n">
        <v>5691262</v>
      </c>
      <c r="P154" s="50" t="n">
        <v>588138</v>
      </c>
      <c r="Q154" s="50" t="n">
        <v>1062084</v>
      </c>
      <c r="R154" s="45" t="n">
        <v>63797.80078125</v>
      </c>
      <c r="S154" s="35" t="inlineStr">
        <is>
          <t>XBRL 2025, actual</t>
        </is>
      </c>
      <c r="T154" s="35" t="n"/>
    </row>
    <row r="155" ht="15" customHeight="1" s="31">
      <c r="A155" s="39" t="inlineStr">
        <is>
          <t>COPEC</t>
        </is>
      </c>
      <c r="B155" s="39" t="n">
        <v>3</v>
      </c>
      <c r="C155" s="39" t="inlineStr">
        <is>
          <t>Industria, recursos naturales e inmobiliario</t>
        </is>
      </c>
      <c r="D155" s="49" t="n">
        <v>2017</v>
      </c>
      <c r="E155" s="38">
        <f>IFERROR(INDEX(Empresas!$H$2:$H$23,MATCH($A155,Empresas!$B$2:$B$23,0))&amp;"","")</f>
        <v/>
      </c>
      <c r="F155" s="50" t="n">
        <v>5364133</v>
      </c>
      <c r="G155" s="50" t="n">
        <v>3074212</v>
      </c>
      <c r="H155" s="50" t="n">
        <v>22174215</v>
      </c>
      <c r="I155" s="50" t="n">
        <v>11260762</v>
      </c>
      <c r="J155" s="50" t="n">
        <v>10913453</v>
      </c>
      <c r="K155" s="50" t="n">
        <v>20353315</v>
      </c>
      <c r="L155" s="50" t="n">
        <v>402649</v>
      </c>
      <c r="M155" s="50" t="n">
        <v>739063</v>
      </c>
      <c r="N155" s="50" t="n">
        <v>659379</v>
      </c>
      <c r="O155" s="50" t="n">
        <v>10398325</v>
      </c>
      <c r="P155" s="50" t="n">
        <v>639322</v>
      </c>
      <c r="Q155" s="50" t="n">
        <v>975247</v>
      </c>
      <c r="R155" s="45" t="n">
        <v>9448.9267578125</v>
      </c>
      <c r="S155" s="35" t="inlineStr">
        <is>
          <t>XBRL 2018, comparativo</t>
        </is>
      </c>
      <c r="T155" s="35" t="n"/>
    </row>
    <row r="156" ht="15" customHeight="1" s="31">
      <c r="A156" s="39" t="inlineStr">
        <is>
          <t>COPEC</t>
        </is>
      </c>
      <c r="B156" s="39" t="n">
        <v>3</v>
      </c>
      <c r="C156" s="39" t="inlineStr">
        <is>
          <t>Industria, recursos naturales e inmobiliario</t>
        </is>
      </c>
      <c r="D156" s="49" t="n">
        <v>2018</v>
      </c>
      <c r="E156" s="38">
        <f>IFERROR(INDEX(Empresas!$H$2:$H$23,MATCH($A156,Empresas!$B$2:$B$23,0))&amp;"","")</f>
        <v/>
      </c>
      <c r="F156" s="50" t="n">
        <v>6303704</v>
      </c>
      <c r="G156" s="50" t="n">
        <v>3410307</v>
      </c>
      <c r="H156" s="50" t="n">
        <v>23487275</v>
      </c>
      <c r="I156" s="50" t="n">
        <v>12293375</v>
      </c>
      <c r="J156" s="50" t="n">
        <v>11193900</v>
      </c>
      <c r="K156" s="50" t="n">
        <v>23970069</v>
      </c>
      <c r="L156" s="50" t="n">
        <v>370619</v>
      </c>
      <c r="M156" s="50" t="n">
        <v>1496455</v>
      </c>
      <c r="N156" s="50" t="n">
        <v>1118760</v>
      </c>
      <c r="O156" s="50" t="n">
        <v>10709129</v>
      </c>
      <c r="P156" s="50" t="n">
        <v>1070698</v>
      </c>
      <c r="Q156" s="50" t="n">
        <v>1806557</v>
      </c>
      <c r="R156" s="45" t="n">
        <v>8174.52392578125</v>
      </c>
      <c r="S156" s="35" t="inlineStr">
        <is>
          <t>XBRL 2018, actual</t>
        </is>
      </c>
      <c r="T156" s="35" t="n"/>
    </row>
    <row r="157" ht="15" customHeight="1" s="31">
      <c r="A157" s="39" t="inlineStr">
        <is>
          <t>COPEC</t>
        </is>
      </c>
      <c r="B157" s="39" t="n">
        <v>3</v>
      </c>
      <c r="C157" s="39" t="inlineStr">
        <is>
          <t>Industria, recursos naturales e inmobiliario</t>
        </is>
      </c>
      <c r="D157" s="49" t="n">
        <v>2019</v>
      </c>
      <c r="E157" s="38">
        <f>IFERROR(INDEX(Empresas!$H$2:$H$23,MATCH($A157,Empresas!$B$2:$B$23,0))&amp;"","")</f>
        <v/>
      </c>
      <c r="F157" s="50" t="n">
        <v>7034390</v>
      </c>
      <c r="G157" s="50" t="n">
        <v>3094142</v>
      </c>
      <c r="H157" s="50" t="n">
        <v>24795467</v>
      </c>
      <c r="I157" s="50" t="n">
        <v>13621429</v>
      </c>
      <c r="J157" s="50" t="n">
        <v>11174038</v>
      </c>
      <c r="K157" s="50" t="n">
        <v>23716405</v>
      </c>
      <c r="L157" s="50" t="n">
        <v>437900</v>
      </c>
      <c r="M157" s="50" t="n">
        <v>350363</v>
      </c>
      <c r="N157" s="50" t="n">
        <v>225856</v>
      </c>
      <c r="O157" s="50" t="n">
        <v>10667359</v>
      </c>
      <c r="P157" s="50" t="n">
        <v>172019</v>
      </c>
      <c r="Q157" s="50" t="n">
        <v>873434</v>
      </c>
      <c r="R157" s="45" t="n">
        <v>6625.92626953125</v>
      </c>
      <c r="S157" s="35" t="inlineStr">
        <is>
          <t>XBRL 2020, comparativo</t>
        </is>
      </c>
      <c r="T157" s="35" t="n"/>
    </row>
    <row r="158" ht="15" customHeight="1" s="31">
      <c r="A158" s="39" t="inlineStr">
        <is>
          <t>COPEC</t>
        </is>
      </c>
      <c r="B158" s="39" t="n">
        <v>3</v>
      </c>
      <c r="C158" s="39" t="inlineStr">
        <is>
          <t>Industria, recursos naturales e inmobiliario</t>
        </is>
      </c>
      <c r="D158" s="49" t="n">
        <v>2020</v>
      </c>
      <c r="E158" s="38">
        <f>IFERROR(INDEX(Empresas!$H$2:$H$23,MATCH($A158,Empresas!$B$2:$B$23,0))&amp;"","")</f>
        <v/>
      </c>
      <c r="F158" s="50" t="n">
        <v>6796306</v>
      </c>
      <c r="G158" s="50" t="n">
        <v>2841525</v>
      </c>
      <c r="H158" s="50" t="n">
        <v>25174441</v>
      </c>
      <c r="I158" s="50" t="n">
        <v>14113971</v>
      </c>
      <c r="J158" s="50" t="n">
        <v>11060470</v>
      </c>
      <c r="K158" s="50" t="n">
        <v>18059214</v>
      </c>
      <c r="L158" s="50" t="n">
        <v>412649</v>
      </c>
      <c r="M158" s="50" t="n">
        <v>296025</v>
      </c>
      <c r="N158" s="50" t="n">
        <v>205986</v>
      </c>
      <c r="O158" s="50" t="n">
        <v>10579772</v>
      </c>
      <c r="P158" s="50" t="n">
        <v>190653</v>
      </c>
      <c r="Q158" s="50" t="n">
        <v>727358</v>
      </c>
      <c r="R158" s="45" t="n">
        <v>7077.52978515625</v>
      </c>
      <c r="S158" s="35" t="inlineStr">
        <is>
          <t>XBRL 2020, actual</t>
        </is>
      </c>
      <c r="T158" s="35" t="n"/>
    </row>
    <row r="159" ht="15" customHeight="1" s="31">
      <c r="A159" s="39" t="inlineStr">
        <is>
          <t>COPEC</t>
        </is>
      </c>
      <c r="B159" s="39" t="n">
        <v>3</v>
      </c>
      <c r="C159" s="39" t="inlineStr">
        <is>
          <t>Industria, recursos naturales e inmobiliario</t>
        </is>
      </c>
      <c r="D159" s="49" t="n">
        <v>2021</v>
      </c>
      <c r="E159" s="38">
        <f>IFERROR(INDEX(Empresas!$H$2:$H$23,MATCH($A159,Empresas!$B$2:$B$23,0))&amp;"","")</f>
        <v/>
      </c>
      <c r="F159" s="50" t="n">
        <v>7163449</v>
      </c>
      <c r="G159" s="50" t="n">
        <v>3368637</v>
      </c>
      <c r="H159" s="50" t="n">
        <v>25612848</v>
      </c>
      <c r="I159" s="50" t="n">
        <v>14151189</v>
      </c>
      <c r="J159" s="50" t="n">
        <v>11461659</v>
      </c>
      <c r="K159" s="50" t="n">
        <v>24786614</v>
      </c>
      <c r="L159" s="50" t="n">
        <v>361135</v>
      </c>
      <c r="M159" s="50" t="n">
        <v>2401983</v>
      </c>
      <c r="N159" s="50" t="n">
        <v>1848842</v>
      </c>
      <c r="O159" s="50" t="n">
        <v>11000494</v>
      </c>
      <c r="P159" s="50" t="n">
        <v>1780950</v>
      </c>
      <c r="Q159" s="50" t="n">
        <v>2508904</v>
      </c>
      <c r="R159" s="45" t="n">
        <v>6465.57421875</v>
      </c>
      <c r="S159" s="35" t="inlineStr">
        <is>
          <t>XBRL 2022, comparativo</t>
        </is>
      </c>
      <c r="T159" s="35" t="n"/>
    </row>
    <row r="160" ht="15" customHeight="1" s="31">
      <c r="A160" s="39" t="inlineStr">
        <is>
          <t>COPEC</t>
        </is>
      </c>
      <c r="B160" s="39" t="n">
        <v>3</v>
      </c>
      <c r="C160" s="39" t="inlineStr">
        <is>
          <t>Industria, recursos naturales e inmobiliario</t>
        </is>
      </c>
      <c r="D160" s="49" t="n">
        <v>2022</v>
      </c>
      <c r="E160" s="38">
        <f>IFERROR(INDEX(Empresas!$H$2:$H$23,MATCH($A160,Empresas!$B$2:$B$23,0))&amp;"","")</f>
        <v/>
      </c>
      <c r="F160" s="50" t="n">
        <v>8544686</v>
      </c>
      <c r="G160" s="50" t="n">
        <v>5082960</v>
      </c>
      <c r="H160" s="50" t="n">
        <v>28137046</v>
      </c>
      <c r="I160" s="50" t="n">
        <v>15656491</v>
      </c>
      <c r="J160" s="50" t="n">
        <v>12480555</v>
      </c>
      <c r="K160" s="50" t="n">
        <v>30765182</v>
      </c>
      <c r="L160" s="50" t="n">
        <v>396009</v>
      </c>
      <c r="M160" s="50" t="n">
        <v>1930936</v>
      </c>
      <c r="N160" s="50" t="n">
        <v>1523230</v>
      </c>
      <c r="O160" s="50" t="n">
        <v>12042521</v>
      </c>
      <c r="P160" s="50" t="n">
        <v>1466143</v>
      </c>
      <c r="Q160" s="50" t="n">
        <v>2137210</v>
      </c>
      <c r="R160" s="45" t="n">
        <v>6213.68505859375</v>
      </c>
      <c r="S160" s="35" t="inlineStr">
        <is>
          <t>XBRL 2022, actual</t>
        </is>
      </c>
      <c r="T160" s="35" t="n"/>
    </row>
    <row r="161" ht="15" customHeight="1" s="31">
      <c r="A161" s="39" t="inlineStr">
        <is>
          <t>COPEC</t>
        </is>
      </c>
      <c r="B161" s="39" t="n">
        <v>3</v>
      </c>
      <c r="C161" s="39" t="inlineStr">
        <is>
          <t>Industria, recursos naturales e inmobiliario</t>
        </is>
      </c>
      <c r="D161" s="49" t="n">
        <v>2023</v>
      </c>
      <c r="E161" s="38">
        <f>IFERROR(INDEX(Empresas!$H$2:$H$23,MATCH($A161,Empresas!$B$2:$B$23,0))&amp;"","")</f>
        <v/>
      </c>
      <c r="F161" s="50" t="n">
        <v>8864509</v>
      </c>
      <c r="G161" s="50" t="n">
        <v>4717908</v>
      </c>
      <c r="H161" s="50" t="n">
        <v>28717638</v>
      </c>
      <c r="I161" s="50" t="n">
        <v>15750936</v>
      </c>
      <c r="J161" s="50" t="n">
        <v>12966702</v>
      </c>
      <c r="K161" s="50" t="n">
        <v>28528000</v>
      </c>
      <c r="L161" s="50" t="n">
        <v>675881</v>
      </c>
      <c r="M161" s="50" t="n">
        <v>446495</v>
      </c>
      <c r="N161" s="50" t="n">
        <v>392605</v>
      </c>
      <c r="O161" s="50" t="n">
        <v>12414662</v>
      </c>
      <c r="P161" s="50" t="n">
        <v>348891</v>
      </c>
      <c r="Q161" s="50" t="n">
        <v>915415</v>
      </c>
      <c r="R161" s="45" t="n">
        <v>6293.5322265625</v>
      </c>
      <c r="S161" s="35" t="inlineStr">
        <is>
          <t>XBRL 2024, comparativo</t>
        </is>
      </c>
      <c r="T161" s="35" t="n"/>
    </row>
    <row r="162" ht="15" customHeight="1" s="31">
      <c r="A162" s="39" t="inlineStr">
        <is>
          <t>COPEC</t>
        </is>
      </c>
      <c r="B162" s="39" t="n">
        <v>3</v>
      </c>
      <c r="C162" s="39" t="inlineStr">
        <is>
          <t>Industria, recursos naturales e inmobiliario</t>
        </is>
      </c>
      <c r="D162" s="49" t="n">
        <v>2024</v>
      </c>
      <c r="E162" s="38">
        <f>IFERROR(INDEX(Empresas!$H$2:$H$23,MATCH($A162,Empresas!$B$2:$B$23,0))&amp;"","")</f>
        <v/>
      </c>
      <c r="F162" s="50" t="n">
        <v>8466475</v>
      </c>
      <c r="G162" s="50" t="n">
        <v>3987943</v>
      </c>
      <c r="H162" s="50" t="n">
        <v>28481540</v>
      </c>
      <c r="I162" s="50" t="n">
        <v>14992264</v>
      </c>
      <c r="J162" s="50" t="n">
        <v>13489276</v>
      </c>
      <c r="K162" s="50" t="n">
        <v>28749546</v>
      </c>
      <c r="L162" s="50" t="n">
        <v>629417</v>
      </c>
      <c r="M162" s="50" t="n">
        <v>1541851</v>
      </c>
      <c r="N162" s="50" t="n">
        <v>1166153</v>
      </c>
      <c r="O162" s="50" t="n">
        <v>12959928</v>
      </c>
      <c r="P162" s="50" t="n">
        <v>1111159</v>
      </c>
      <c r="Q162" s="50" t="n">
        <v>1852542</v>
      </c>
      <c r="R162" s="45" t="n">
        <v>5968.6796875</v>
      </c>
      <c r="S162" s="35" t="inlineStr">
        <is>
          <t>XBRL 2025, comparativo</t>
        </is>
      </c>
      <c r="T162" s="35" t="n"/>
    </row>
    <row r="163" ht="15" customHeight="1" s="31">
      <c r="A163" s="39" t="inlineStr">
        <is>
          <t>COPEC</t>
        </is>
      </c>
      <c r="B163" s="39" t="n">
        <v>3</v>
      </c>
      <c r="C163" s="39" t="inlineStr">
        <is>
          <t>Industria, recursos naturales e inmobiliario</t>
        </is>
      </c>
      <c r="D163" s="49" t="n">
        <v>2025</v>
      </c>
      <c r="E163" s="38">
        <f>IFERROR(INDEX(Empresas!$H$2:$H$23,MATCH($A163,Empresas!$B$2:$B$23,0))&amp;"","")</f>
        <v/>
      </c>
      <c r="F163" s="50" t="n">
        <v>9096891</v>
      </c>
      <c r="G163" s="50" t="n">
        <v>5223996</v>
      </c>
      <c r="H163" s="50" t="n">
        <v>33209748</v>
      </c>
      <c r="I163" s="50" t="n">
        <v>18290348</v>
      </c>
      <c r="J163" s="50" t="n">
        <v>14919400</v>
      </c>
      <c r="K163" s="50" t="n">
        <v>29637952</v>
      </c>
      <c r="L163" s="50" t="n">
        <v>629390</v>
      </c>
      <c r="M163" s="50" t="n">
        <v>1232298</v>
      </c>
      <c r="N163" s="50" t="n">
        <v>950179</v>
      </c>
      <c r="O163" s="50" t="n">
        <v>14318298</v>
      </c>
      <c r="P163" s="50" t="n">
        <v>876851</v>
      </c>
      <c r="Q163" s="50" t="n">
        <v>1454083</v>
      </c>
      <c r="R163" s="45" t="n">
        <v>6932.12841796875</v>
      </c>
      <c r="S163" s="35" t="inlineStr">
        <is>
          <t>XBRL 2025, actual</t>
        </is>
      </c>
      <c r="T163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30" min="1" max="1"/>
    <col width="7" customWidth="1" style="30" min="2" max="2"/>
    <col width="12" customWidth="1" style="30" min="3" max="3"/>
    <col width="7" customWidth="1" style="30" min="4" max="4"/>
    <col width="9" customWidth="1" style="30" min="5" max="5"/>
    <col width="15" customWidth="1" style="30" min="6" max="17"/>
    <col width="24" customWidth="1" style="30" min="18" max="18"/>
    <col width="30" customWidth="1" style="30" min="19" max="19"/>
  </cols>
  <sheetData>
    <row r="1" ht="42" customHeight="1" s="31">
      <c r="A1" s="43" t="inlineStr">
        <is>
          <t>nemotecnico</t>
        </is>
      </c>
      <c r="B1" s="43" t="inlineStr">
        <is>
          <t>cod_sector</t>
        </is>
      </c>
      <c r="C1" s="43" t="inlineStr">
        <is>
          <t>sector</t>
        </is>
      </c>
      <c r="D1" s="43" t="inlineStr">
        <is>
          <t>anio</t>
        </is>
      </c>
      <c r="E1" s="43" t="inlineStr">
        <is>
          <t>moneda</t>
        </is>
      </c>
      <c r="F1" s="43" t="inlineStr">
        <is>
          <t>activo_total</t>
        </is>
      </c>
      <c r="G1" s="43" t="inlineStr">
        <is>
          <t>pasivo_total</t>
        </is>
      </c>
      <c r="H1" s="43" t="inlineStr">
        <is>
          <t>patrimonio_total</t>
        </is>
      </c>
      <c r="I1" s="43" t="inlineStr">
        <is>
          <t>efectivo</t>
        </is>
      </c>
      <c r="J1" s="43" t="inlineStr">
        <is>
          <t>depositos</t>
        </is>
      </c>
      <c r="K1" s="43" t="inlineStr">
        <is>
          <t>colocaciones</t>
        </is>
      </c>
      <c r="L1" s="43" t="inlineStr">
        <is>
          <t>ingreso_operacional_neto</t>
        </is>
      </c>
      <c r="M1" s="43" t="inlineStr">
        <is>
          <t>gastos_operacionales</t>
        </is>
      </c>
      <c r="N1" s="43" t="inlineStr">
        <is>
          <t>gasto_provisiones</t>
        </is>
      </c>
      <c r="O1" s="43" t="inlineStr">
        <is>
          <t>ganancia_antes_impuestos</t>
        </is>
      </c>
      <c r="P1" s="43" t="inlineStr">
        <is>
          <t>ganancia_ejercicio</t>
        </is>
      </c>
      <c r="Q1" s="43" t="inlineStr">
        <is>
          <t>precio_ajustado_cierre</t>
        </is>
      </c>
      <c r="R1" s="43" t="inlineStr">
        <is>
          <t>fuente</t>
        </is>
      </c>
      <c r="S1" s="43" t="inlineStr">
        <is>
          <t>observaciones</t>
        </is>
      </c>
    </row>
    <row r="2" ht="15" customHeight="1" s="31">
      <c r="A2" s="39" t="inlineStr">
        <is>
          <t>CHILE</t>
        </is>
      </c>
      <c r="B2" s="39" t="n">
        <v>4</v>
      </c>
      <c r="C2" s="39" t="inlineStr">
        <is>
          <t>Financiero (bancos)</t>
        </is>
      </c>
      <c r="D2" s="49" t="n">
        <v>2017</v>
      </c>
      <c r="E2" s="38">
        <f>IFERROR(INDEX(Empresas!$H$2:$H$23,MATCH($A2,Empresas!$B$2:$B$23,0))&amp;"","")</f>
        <v/>
      </c>
      <c r="F2" s="50" t="n">
        <v>32824188</v>
      </c>
      <c r="G2" s="50" t="n">
        <v>29718473</v>
      </c>
      <c r="H2" s="50" t="n">
        <v>3105715</v>
      </c>
      <c r="I2" s="50" t="n">
        <v>1057393</v>
      </c>
      <c r="J2" s="50" t="n">
        <v>18983484</v>
      </c>
      <c r="K2" s="50" t="n">
        <v>24881353</v>
      </c>
      <c r="L2" s="50" t="n">
        <v>1709270</v>
      </c>
      <c r="M2" s="50" t="n">
        <v>-789298</v>
      </c>
      <c r="N2" s="50" t="n">
        <v>-234982</v>
      </c>
      <c r="O2" s="50" t="n">
        <v>691047</v>
      </c>
      <c r="P2" s="50" t="n">
        <v>576013</v>
      </c>
      <c r="Q2" s="45" t="n">
        <v>60.08842468261719</v>
      </c>
      <c r="R2" s="35" t="inlineStr">
        <is>
          <t>CMF, estados mensuales 12/2017, MM$</t>
        </is>
      </c>
      <c r="S2" s="35" t="n"/>
    </row>
    <row r="3" ht="15" customHeight="1" s="31">
      <c r="A3" s="39" t="inlineStr">
        <is>
          <t>CHILE</t>
        </is>
      </c>
      <c r="B3" s="39" t="n">
        <v>4</v>
      </c>
      <c r="C3" s="39" t="inlineStr">
        <is>
          <t>Financiero (bancos)</t>
        </is>
      </c>
      <c r="D3" s="49" t="n">
        <v>2018</v>
      </c>
      <c r="E3" s="38">
        <f>IFERROR(INDEX(Empresas!$H$2:$H$23,MATCH($A3,Empresas!$B$2:$B$23,0))&amp;"","")</f>
        <v/>
      </c>
      <c r="F3" s="50" t="n">
        <v>35926459</v>
      </c>
      <c r="G3" s="50" t="n">
        <v>32622306</v>
      </c>
      <c r="H3" s="50" t="n">
        <v>3304153</v>
      </c>
      <c r="I3" s="50" t="n">
        <v>880081</v>
      </c>
      <c r="J3" s="50" t="n">
        <v>20240662</v>
      </c>
      <c r="K3" s="50" t="n">
        <v>27307223</v>
      </c>
      <c r="L3" s="50" t="n">
        <v>1873283</v>
      </c>
      <c r="M3" s="50" t="n">
        <v>-847724</v>
      </c>
      <c r="N3" s="50" t="n">
        <v>-281410</v>
      </c>
      <c r="O3" s="50" t="n">
        <v>751404</v>
      </c>
      <c r="P3" s="50" t="n">
        <v>594873</v>
      </c>
      <c r="Q3" s="45" t="n">
        <v>65.21598052978516</v>
      </c>
      <c r="R3" s="35" t="inlineStr">
        <is>
          <t>CMF, estados mensuales 12/2018, MM$</t>
        </is>
      </c>
      <c r="S3" s="35" t="n"/>
    </row>
    <row r="4" ht="15" customHeight="1" s="31">
      <c r="A4" s="39" t="inlineStr">
        <is>
          <t>CHILE</t>
        </is>
      </c>
      <c r="B4" s="39" t="n">
        <v>4</v>
      </c>
      <c r="C4" s="39" t="inlineStr">
        <is>
          <t>Financiero (bancos)</t>
        </is>
      </c>
      <c r="D4" s="49" t="n">
        <v>2019</v>
      </c>
      <c r="E4" s="38">
        <f>IFERROR(INDEX(Empresas!$H$2:$H$23,MATCH($A4,Empresas!$B$2:$B$23,0))&amp;"","")</f>
        <v/>
      </c>
      <c r="F4" s="50" t="n">
        <v>41273333</v>
      </c>
      <c r="G4" s="50" t="n">
        <v>37745110</v>
      </c>
      <c r="H4" s="50" t="n">
        <v>3528223</v>
      </c>
      <c r="I4" s="50" t="n">
        <v>2392166</v>
      </c>
      <c r="J4" s="50" t="n">
        <v>22182751</v>
      </c>
      <c r="K4" s="50" t="n">
        <v>29334052</v>
      </c>
      <c r="L4" s="50" t="n">
        <v>2014520</v>
      </c>
      <c r="M4" s="50" t="n">
        <v>-911004</v>
      </c>
      <c r="N4" s="50" t="n">
        <v>-347274</v>
      </c>
      <c r="O4" s="50" t="n">
        <v>762692</v>
      </c>
      <c r="P4" s="50" t="n">
        <v>593009</v>
      </c>
      <c r="Q4" s="45" t="n">
        <v>54.25417327880859</v>
      </c>
      <c r="R4" s="35" t="inlineStr">
        <is>
          <t>CMF, estados mensuales 12/2019, MM$</t>
        </is>
      </c>
      <c r="S4" s="35" t="n"/>
    </row>
    <row r="5" ht="15" customHeight="1" s="31">
      <c r="A5" s="39" t="inlineStr">
        <is>
          <t>CHILE</t>
        </is>
      </c>
      <c r="B5" s="39" t="n">
        <v>4</v>
      </c>
      <c r="C5" s="39" t="inlineStr">
        <is>
          <t>Financiero (bancos)</t>
        </is>
      </c>
      <c r="D5" s="49" t="n">
        <v>2020</v>
      </c>
      <c r="E5" s="38">
        <f>IFERROR(INDEX(Empresas!$H$2:$H$23,MATCH($A5,Empresas!$B$2:$B$23,0))&amp;"","")</f>
        <v/>
      </c>
      <c r="F5" s="50" t="n">
        <v>46095131</v>
      </c>
      <c r="G5" s="50" t="n">
        <v>42368863</v>
      </c>
      <c r="H5" s="50" t="n">
        <v>3726268</v>
      </c>
      <c r="I5" s="50" t="n">
        <v>2560216</v>
      </c>
      <c r="J5" s="50" t="n">
        <v>24066770</v>
      </c>
      <c r="K5" s="50" t="n">
        <v>30190058</v>
      </c>
      <c r="L5" s="50" t="n">
        <v>1938743</v>
      </c>
      <c r="M5" s="50" t="n">
        <v>-882331</v>
      </c>
      <c r="N5" s="50" t="n">
        <v>-462680</v>
      </c>
      <c r="O5" s="50" t="n">
        <v>589071</v>
      </c>
      <c r="P5" s="50" t="n">
        <v>463109</v>
      </c>
      <c r="Q5" s="45" t="n">
        <v>51.98239898681641</v>
      </c>
      <c r="R5" s="35" t="inlineStr">
        <is>
          <t>CMF, estados mensuales 12/2020, MM$</t>
        </is>
      </c>
      <c r="S5" s="35" t="n"/>
    </row>
    <row r="6" ht="15" customHeight="1" s="31">
      <c r="A6" s="39" t="inlineStr">
        <is>
          <t>CHILE</t>
        </is>
      </c>
      <c r="B6" s="39" t="n">
        <v>4</v>
      </c>
      <c r="C6" s="39" t="inlineStr">
        <is>
          <t>Financiero (bancos)</t>
        </is>
      </c>
      <c r="D6" s="49" t="n">
        <v>2021</v>
      </c>
      <c r="E6" s="38">
        <f>IFERROR(INDEX(Empresas!$H$2:$H$23,MATCH($A6,Empresas!$B$2:$B$23,0))&amp;"","")</f>
        <v/>
      </c>
      <c r="F6" s="50" t="n">
        <v>51702439</v>
      </c>
      <c r="G6" s="50" t="n">
        <v>47479425</v>
      </c>
      <c r="H6" s="50" t="n">
        <v>4223014</v>
      </c>
      <c r="I6" s="50" t="n">
        <v>3713734</v>
      </c>
      <c r="J6" s="50" t="n">
        <v>27682797</v>
      </c>
      <c r="K6" s="50" t="n">
        <v>33537758</v>
      </c>
      <c r="L6" s="50" t="n">
        <v>2230257</v>
      </c>
      <c r="M6" s="50" t="n">
        <v>-887764</v>
      </c>
      <c r="N6" s="50" t="n">
        <v>-373260</v>
      </c>
      <c r="O6" s="50" t="n">
        <v>971473</v>
      </c>
      <c r="P6" s="50" t="n">
        <v>792923</v>
      </c>
      <c r="Q6" s="45" t="n">
        <v>48.89735794067383</v>
      </c>
      <c r="R6" s="35" t="inlineStr">
        <is>
          <t>CMF, estados mensuales 12/2021, MM$</t>
        </is>
      </c>
      <c r="S6" s="35" t="n"/>
    </row>
    <row r="7" ht="15" customHeight="1" s="31">
      <c r="A7" s="39" t="inlineStr">
        <is>
          <t>CHILE</t>
        </is>
      </c>
      <c r="B7" s="39" t="n">
        <v>4</v>
      </c>
      <c r="C7" s="39" t="inlineStr">
        <is>
          <t>Financiero (bancos)</t>
        </is>
      </c>
      <c r="D7" s="49" t="n">
        <v>2022</v>
      </c>
      <c r="E7" s="38">
        <f>IFERROR(INDEX(Empresas!$H$2:$H$23,MATCH($A7,Empresas!$B$2:$B$23,0))&amp;"","")</f>
        <v/>
      </c>
      <c r="F7" s="50" t="n">
        <v>55255361.593249</v>
      </c>
      <c r="G7" s="50" t="n">
        <v>50397033.664212</v>
      </c>
      <c r="H7" s="50" t="n">
        <v>4858327.929037</v>
      </c>
      <c r="I7" s="50" t="n">
        <v>2764883.901334</v>
      </c>
      <c r="J7" s="50" t="n">
        <v>27540372.841613</v>
      </c>
      <c r="K7" s="50" t="n">
        <v>35916412.858293</v>
      </c>
      <c r="L7" s="50" t="n">
        <v>3115792.326189</v>
      </c>
      <c r="M7" s="50" t="n">
        <v>-995483.4118839999</v>
      </c>
      <c r="N7" s="50" t="n">
        <v>-435117.01981</v>
      </c>
      <c r="O7" s="50" t="n">
        <v>1685191.894495</v>
      </c>
      <c r="P7" s="50" t="n">
        <v>1409435.29787</v>
      </c>
      <c r="Q7" s="45" t="n">
        <v>68.84742736816406</v>
      </c>
      <c r="R7" s="35" t="inlineStr">
        <is>
          <t>CMF, estados mensuales 12/2022, MM$</t>
        </is>
      </c>
      <c r="S7" s="35" t="n"/>
    </row>
    <row r="8" ht="15" customHeight="1" s="31">
      <c r="A8" s="39" t="inlineStr">
        <is>
          <t>CHILE</t>
        </is>
      </c>
      <c r="B8" s="39" t="n">
        <v>4</v>
      </c>
      <c r="C8" s="39" t="inlineStr">
        <is>
          <t>Financiero (bancos)</t>
        </is>
      </c>
      <c r="D8" s="49" t="n">
        <v>2023</v>
      </c>
      <c r="E8" s="38">
        <f>IFERROR(INDEX(Empresas!$H$2:$H$23,MATCH($A8,Empresas!$B$2:$B$23,0))&amp;"","")</f>
        <v/>
      </c>
      <c r="F8" s="50" t="n">
        <v>55792551.54338299</v>
      </c>
      <c r="G8" s="50" t="n">
        <v>50555266.884358</v>
      </c>
      <c r="H8" s="50" t="n">
        <v>5237284.659024999</v>
      </c>
      <c r="I8" s="50" t="n">
        <v>2464647.680415</v>
      </c>
      <c r="J8" s="50" t="n">
        <v>28687221.506035</v>
      </c>
      <c r="K8" s="50" t="n">
        <v>36831735.541425</v>
      </c>
      <c r="L8" s="50" t="n">
        <v>2997278.158466</v>
      </c>
      <c r="M8" s="50" t="n">
        <v>-1118503.9162</v>
      </c>
      <c r="N8" s="50" t="n">
        <v>-361252.096901</v>
      </c>
      <c r="O8" s="50" t="n">
        <v>1517522.145365</v>
      </c>
      <c r="P8" s="50" t="n">
        <v>1243634.778866</v>
      </c>
      <c r="Q8" s="45" t="n">
        <v>90.30328369140625</v>
      </c>
      <c r="R8" s="35" t="inlineStr">
        <is>
          <t>CMF, estados mensuales 12/2023, MM$</t>
        </is>
      </c>
      <c r="S8" s="35" t="n"/>
    </row>
    <row r="9" ht="15" customHeight="1" s="31">
      <c r="A9" s="39" t="inlineStr">
        <is>
          <t>CHILE</t>
        </is>
      </c>
      <c r="B9" s="39" t="n">
        <v>4</v>
      </c>
      <c r="C9" s="39" t="inlineStr">
        <is>
          <t>Financiero (bancos)</t>
        </is>
      </c>
      <c r="D9" s="49" t="n">
        <v>2024</v>
      </c>
      <c r="E9" s="38">
        <f>IFERROR(INDEX(Empresas!$H$2:$H$23,MATCH($A9,Empresas!$B$2:$B$23,0))&amp;"","")</f>
        <v/>
      </c>
      <c r="F9" s="50" t="n">
        <v>52095441.680776</v>
      </c>
      <c r="G9" s="50" t="n">
        <v>46472440.304322</v>
      </c>
      <c r="H9" s="50" t="n">
        <v>5623001.376453999</v>
      </c>
      <c r="I9" s="50" t="n">
        <v>2699076.143646</v>
      </c>
      <c r="J9" s="50" t="n">
        <v>28432005.244583</v>
      </c>
      <c r="K9" s="50" t="n">
        <v>38089035.553498</v>
      </c>
      <c r="L9" s="50" t="n">
        <v>3050285.161018</v>
      </c>
      <c r="M9" s="50" t="n">
        <v>-1132734.09735</v>
      </c>
      <c r="N9" s="50" t="n">
        <v>-391753.968789</v>
      </c>
      <c r="O9" s="50" t="n">
        <v>1525797.094879</v>
      </c>
      <c r="P9" s="50" t="n">
        <v>1207391.706303</v>
      </c>
      <c r="Q9" s="45" t="n">
        <v>98.64515686035156</v>
      </c>
      <c r="R9" s="35" t="inlineStr">
        <is>
          <t>CMF, estados mensuales 12/2024, MM$</t>
        </is>
      </c>
      <c r="S9" s="35" t="n"/>
    </row>
    <row r="10" ht="15" customHeight="1" s="31">
      <c r="A10" s="39" t="inlineStr">
        <is>
          <t>CHILE</t>
        </is>
      </c>
      <c r="B10" s="39" t="n">
        <v>4</v>
      </c>
      <c r="C10" s="39" t="inlineStr">
        <is>
          <t>Financiero (bancos)</t>
        </is>
      </c>
      <c r="D10" s="49" t="n">
        <v>2025</v>
      </c>
      <c r="E10" s="38">
        <f>IFERROR(INDEX(Empresas!$H$2:$H$23,MATCH($A10,Empresas!$B$2:$B$23,0))&amp;"","")</f>
        <v/>
      </c>
      <c r="F10" s="50" t="n">
        <v>54100904.168588</v>
      </c>
      <c r="G10" s="50" t="n">
        <v>48301367.939981</v>
      </c>
      <c r="H10" s="50" t="n">
        <v>5799536.228607</v>
      </c>
      <c r="I10" s="50" t="n">
        <v>2590986.315988</v>
      </c>
      <c r="J10" s="50" t="n">
        <v>28470163.891504</v>
      </c>
      <c r="K10" s="50" t="n">
        <v>38354998.617995</v>
      </c>
      <c r="L10" s="50" t="n">
        <v>3026042.745427</v>
      </c>
      <c r="M10" s="50" t="n">
        <v>-1130937.474686</v>
      </c>
      <c r="N10" s="50" t="n">
        <v>-381922.564413</v>
      </c>
      <c r="O10" s="50" t="n">
        <v>1513182.706328</v>
      </c>
      <c r="P10" s="50" t="n">
        <v>1192261.635639</v>
      </c>
      <c r="Q10" s="45" t="n">
        <v>164.0669403076172</v>
      </c>
      <c r="R10" s="35" t="inlineStr">
        <is>
          <t>CMF, estados mensuales 12/2025, MM$</t>
        </is>
      </c>
      <c r="S10" s="35" t="n"/>
    </row>
    <row r="11" ht="15" customHeight="1" s="31">
      <c r="A11" s="39" t="inlineStr">
        <is>
          <t>BCI</t>
        </is>
      </c>
      <c r="B11" s="39" t="n">
        <v>4</v>
      </c>
      <c r="C11" s="39" t="inlineStr">
        <is>
          <t>Financiero (bancos)</t>
        </is>
      </c>
      <c r="D11" s="49" t="n">
        <v>2017</v>
      </c>
      <c r="E11" s="38">
        <f>IFERROR(INDEX(Empresas!$H$2:$H$23,MATCH($A11,Empresas!$B$2:$B$23,0))&amp;"","")</f>
        <v/>
      </c>
      <c r="F11" s="50" t="n">
        <v>33883396</v>
      </c>
      <c r="G11" s="50" t="n">
        <v>31155110</v>
      </c>
      <c r="H11" s="50" t="n">
        <v>2728286</v>
      </c>
      <c r="I11" s="50" t="n">
        <v>1495732</v>
      </c>
      <c r="J11" s="50" t="n">
        <v>20226470</v>
      </c>
      <c r="K11" s="50" t="n">
        <v>24130419</v>
      </c>
      <c r="L11" s="50" t="n">
        <v>1380702</v>
      </c>
      <c r="M11" s="50" t="n">
        <v>-741612</v>
      </c>
      <c r="N11" s="50" t="n">
        <v>-212653</v>
      </c>
      <c r="O11" s="50" t="n">
        <v>538979</v>
      </c>
      <c r="P11" s="50" t="n">
        <v>371425</v>
      </c>
      <c r="Q11" s="45" t="n">
        <v>20320.62890625</v>
      </c>
      <c r="R11" s="35" t="inlineStr">
        <is>
          <t>CMF, estados mensuales 12/2017, MM$</t>
        </is>
      </c>
      <c r="S11" s="35" t="n"/>
    </row>
    <row r="12" ht="15" customHeight="1" s="31">
      <c r="A12" s="39" t="inlineStr">
        <is>
          <t>BCI</t>
        </is>
      </c>
      <c r="B12" s="39" t="n">
        <v>4</v>
      </c>
      <c r="C12" s="39" t="inlineStr">
        <is>
          <t>Financiero (bancos)</t>
        </is>
      </c>
      <c r="D12" s="49" t="n">
        <v>2018</v>
      </c>
      <c r="E12" s="38">
        <f>IFERROR(INDEX(Empresas!$H$2:$H$23,MATCH($A12,Empresas!$B$2:$B$23,0))&amp;"","")</f>
        <v/>
      </c>
      <c r="F12" s="50" t="n">
        <v>41349717</v>
      </c>
      <c r="G12" s="50" t="n">
        <v>37891354</v>
      </c>
      <c r="H12" s="50" t="n">
        <v>3458363</v>
      </c>
      <c r="I12" s="50" t="n">
        <v>2058757</v>
      </c>
      <c r="J12" s="50" t="n">
        <v>24551315</v>
      </c>
      <c r="K12" s="50" t="n">
        <v>29543095</v>
      </c>
      <c r="L12" s="50" t="n">
        <v>1585203</v>
      </c>
      <c r="M12" s="50" t="n">
        <v>-864277</v>
      </c>
      <c r="N12" s="50" t="n">
        <v>-266313</v>
      </c>
      <c r="O12" s="50" t="n">
        <v>519649</v>
      </c>
      <c r="P12" s="50" t="n">
        <v>395847</v>
      </c>
      <c r="Q12" s="45" t="n">
        <v>22217.955078125</v>
      </c>
      <c r="R12" s="35" t="inlineStr">
        <is>
          <t>CMF, estados mensuales 12/2018, MM$</t>
        </is>
      </c>
      <c r="S12" s="35" t="n"/>
    </row>
    <row r="13" ht="15" customHeight="1" s="31">
      <c r="A13" s="39" t="inlineStr">
        <is>
          <t>BCI</t>
        </is>
      </c>
      <c r="B13" s="39" t="n">
        <v>4</v>
      </c>
      <c r="C13" s="39" t="inlineStr">
        <is>
          <t>Financiero (bancos)</t>
        </is>
      </c>
      <c r="D13" s="49" t="n">
        <v>2019</v>
      </c>
      <c r="E13" s="38">
        <f>IFERROR(INDEX(Empresas!$H$2:$H$23,MATCH($A13,Empresas!$B$2:$B$23,0))&amp;"","")</f>
        <v/>
      </c>
      <c r="F13" s="50" t="n">
        <v>50336620</v>
      </c>
      <c r="G13" s="50" t="n">
        <v>46544100</v>
      </c>
      <c r="H13" s="50" t="n">
        <v>3792520</v>
      </c>
      <c r="I13" s="50" t="n">
        <v>3153760</v>
      </c>
      <c r="J13" s="50" t="n">
        <v>27553455</v>
      </c>
      <c r="K13" s="50" t="n">
        <v>33212457</v>
      </c>
      <c r="L13" s="50" t="n">
        <v>1891788</v>
      </c>
      <c r="M13" s="50" t="n">
        <v>-957731</v>
      </c>
      <c r="N13" s="50" t="n">
        <v>-415519</v>
      </c>
      <c r="O13" s="50" t="n">
        <v>531176</v>
      </c>
      <c r="P13" s="50" t="n">
        <v>402739</v>
      </c>
      <c r="Q13" s="45" t="n">
        <v>17913.962890625</v>
      </c>
      <c r="R13" s="35" t="inlineStr">
        <is>
          <t>CMF, estados mensuales 12/2019, MM$</t>
        </is>
      </c>
      <c r="S13" s="35" t="n"/>
    </row>
    <row r="14" ht="15" customHeight="1" s="31">
      <c r="A14" s="39" t="inlineStr">
        <is>
          <t>BCI</t>
        </is>
      </c>
      <c r="B14" s="39" t="n">
        <v>4</v>
      </c>
      <c r="C14" s="39" t="inlineStr">
        <is>
          <t>Financiero (bancos)</t>
        </is>
      </c>
      <c r="D14" s="49" t="n">
        <v>2020</v>
      </c>
      <c r="E14" s="38">
        <f>IFERROR(INDEX(Empresas!$H$2:$H$23,MATCH($A14,Empresas!$B$2:$B$23,0))&amp;"","")</f>
        <v/>
      </c>
      <c r="F14" s="50" t="n">
        <v>57156299</v>
      </c>
      <c r="G14" s="50" t="n">
        <v>53261594</v>
      </c>
      <c r="H14" s="50" t="n">
        <v>3894705</v>
      </c>
      <c r="I14" s="50" t="n">
        <v>4597867</v>
      </c>
      <c r="J14" s="50" t="n">
        <v>30566185</v>
      </c>
      <c r="K14" s="50" t="n">
        <v>34718681</v>
      </c>
      <c r="L14" s="50" t="n">
        <v>2032328</v>
      </c>
      <c r="M14" s="50" t="n">
        <v>-1035861</v>
      </c>
      <c r="N14" s="50" t="n">
        <v>-653911</v>
      </c>
      <c r="O14" s="50" t="n">
        <v>342198</v>
      </c>
      <c r="P14" s="50" t="n">
        <v>317533</v>
      </c>
      <c r="Q14" s="45" t="n">
        <v>15935.388671875</v>
      </c>
      <c r="R14" s="35" t="inlineStr">
        <is>
          <t>CMF, estados mensuales 12/2020, MM$</t>
        </is>
      </c>
      <c r="S14" s="35" t="n"/>
    </row>
    <row r="15" ht="15" customHeight="1" s="31">
      <c r="A15" s="39" t="inlineStr">
        <is>
          <t>BCI</t>
        </is>
      </c>
      <c r="B15" s="39" t="n">
        <v>4</v>
      </c>
      <c r="C15" s="39" t="inlineStr">
        <is>
          <t>Financiero (bancos)</t>
        </is>
      </c>
      <c r="D15" s="49" t="n">
        <v>2021</v>
      </c>
      <c r="E15" s="38">
        <f>IFERROR(INDEX(Empresas!$H$2:$H$23,MATCH($A15,Empresas!$B$2:$B$23,0))&amp;"","")</f>
        <v/>
      </c>
      <c r="F15" s="50" t="n">
        <v>69158634</v>
      </c>
      <c r="G15" s="50" t="n">
        <v>64657158</v>
      </c>
      <c r="H15" s="50" t="n">
        <v>4501476</v>
      </c>
      <c r="I15" s="50" t="n">
        <v>3960497</v>
      </c>
      <c r="J15" s="50" t="n">
        <v>38518590</v>
      </c>
      <c r="K15" s="50" t="n">
        <v>40230382</v>
      </c>
      <c r="L15" s="50" t="n">
        <v>2161303</v>
      </c>
      <c r="M15" s="50" t="n">
        <v>-1041020</v>
      </c>
      <c r="N15" s="50" t="n">
        <v>-400545</v>
      </c>
      <c r="O15" s="50" t="n">
        <v>722028</v>
      </c>
      <c r="P15" s="50" t="n">
        <v>520545</v>
      </c>
      <c r="Q15" s="45" t="n">
        <v>15177.8173828125</v>
      </c>
      <c r="R15" s="35" t="inlineStr">
        <is>
          <t>CMF, estados mensuales 12/2021, MM$</t>
        </is>
      </c>
      <c r="S15" s="35" t="n"/>
    </row>
    <row r="16" ht="15" customHeight="1" s="31">
      <c r="A16" s="39" t="inlineStr">
        <is>
          <t>BCI</t>
        </is>
      </c>
      <c r="B16" s="39" t="n">
        <v>4</v>
      </c>
      <c r="C16" s="39" t="inlineStr">
        <is>
          <t>Financiero (bancos)</t>
        </is>
      </c>
      <c r="D16" s="49" t="n">
        <v>2022</v>
      </c>
      <c r="E16" s="38">
        <f>IFERROR(INDEX(Empresas!$H$2:$H$23,MATCH($A16,Empresas!$B$2:$B$23,0))&amp;"","")</f>
        <v/>
      </c>
      <c r="F16" s="50" t="n">
        <v>78049118.166155</v>
      </c>
      <c r="G16" s="50" t="n">
        <v>73272317.538882</v>
      </c>
      <c r="H16" s="50" t="n">
        <v>4776800.627273</v>
      </c>
      <c r="I16" s="50" t="n">
        <v>4256396.416058999</v>
      </c>
      <c r="J16" s="50" t="n">
        <v>42368129.176424</v>
      </c>
      <c r="K16" s="50" t="n">
        <v>45299132.200947</v>
      </c>
      <c r="L16" s="50" t="n">
        <v>2699088.414015</v>
      </c>
      <c r="M16" s="50" t="n">
        <v>-1292315.400402</v>
      </c>
      <c r="N16" s="50" t="n">
        <v>-494869.928511</v>
      </c>
      <c r="O16" s="50" t="n">
        <v>911903.0851019999</v>
      </c>
      <c r="P16" s="50" t="n">
        <v>821023.928571</v>
      </c>
      <c r="Q16" s="45" t="n">
        <v>16695.892578125</v>
      </c>
      <c r="R16" s="35" t="inlineStr">
        <is>
          <t>CMF, estados mensuales 12/2022, MM$</t>
        </is>
      </c>
      <c r="S16" s="35" t="n"/>
    </row>
    <row r="17" ht="15" customHeight="1" s="31">
      <c r="A17" s="39" t="inlineStr">
        <is>
          <t>BCI</t>
        </is>
      </c>
      <c r="B17" s="39" t="n">
        <v>4</v>
      </c>
      <c r="C17" s="39" t="inlineStr">
        <is>
          <t>Financiero (bancos)</t>
        </is>
      </c>
      <c r="D17" s="49" t="n">
        <v>2023</v>
      </c>
      <c r="E17" s="38">
        <f>IFERROR(INDEX(Empresas!$H$2:$H$23,MATCH($A17,Empresas!$B$2:$B$23,0))&amp;"","")</f>
        <v/>
      </c>
      <c r="F17" s="50" t="n">
        <v>79301149.863406</v>
      </c>
      <c r="G17" s="50" t="n">
        <v>73233774.757378</v>
      </c>
      <c r="H17" s="50" t="n">
        <v>6067375.106028</v>
      </c>
      <c r="I17" s="50" t="n">
        <v>3619714.941106</v>
      </c>
      <c r="J17" s="50" t="n">
        <v>42252568.766439</v>
      </c>
      <c r="K17" s="50" t="n">
        <v>48560149.001995</v>
      </c>
      <c r="L17" s="50" t="n">
        <v>2520330.961132</v>
      </c>
      <c r="M17" s="50" t="n">
        <v>-1303099.866725</v>
      </c>
      <c r="N17" s="50" t="n">
        <v>-399255.846557</v>
      </c>
      <c r="O17" s="50" t="n">
        <v>817975.2478499999</v>
      </c>
      <c r="P17" s="50" t="n">
        <v>682571.163934</v>
      </c>
      <c r="Q17" s="45" t="n">
        <v>21731.919921875</v>
      </c>
      <c r="R17" s="35" t="inlineStr">
        <is>
          <t>CMF, estados mensuales 12/2023, MM$</t>
        </is>
      </c>
      <c r="S17" s="35" t="n"/>
    </row>
    <row r="18" ht="15" customHeight="1" s="31">
      <c r="A18" s="39" t="inlineStr">
        <is>
          <t>BCI</t>
        </is>
      </c>
      <c r="B18" s="39" t="n">
        <v>4</v>
      </c>
      <c r="C18" s="39" t="inlineStr">
        <is>
          <t>Financiero (bancos)</t>
        </is>
      </c>
      <c r="D18" s="49" t="n">
        <v>2024</v>
      </c>
      <c r="E18" s="38">
        <f>IFERROR(INDEX(Empresas!$H$2:$H$23,MATCH($A18,Empresas!$B$2:$B$23,0))&amp;"","")</f>
        <v/>
      </c>
      <c r="F18" s="50" t="n">
        <v>83417634.90851299</v>
      </c>
      <c r="G18" s="50" t="n">
        <v>76419853.718308</v>
      </c>
      <c r="H18" s="50" t="n">
        <v>6997781.190204999</v>
      </c>
      <c r="I18" s="50" t="n">
        <v>3527185.354656</v>
      </c>
      <c r="J18" s="50" t="n">
        <v>48587690.164616</v>
      </c>
      <c r="K18" s="50" t="n">
        <v>53496980.802788</v>
      </c>
      <c r="L18" s="50" t="n">
        <v>2736882.271878</v>
      </c>
      <c r="M18" s="50" t="n">
        <v>-1337447.240986</v>
      </c>
      <c r="N18" s="50" t="n">
        <v>-321385.195988</v>
      </c>
      <c r="O18" s="50" t="n">
        <v>1078049.834904</v>
      </c>
      <c r="P18" s="50" t="n">
        <v>801718.2168439999</v>
      </c>
      <c r="Q18" s="45" t="n">
        <v>26066.39453125</v>
      </c>
      <c r="R18" s="35" t="inlineStr">
        <is>
          <t>CMF, estados mensuales 12/2024, MM$</t>
        </is>
      </c>
      <c r="S18" s="35" t="n"/>
    </row>
    <row r="19" ht="15" customHeight="1" s="31">
      <c r="A19" s="39" t="inlineStr">
        <is>
          <t>BCI</t>
        </is>
      </c>
      <c r="B19" s="39" t="n">
        <v>4</v>
      </c>
      <c r="C19" s="39" t="inlineStr">
        <is>
          <t>Financiero (bancos)</t>
        </is>
      </c>
      <c r="D19" s="49" t="n">
        <v>2025</v>
      </c>
      <c r="E19" s="38">
        <f>IFERROR(INDEX(Empresas!$H$2:$H$23,MATCH($A19,Empresas!$B$2:$B$23,0))&amp;"","")</f>
        <v/>
      </c>
      <c r="F19" s="50" t="n">
        <v>81565559.103113</v>
      </c>
      <c r="G19" s="50" t="n">
        <v>74119278.32126699</v>
      </c>
      <c r="H19" s="50" t="n">
        <v>7446280.781846</v>
      </c>
      <c r="I19" s="50" t="n">
        <v>3376961.544465</v>
      </c>
      <c r="J19" s="50" t="n">
        <v>46819281.31015</v>
      </c>
      <c r="K19" s="50" t="n">
        <v>54786116.652242</v>
      </c>
      <c r="L19" s="50" t="n">
        <v>3059164.527023</v>
      </c>
      <c r="M19" s="50" t="n">
        <v>-1580438.693838</v>
      </c>
      <c r="N19" s="50" t="n">
        <v>-312297.984613</v>
      </c>
      <c r="O19" s="50" t="n">
        <v>1166427.848572</v>
      </c>
      <c r="P19" s="50" t="n">
        <v>996212.126958</v>
      </c>
      <c r="Q19" s="45" t="n">
        <v>56961.52734375</v>
      </c>
      <c r="R19" s="35" t="inlineStr">
        <is>
          <t>CMF, estados mensuales 12/2025, MM$</t>
        </is>
      </c>
      <c r="S19" s="35" t="n"/>
    </row>
    <row r="20" ht="15" customHeight="1" s="31">
      <c r="A20" s="39" t="inlineStr">
        <is>
          <t>BSANTANDER</t>
        </is>
      </c>
      <c r="B20" s="39" t="n">
        <v>4</v>
      </c>
      <c r="C20" s="39" t="inlineStr">
        <is>
          <t>Financiero (bancos)</t>
        </is>
      </c>
      <c r="D20" s="49" t="n">
        <v>2017</v>
      </c>
      <c r="E20" s="38">
        <f>IFERROR(INDEX(Empresas!$H$2:$H$23,MATCH($A20,Empresas!$B$2:$B$23,0))&amp;"","")</f>
        <v/>
      </c>
      <c r="F20" s="50" t="n">
        <v>35804279</v>
      </c>
      <c r="G20" s="50" t="n">
        <v>32696216</v>
      </c>
      <c r="H20" s="50" t="n">
        <v>3108063</v>
      </c>
      <c r="I20" s="50" t="n">
        <v>1452922</v>
      </c>
      <c r="J20" s="50" t="n">
        <v>19682111</v>
      </c>
      <c r="K20" s="50" t="n">
        <v>26747542</v>
      </c>
      <c r="L20" s="50" t="n">
        <v>1822669</v>
      </c>
      <c r="M20" s="50" t="n">
        <v>-806551</v>
      </c>
      <c r="N20" s="50" t="n">
        <v>-299205</v>
      </c>
      <c r="O20" s="50" t="n">
        <v>720876</v>
      </c>
      <c r="P20" s="50" t="n">
        <v>577263</v>
      </c>
      <c r="Q20" s="45" t="n">
        <v>30.92245674133301</v>
      </c>
      <c r="R20" s="35" t="inlineStr">
        <is>
          <t>CMF, estados mensuales 12/2017, MM$</t>
        </is>
      </c>
      <c r="S20" s="35" t="n"/>
    </row>
    <row r="21" ht="15" customHeight="1" s="31">
      <c r="A21" s="39" t="inlineStr">
        <is>
          <t>BSANTANDER</t>
        </is>
      </c>
      <c r="B21" s="39" t="n">
        <v>4</v>
      </c>
      <c r="C21" s="39" t="inlineStr">
        <is>
          <t>Financiero (bancos)</t>
        </is>
      </c>
      <c r="D21" s="49" t="n">
        <v>2018</v>
      </c>
      <c r="E21" s="38">
        <f>IFERROR(INDEX(Empresas!$H$2:$H$23,MATCH($A21,Empresas!$B$2:$B$23,0))&amp;"","")</f>
        <v/>
      </c>
      <c r="F21" s="50" t="n">
        <v>39197356</v>
      </c>
      <c r="G21" s="50" t="n">
        <v>35911647</v>
      </c>
      <c r="H21" s="50" t="n">
        <v>3285709</v>
      </c>
      <c r="I21" s="50" t="n">
        <v>2065441</v>
      </c>
      <c r="J21" s="50" t="n">
        <v>21809236</v>
      </c>
      <c r="K21" s="50" t="n">
        <v>29470370</v>
      </c>
      <c r="L21" s="50" t="n">
        <v>1849861</v>
      </c>
      <c r="M21" s="50" t="n">
        <v>-767712</v>
      </c>
      <c r="N21" s="50" t="n">
        <v>-325085</v>
      </c>
      <c r="O21" s="50" t="n">
        <v>762159</v>
      </c>
      <c r="P21" s="50" t="n">
        <v>596262</v>
      </c>
      <c r="Q21" s="45" t="n">
        <v>34.66274642944336</v>
      </c>
      <c r="R21" s="35" t="inlineStr">
        <is>
          <t>CMF, estados mensuales 12/2018, MM$</t>
        </is>
      </c>
      <c r="S21" s="35" t="n"/>
    </row>
    <row r="22" ht="15" customHeight="1" s="31">
      <c r="A22" s="39" t="inlineStr">
        <is>
          <t>BSANTANDER</t>
        </is>
      </c>
      <c r="B22" s="39" t="n">
        <v>4</v>
      </c>
      <c r="C22" s="39" t="inlineStr">
        <is>
          <t>Financiero (bancos)</t>
        </is>
      </c>
      <c r="D22" s="49" t="n">
        <v>2019</v>
      </c>
      <c r="E22" s="38">
        <f>IFERROR(INDEX(Empresas!$H$2:$H$23,MATCH($A22,Empresas!$B$2:$B$23,0))&amp;"","")</f>
        <v/>
      </c>
      <c r="F22" s="50" t="n">
        <v>50578246</v>
      </c>
      <c r="G22" s="50" t="n">
        <v>47107929</v>
      </c>
      <c r="H22" s="50" t="n">
        <v>3470317</v>
      </c>
      <c r="I22" s="50" t="n">
        <v>3554520</v>
      </c>
      <c r="J22" s="50" t="n">
        <v>23490249</v>
      </c>
      <c r="K22" s="50" t="n">
        <v>31823735</v>
      </c>
      <c r="L22" s="50" t="n">
        <v>1935554</v>
      </c>
      <c r="M22" s="50" t="n">
        <v>-813608</v>
      </c>
      <c r="N22" s="50" t="n">
        <v>-420447</v>
      </c>
      <c r="O22" s="50" t="n">
        <v>702645</v>
      </c>
      <c r="P22" s="50" t="n">
        <v>554176</v>
      </c>
      <c r="Q22" s="45" t="n">
        <v>29.93838119506836</v>
      </c>
      <c r="R22" s="35" t="inlineStr">
        <is>
          <t>CMF, estados mensuales 12/2019, MM$</t>
        </is>
      </c>
      <c r="S22" s="35" t="n"/>
    </row>
    <row r="23" ht="15" customHeight="1" s="31">
      <c r="A23" s="39" t="inlineStr">
        <is>
          <t>BSANTANDER</t>
        </is>
      </c>
      <c r="B23" s="39" t="n">
        <v>4</v>
      </c>
      <c r="C23" s="39" t="inlineStr">
        <is>
          <t>Financiero (bancos)</t>
        </is>
      </c>
      <c r="D23" s="49" t="n">
        <v>2020</v>
      </c>
      <c r="E23" s="38">
        <f>IFERROR(INDEX(Empresas!$H$2:$H$23,MATCH($A23,Empresas!$B$2:$B$23,0))&amp;"","")</f>
        <v/>
      </c>
      <c r="F23" s="50" t="n">
        <v>55776077</v>
      </c>
      <c r="G23" s="50" t="n">
        <v>52123478</v>
      </c>
      <c r="H23" s="50" t="n">
        <v>3652599</v>
      </c>
      <c r="I23" s="50" t="n">
        <v>2803288</v>
      </c>
      <c r="J23" s="50" t="n">
        <v>25142684</v>
      </c>
      <c r="K23" s="50" t="n">
        <v>33413429</v>
      </c>
      <c r="L23" s="50" t="n">
        <v>2024363</v>
      </c>
      <c r="M23" s="50" t="n">
        <v>-860992</v>
      </c>
      <c r="N23" s="50" t="n">
        <v>-511073</v>
      </c>
      <c r="O23" s="50" t="n">
        <v>653686</v>
      </c>
      <c r="P23" s="50" t="n">
        <v>522563</v>
      </c>
      <c r="Q23" s="45" t="n">
        <v>25.03562164306641</v>
      </c>
      <c r="R23" s="35" t="inlineStr">
        <is>
          <t>CMF, estados mensuales 12/2020, MM$</t>
        </is>
      </c>
      <c r="S23" s="35" t="n"/>
    </row>
    <row r="24" ht="15" customHeight="1" s="31">
      <c r="A24" s="39" t="inlineStr">
        <is>
          <t>BSANTANDER</t>
        </is>
      </c>
      <c r="B24" s="39" t="n">
        <v>4</v>
      </c>
      <c r="C24" s="39" t="inlineStr">
        <is>
          <t>Financiero (bancos)</t>
        </is>
      </c>
      <c r="D24" s="49" t="n">
        <v>2021</v>
      </c>
      <c r="E24" s="38">
        <f>IFERROR(INDEX(Empresas!$H$2:$H$23,MATCH($A24,Empresas!$B$2:$B$23,0))&amp;"","")</f>
        <v/>
      </c>
      <c r="F24" s="50" t="n">
        <v>63671025</v>
      </c>
      <c r="G24" s="50" t="n">
        <v>60176445</v>
      </c>
      <c r="H24" s="50" t="n">
        <v>3494580</v>
      </c>
      <c r="I24" s="50" t="n">
        <v>2881558</v>
      </c>
      <c r="J24" s="50" t="n">
        <v>28031993</v>
      </c>
      <c r="K24" s="50" t="n">
        <v>35675579</v>
      </c>
      <c r="L24" s="50" t="n">
        <v>2302755</v>
      </c>
      <c r="M24" s="50" t="n">
        <v>-916918</v>
      </c>
      <c r="N24" s="50" t="n">
        <v>-405575</v>
      </c>
      <c r="O24" s="50" t="n">
        <v>979599</v>
      </c>
      <c r="P24" s="50" t="n">
        <v>784920</v>
      </c>
      <c r="Q24" s="45" t="n">
        <v>26.13964462280273</v>
      </c>
      <c r="R24" s="35" t="inlineStr">
        <is>
          <t>CMF, estados mensuales 12/2021, MM$</t>
        </is>
      </c>
      <c r="S24" s="35" t="n"/>
    </row>
    <row r="25" ht="15" customHeight="1" s="31">
      <c r="A25" s="39" t="inlineStr">
        <is>
          <t>BSANTANDER</t>
        </is>
      </c>
      <c r="B25" s="39" t="n">
        <v>4</v>
      </c>
      <c r="C25" s="39" t="inlineStr">
        <is>
          <t>Financiero (bancos)</t>
        </is>
      </c>
      <c r="D25" s="49" t="n">
        <v>2022</v>
      </c>
      <c r="E25" s="38">
        <f>IFERROR(INDEX(Empresas!$H$2:$H$23,MATCH($A25,Empresas!$B$2:$B$23,0))&amp;"","")</f>
        <v/>
      </c>
      <c r="F25" s="50" t="n">
        <v>68164602.712428</v>
      </c>
      <c r="G25" s="50" t="n">
        <v>63926231.176744</v>
      </c>
      <c r="H25" s="50" t="n">
        <v>4238371.535684</v>
      </c>
      <c r="I25" s="50" t="n">
        <v>1982942.136731</v>
      </c>
      <c r="J25" s="50" t="n">
        <v>27065015.083902</v>
      </c>
      <c r="K25" s="50" t="n">
        <v>37659885.58194499</v>
      </c>
      <c r="L25" s="50" t="n">
        <v>2245338.587468</v>
      </c>
      <c r="M25" s="50" t="n">
        <v>-961324.608841</v>
      </c>
      <c r="N25" s="50" t="n">
        <v>-370726.643249</v>
      </c>
      <c r="O25" s="50" t="n">
        <v>913287.3353779999</v>
      </c>
      <c r="P25" s="50" t="n">
        <v>823857.067647</v>
      </c>
      <c r="Q25" s="45" t="n">
        <v>27.42378616333008</v>
      </c>
      <c r="R25" s="35" t="inlineStr">
        <is>
          <t>CMF, estados mensuales 12/2022, MM$</t>
        </is>
      </c>
      <c r="S25" s="35" t="n"/>
    </row>
    <row r="26" ht="15" customHeight="1" s="31">
      <c r="A26" s="39" t="inlineStr">
        <is>
          <t>BSANTANDER</t>
        </is>
      </c>
      <c r="B26" s="39" t="n">
        <v>4</v>
      </c>
      <c r="C26" s="39" t="inlineStr">
        <is>
          <t>Financiero (bancos)</t>
        </is>
      </c>
      <c r="D26" s="49" t="n">
        <v>2023</v>
      </c>
      <c r="E26" s="38">
        <f>IFERROR(INDEX(Empresas!$H$2:$H$23,MATCH($A26,Empresas!$B$2:$B$23,0))&amp;"","")</f>
        <v/>
      </c>
      <c r="F26" s="50" t="n">
        <v>70857886.050363</v>
      </c>
      <c r="G26" s="50" t="n">
        <v>66365992.670146</v>
      </c>
      <c r="H26" s="50" t="n">
        <v>4491893.380217</v>
      </c>
      <c r="I26" s="50" t="n">
        <v>2723282.275669</v>
      </c>
      <c r="J26" s="50" t="n">
        <v>29675768.177256</v>
      </c>
      <c r="K26" s="50" t="n">
        <v>39589456.918326</v>
      </c>
      <c r="L26" s="50" t="n">
        <v>1950444.228916</v>
      </c>
      <c r="M26" s="50" t="n">
        <v>-909696.724527</v>
      </c>
      <c r="N26" s="50" t="n">
        <v>-473592.578534</v>
      </c>
      <c r="O26" s="50" t="n">
        <v>567154.9258549999</v>
      </c>
      <c r="P26" s="50" t="n">
        <v>510813.647258</v>
      </c>
      <c r="Q26" s="45" t="n">
        <v>37.26714324951172</v>
      </c>
      <c r="R26" s="35" t="inlineStr">
        <is>
          <t>CMF, estados mensuales 12/2023, MM$</t>
        </is>
      </c>
      <c r="S26" s="35" t="n"/>
    </row>
    <row r="27" ht="15" customHeight="1" s="31">
      <c r="A27" s="39" t="inlineStr">
        <is>
          <t>BSANTANDER</t>
        </is>
      </c>
      <c r="B27" s="39" t="n">
        <v>4</v>
      </c>
      <c r="C27" s="39" t="inlineStr">
        <is>
          <t>Financiero (bancos)</t>
        </is>
      </c>
      <c r="D27" s="49" t="n">
        <v>2024</v>
      </c>
      <c r="E27" s="38">
        <f>IFERROR(INDEX(Empresas!$H$2:$H$23,MATCH($A27,Empresas!$B$2:$B$23,0))&amp;"","")</f>
        <v/>
      </c>
      <c r="F27" s="50" t="n">
        <v>68458932.329303</v>
      </c>
      <c r="G27" s="50" t="n">
        <v>64062098.87047999</v>
      </c>
      <c r="H27" s="50" t="n">
        <v>4396833.458823</v>
      </c>
      <c r="I27" s="50" t="n">
        <v>2695559.737571</v>
      </c>
      <c r="J27" s="50" t="n">
        <v>31359234.204453</v>
      </c>
      <c r="K27" s="50" t="n">
        <v>40078239.978981</v>
      </c>
      <c r="L27" s="50" t="n">
        <v>2622870.001496</v>
      </c>
      <c r="M27" s="50" t="n">
        <v>-1022719.192652</v>
      </c>
      <c r="N27" s="50" t="n">
        <v>-525831.278578</v>
      </c>
      <c r="O27" s="50" t="n">
        <v>1074319.530266</v>
      </c>
      <c r="P27" s="50" t="n">
        <v>864508.774871</v>
      </c>
      <c r="Q27" s="45" t="n">
        <v>42.725341796875</v>
      </c>
      <c r="R27" s="35" t="inlineStr">
        <is>
          <t>CMF, estados mensuales 12/2024, MM$</t>
        </is>
      </c>
      <c r="S27" s="35" t="n"/>
    </row>
    <row r="28" ht="15" customHeight="1" s="31">
      <c r="A28" s="39" t="inlineStr">
        <is>
          <t>BSANTANDER</t>
        </is>
      </c>
      <c r="B28" s="39" t="n">
        <v>4</v>
      </c>
      <c r="C28" s="39" t="inlineStr">
        <is>
          <t>Financiero (bancos)</t>
        </is>
      </c>
      <c r="D28" s="49" t="n">
        <v>2025</v>
      </c>
      <c r="E28" s="38">
        <f>IFERROR(INDEX(Empresas!$H$2:$H$23,MATCH($A28,Empresas!$B$2:$B$23,0))&amp;"","")</f>
        <v/>
      </c>
      <c r="F28" s="50" t="n">
        <v>68094955.822458</v>
      </c>
      <c r="G28" s="50" t="n">
        <v>63255316.842143</v>
      </c>
      <c r="H28" s="50" t="n">
        <v>4839638.980315</v>
      </c>
      <c r="I28" s="50" t="n">
        <v>1975644.39867</v>
      </c>
      <c r="J28" s="50" t="n">
        <v>30569372.490284</v>
      </c>
      <c r="K28" s="50" t="n">
        <v>39523603.155395</v>
      </c>
      <c r="L28" s="50" t="n">
        <v>2891433.765076</v>
      </c>
      <c r="M28" s="50" t="n">
        <v>-1041115.963349</v>
      </c>
      <c r="N28" s="50" t="n">
        <v>-572771.721735</v>
      </c>
      <c r="O28" s="50" t="n">
        <v>1277546.079992</v>
      </c>
      <c r="P28" s="50" t="n">
        <v>1069611.591506</v>
      </c>
      <c r="Q28" s="45" t="n">
        <v>67.87806701660156</v>
      </c>
      <c r="R28" s="35" t="inlineStr">
        <is>
          <t>CMF, estados mensuales 12/2025, MM$</t>
        </is>
      </c>
      <c r="S28" s="35" t="n"/>
    </row>
    <row r="29" ht="15" customHeight="1" s="31">
      <c r="A29" s="39" t="inlineStr">
        <is>
          <t>ITAUCL</t>
        </is>
      </c>
      <c r="B29" s="39" t="n">
        <v>4</v>
      </c>
      <c r="C29" s="39" t="inlineStr">
        <is>
          <t>Financiero (bancos)</t>
        </is>
      </c>
      <c r="D29" s="49" t="n">
        <v>2017</v>
      </c>
      <c r="E29" s="38">
        <f>IFERROR(INDEX(Empresas!$H$2:$H$23,MATCH($A29,Empresas!$B$2:$B$23,0))&amp;"","")</f>
        <v/>
      </c>
      <c r="F29" s="50" t="n">
        <v>28096492</v>
      </c>
      <c r="G29" s="50" t="n">
        <v>24696662</v>
      </c>
      <c r="H29" s="50" t="n">
        <v>3399830</v>
      </c>
      <c r="I29" s="50" t="n">
        <v>964030</v>
      </c>
      <c r="J29" s="50" t="n">
        <v>14206910</v>
      </c>
      <c r="K29" s="50" t="n">
        <v>19767434</v>
      </c>
      <c r="L29" s="50" t="n">
        <v>1054213</v>
      </c>
      <c r="M29" s="50" t="n">
        <v>-729170</v>
      </c>
      <c r="N29" s="50" t="n">
        <v>-339118</v>
      </c>
      <c r="O29" s="50" t="n">
        <v>-12596</v>
      </c>
      <c r="P29" s="50" t="n">
        <v>53314</v>
      </c>
      <c r="Q29" s="45" t="n">
        <v>17278.591796875</v>
      </c>
      <c r="R29" s="35" t="inlineStr">
        <is>
          <t>CMF, estados mensuales 12/2017, MM$</t>
        </is>
      </c>
      <c r="S29" s="35" t="n"/>
    </row>
    <row r="30" ht="15" customHeight="1" s="31">
      <c r="A30" s="39" t="inlineStr">
        <is>
          <t>ITAUCL</t>
        </is>
      </c>
      <c r="B30" s="39" t="n">
        <v>4</v>
      </c>
      <c r="C30" s="39" t="inlineStr">
        <is>
          <t>Financiero (bancos)</t>
        </is>
      </c>
      <c r="D30" s="49" t="n">
        <v>2018</v>
      </c>
      <c r="E30" s="38">
        <f>IFERROR(INDEX(Empresas!$H$2:$H$23,MATCH($A30,Empresas!$B$2:$B$23,0))&amp;"","")</f>
        <v/>
      </c>
      <c r="F30" s="50" t="n">
        <v>29501905</v>
      </c>
      <c r="G30" s="50" t="n">
        <v>25954293</v>
      </c>
      <c r="H30" s="50" t="n">
        <v>3547612</v>
      </c>
      <c r="I30" s="50" t="n">
        <v>987680</v>
      </c>
      <c r="J30" s="50" t="n">
        <v>14421586</v>
      </c>
      <c r="K30" s="50" t="n">
        <v>20880186</v>
      </c>
      <c r="L30" s="50" t="n">
        <v>1245153</v>
      </c>
      <c r="M30" s="50" t="n">
        <v>-749451</v>
      </c>
      <c r="N30" s="50" t="n">
        <v>-242490</v>
      </c>
      <c r="O30" s="50" t="n">
        <v>254740</v>
      </c>
      <c r="P30" s="50" t="n">
        <v>176846</v>
      </c>
      <c r="Q30" s="45" t="n">
        <v>20158.298828125</v>
      </c>
      <c r="R30" s="35" t="inlineStr">
        <is>
          <t>CMF, estados mensuales 12/2018, MM$</t>
        </is>
      </c>
      <c r="S30" s="35" t="n"/>
    </row>
    <row r="31" ht="15" customHeight="1" s="31">
      <c r="A31" s="39" t="inlineStr">
        <is>
          <t>ITAUCL</t>
        </is>
      </c>
      <c r="B31" s="39" t="n">
        <v>4</v>
      </c>
      <c r="C31" s="39" t="inlineStr">
        <is>
          <t>Financiero (bancos)</t>
        </is>
      </c>
      <c r="D31" s="49" t="n">
        <v>2019</v>
      </c>
      <c r="E31" s="38">
        <f>IFERROR(INDEX(Empresas!$H$2:$H$23,MATCH($A31,Empresas!$B$2:$B$23,0))&amp;"","")</f>
        <v/>
      </c>
      <c r="F31" s="50" t="n">
        <v>33785687</v>
      </c>
      <c r="G31" s="50" t="n">
        <v>30345302</v>
      </c>
      <c r="H31" s="50" t="n">
        <v>3440385</v>
      </c>
      <c r="I31" s="50" t="n">
        <v>1009681</v>
      </c>
      <c r="J31" s="50" t="n">
        <v>16493635</v>
      </c>
      <c r="K31" s="50" t="n">
        <v>22418942</v>
      </c>
      <c r="L31" s="50" t="n">
        <v>1236084</v>
      </c>
      <c r="M31" s="50" t="n">
        <v>-740975</v>
      </c>
      <c r="N31" s="50" t="n">
        <v>-322693</v>
      </c>
      <c r="O31" s="50" t="n">
        <v>179248</v>
      </c>
      <c r="P31" s="50" t="n">
        <v>132464</v>
      </c>
      <c r="Q31" s="45" t="n">
        <v>13793</v>
      </c>
      <c r="R31" s="35" t="inlineStr">
        <is>
          <t>CMF, estados mensuales 12/2019, MM$</t>
        </is>
      </c>
      <c r="S31" s="35" t="n"/>
    </row>
    <row r="32" ht="15" customHeight="1" s="31">
      <c r="A32" s="39" t="inlineStr">
        <is>
          <t>ITAUCL</t>
        </is>
      </c>
      <c r="B32" s="39" t="n">
        <v>4</v>
      </c>
      <c r="C32" s="39" t="inlineStr">
        <is>
          <t>Financiero (bancos)</t>
        </is>
      </c>
      <c r="D32" s="49" t="n">
        <v>2020</v>
      </c>
      <c r="E32" s="38">
        <f>IFERROR(INDEX(Empresas!$H$2:$H$23,MATCH($A32,Empresas!$B$2:$B$23,0))&amp;"","")</f>
        <v/>
      </c>
      <c r="F32" s="50" t="n">
        <v>35687490</v>
      </c>
      <c r="G32" s="50" t="n">
        <v>33299164</v>
      </c>
      <c r="H32" s="50" t="n">
        <v>2388326</v>
      </c>
      <c r="I32" s="50" t="n">
        <v>3089072</v>
      </c>
      <c r="J32" s="50" t="n">
        <v>17630470</v>
      </c>
      <c r="K32" s="50" t="n">
        <v>21731758</v>
      </c>
      <c r="L32" s="50" t="n">
        <v>1078433</v>
      </c>
      <c r="M32" s="50" t="n">
        <v>-1627914</v>
      </c>
      <c r="N32" s="50" t="n">
        <v>-528459</v>
      </c>
      <c r="O32" s="50" t="n">
        <v>-1079279</v>
      </c>
      <c r="P32" s="50" t="n">
        <v>-938617</v>
      </c>
      <c r="Q32" s="45" t="n">
        <v>8234.7822265625</v>
      </c>
      <c r="R32" s="35" t="inlineStr">
        <is>
          <t>CMF, estados mensuales 12/2020, MM$</t>
        </is>
      </c>
      <c r="S32" s="35" t="n"/>
    </row>
    <row r="33" ht="15" customHeight="1" s="31">
      <c r="A33" s="39" t="inlineStr">
        <is>
          <t>ITAUCL</t>
        </is>
      </c>
      <c r="B33" s="39" t="n">
        <v>4</v>
      </c>
      <c r="C33" s="39" t="inlineStr">
        <is>
          <t>Financiero (bancos)</t>
        </is>
      </c>
      <c r="D33" s="49" t="n">
        <v>2021</v>
      </c>
      <c r="E33" s="38">
        <f>IFERROR(INDEX(Empresas!$H$2:$H$23,MATCH($A33,Empresas!$B$2:$B$23,0))&amp;"","")</f>
        <v/>
      </c>
      <c r="F33" s="50" t="n">
        <v>37823050</v>
      </c>
      <c r="G33" s="50" t="n">
        <v>34470708</v>
      </c>
      <c r="H33" s="50" t="n">
        <v>3352342</v>
      </c>
      <c r="I33" s="50" t="n">
        <v>3473392</v>
      </c>
      <c r="J33" s="50" t="n">
        <v>17673538</v>
      </c>
      <c r="K33" s="50" t="n">
        <v>23992375</v>
      </c>
      <c r="L33" s="50" t="n">
        <v>1326196</v>
      </c>
      <c r="M33" s="50" t="n">
        <v>-714897</v>
      </c>
      <c r="N33" s="50" t="n">
        <v>-221686</v>
      </c>
      <c r="O33" s="50" t="n">
        <v>391196</v>
      </c>
      <c r="P33" s="50" t="n">
        <v>278810</v>
      </c>
      <c r="Q33" s="45" t="n">
        <v>5678.2099609375</v>
      </c>
      <c r="R33" s="35" t="inlineStr">
        <is>
          <t>CMF, estados mensuales 12/2021, MM$</t>
        </is>
      </c>
      <c r="S33" s="35" t="n"/>
    </row>
    <row r="34" ht="15" customHeight="1" s="31">
      <c r="A34" s="39" t="inlineStr">
        <is>
          <t>ITAUCL</t>
        </is>
      </c>
      <c r="B34" s="39" t="n">
        <v>4</v>
      </c>
      <c r="C34" s="39" t="inlineStr">
        <is>
          <t>Financiero (bancos)</t>
        </is>
      </c>
      <c r="D34" s="49" t="n">
        <v>2022</v>
      </c>
      <c r="E34" s="38">
        <f>IFERROR(INDEX(Empresas!$H$2:$H$23,MATCH($A34,Empresas!$B$2:$B$23,0))&amp;"","")</f>
        <v/>
      </c>
      <c r="F34" s="50" t="n">
        <v>40536478.400314</v>
      </c>
      <c r="G34" s="50" t="n">
        <v>37213719.336515</v>
      </c>
      <c r="H34" s="50" t="n">
        <v>3322759.063799</v>
      </c>
      <c r="I34" s="50" t="n">
        <v>3043243.161232</v>
      </c>
      <c r="J34" s="50" t="n">
        <v>18258838.08277</v>
      </c>
      <c r="K34" s="50" t="n">
        <v>25934948.525336</v>
      </c>
      <c r="L34" s="50" t="n">
        <v>1449280.449396</v>
      </c>
      <c r="M34" s="50" t="n">
        <v>-755052.419579</v>
      </c>
      <c r="N34" s="50" t="n">
        <v>-291949.232543</v>
      </c>
      <c r="O34" s="50" t="n">
        <v>402278.797274</v>
      </c>
      <c r="P34" s="50" t="n">
        <v>433785.282122</v>
      </c>
      <c r="Q34" s="45" t="n">
        <v>6784.779296875</v>
      </c>
      <c r="R34" s="35" t="inlineStr">
        <is>
          <t>CMF, estados mensuales 12/2022, MM$</t>
        </is>
      </c>
      <c r="S34" s="35" t="n"/>
    </row>
    <row r="35" ht="15" customHeight="1" s="31">
      <c r="A35" s="39" t="inlineStr">
        <is>
          <t>ITAUCL</t>
        </is>
      </c>
      <c r="B35" s="39" t="n">
        <v>4</v>
      </c>
      <c r="C35" s="39" t="inlineStr">
        <is>
          <t>Financiero (bancos)</t>
        </is>
      </c>
      <c r="D35" s="49" t="n">
        <v>2023</v>
      </c>
      <c r="E35" s="38">
        <f>IFERROR(INDEX(Empresas!$H$2:$H$23,MATCH($A35,Empresas!$B$2:$B$23,0))&amp;"","")</f>
        <v/>
      </c>
      <c r="F35" s="50" t="n">
        <v>41996219.52837799</v>
      </c>
      <c r="G35" s="50" t="n">
        <v>38259682.701376</v>
      </c>
      <c r="H35" s="50" t="n">
        <v>3736536.827002</v>
      </c>
      <c r="I35" s="50" t="n">
        <v>2457793.162548</v>
      </c>
      <c r="J35" s="50" t="n">
        <v>19791305.797297</v>
      </c>
      <c r="K35" s="50" t="n">
        <v>26770106.476583</v>
      </c>
      <c r="L35" s="50" t="n">
        <v>1501993.510236</v>
      </c>
      <c r="M35" s="50" t="n">
        <v>-767249.6473579999</v>
      </c>
      <c r="N35" s="50" t="n">
        <v>-350077.066583</v>
      </c>
      <c r="O35" s="50" t="n">
        <v>384666.796295</v>
      </c>
      <c r="P35" s="50" t="n">
        <v>354883.22611</v>
      </c>
      <c r="Q35" s="45" t="n">
        <v>7428.013671875</v>
      </c>
      <c r="R35" s="35" t="inlineStr">
        <is>
          <t>CMF, estados mensuales 12/2023, MM$</t>
        </is>
      </c>
      <c r="S35" s="35" t="n"/>
    </row>
    <row r="36" ht="15" customHeight="1" s="31">
      <c r="A36" s="39" t="inlineStr">
        <is>
          <t>ITAUCL</t>
        </is>
      </c>
      <c r="B36" s="39" t="n">
        <v>4</v>
      </c>
      <c r="C36" s="39" t="inlineStr">
        <is>
          <t>Financiero (bancos)</t>
        </is>
      </c>
      <c r="D36" s="49" t="n">
        <v>2024</v>
      </c>
      <c r="E36" s="38">
        <f>IFERROR(INDEX(Empresas!$H$2:$H$23,MATCH($A36,Empresas!$B$2:$B$23,0))&amp;"","")</f>
        <v/>
      </c>
      <c r="F36" s="50" t="n">
        <v>42549684.443195</v>
      </c>
      <c r="G36" s="50" t="n">
        <v>38574853.636061</v>
      </c>
      <c r="H36" s="50" t="n">
        <v>3974830.807134</v>
      </c>
      <c r="I36" s="50" t="n">
        <v>3345968.659207</v>
      </c>
      <c r="J36" s="50" t="n">
        <v>20826565.193035</v>
      </c>
      <c r="K36" s="50" t="n">
        <v>27073368.416225</v>
      </c>
      <c r="L36" s="50" t="n">
        <v>1625749.926075</v>
      </c>
      <c r="M36" s="50" t="n">
        <v>-808823.5566979999</v>
      </c>
      <c r="N36" s="50" t="n">
        <v>-323854.667138</v>
      </c>
      <c r="O36" s="50" t="n">
        <v>493071.702239</v>
      </c>
      <c r="P36" s="50" t="n">
        <v>376701.643746</v>
      </c>
      <c r="Q36" s="45" t="n">
        <v>9235.115234375</v>
      </c>
      <c r="R36" s="35" t="inlineStr">
        <is>
          <t>CMF, estados mensuales 12/2024, MM$</t>
        </is>
      </c>
      <c r="S36" s="35" t="n"/>
    </row>
    <row r="37" ht="15" customHeight="1" s="31">
      <c r="A37" s="39" t="inlineStr">
        <is>
          <t>ITAUCL</t>
        </is>
      </c>
      <c r="B37" s="39" t="n">
        <v>4</v>
      </c>
      <c r="C37" s="39" t="inlineStr">
        <is>
          <t>Financiero (bancos)</t>
        </is>
      </c>
      <c r="D37" s="49" t="n">
        <v>2025</v>
      </c>
      <c r="E37" s="38">
        <f>IFERROR(INDEX(Empresas!$H$2:$H$23,MATCH($A37,Empresas!$B$2:$B$23,0))&amp;"","")</f>
        <v/>
      </c>
      <c r="F37" s="50" t="n">
        <v>43916278.089603</v>
      </c>
      <c r="G37" s="50" t="n">
        <v>39607525.36813699</v>
      </c>
      <c r="H37" s="50" t="n">
        <v>4308752.721466</v>
      </c>
      <c r="I37" s="50" t="n">
        <v>2892660.292231</v>
      </c>
      <c r="J37" s="50" t="n">
        <v>21456814.478452</v>
      </c>
      <c r="K37" s="50" t="n">
        <v>28119106.173956</v>
      </c>
      <c r="L37" s="50" t="n">
        <v>1518132.996381</v>
      </c>
      <c r="M37" s="50" t="n">
        <v>-834788.79582</v>
      </c>
      <c r="N37" s="50" t="n">
        <v>-319328.387222</v>
      </c>
      <c r="O37" s="50" t="n">
        <v>364015.813339</v>
      </c>
      <c r="P37" s="50" t="n">
        <v>428108.5252</v>
      </c>
      <c r="Q37" s="45" t="n">
        <v>18837.978515625</v>
      </c>
      <c r="R37" s="35" t="inlineStr">
        <is>
          <t>CMF, estados mensuales 12/2025, MM$</t>
        </is>
      </c>
      <c r="S37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1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30" min="1" max="1"/>
    <col width="7" customWidth="1" style="30" min="2" max="2"/>
    <col width="30" customWidth="1" style="30" min="3" max="3"/>
    <col width="7" customWidth="1" style="30" min="4" max="4"/>
    <col width="15" customWidth="1" style="30" min="5" max="5"/>
    <col width="11" customWidth="1" style="30" min="6" max="6"/>
    <col width="12" customWidth="1" style="30" min="7" max="7"/>
    <col width="11" customWidth="1" style="30" min="8" max="8"/>
    <col width="12" customWidth="1" style="30" min="9" max="9"/>
    <col width="13" customWidth="1" style="30" min="10" max="10"/>
    <col width="11" customWidth="1" style="30" min="11" max="12"/>
    <col width="12" customWidth="1" style="30" min="13" max="14"/>
    <col width="10" customWidth="1" style="30" min="15" max="15"/>
    <col width="12" customWidth="1" style="30" min="16" max="16"/>
  </cols>
  <sheetData>
    <row r="1" ht="42" customHeight="1" s="31">
      <c r="A1" s="43" t="inlineStr">
        <is>
          <t>nemotecnico</t>
        </is>
      </c>
      <c r="B1" s="43" t="inlineStr">
        <is>
          <t>cod_sector</t>
        </is>
      </c>
      <c r="C1" s="43" t="inlineStr">
        <is>
          <t>sector</t>
        </is>
      </c>
      <c r="D1" s="43" t="inlineStr">
        <is>
          <t>anio</t>
        </is>
      </c>
      <c r="E1" s="43" t="inlineStr">
        <is>
          <t>EBIT</t>
        </is>
      </c>
      <c r="F1" s="43" t="inlineStr">
        <is>
          <t>F1_liquidez</t>
        </is>
      </c>
      <c r="G1" s="43" t="inlineStr">
        <is>
          <t>F2_capital_trabajo</t>
        </is>
      </c>
      <c r="H1" s="43" t="inlineStr">
        <is>
          <t>F3_eficiencia</t>
        </is>
      </c>
      <c r="I1" s="43" t="inlineStr">
        <is>
          <t>F4_rentabilidad_ROA</t>
        </is>
      </c>
      <c r="J1" s="43" t="inlineStr">
        <is>
          <t>F5_endeudamiento</t>
        </is>
      </c>
      <c r="K1" s="43" t="inlineStr">
        <is>
          <t>F6_cobertura</t>
        </is>
      </c>
      <c r="L1" s="43" t="inlineStr">
        <is>
          <t>F7_uso_activos</t>
        </is>
      </c>
      <c r="M1" s="43" t="inlineStr">
        <is>
          <t>F8_mercado_retorno</t>
        </is>
      </c>
      <c r="N1" s="43" t="inlineStr">
        <is>
          <t>ROE_descriptivo</t>
        </is>
      </c>
      <c r="O1" s="43" t="inlineStr">
        <is>
          <t>familias_validas</t>
        </is>
      </c>
      <c r="P1" s="43" t="inlineStr">
        <is>
          <t>cuadre_contable</t>
        </is>
      </c>
    </row>
    <row r="2" ht="15" customHeight="1" s="31">
      <c r="A2" s="51">
        <f>Captura_NoFin!A2</f>
        <v/>
      </c>
      <c r="B2" s="51">
        <f>Captura_NoFin!B2</f>
        <v/>
      </c>
      <c r="C2" s="51">
        <f>Captura_NoFin!C2</f>
        <v/>
      </c>
      <c r="D2" s="52">
        <f>Captura_NoFin!D2</f>
        <v/>
      </c>
      <c r="E2" s="53">
        <f>IF(COUNT(Captura_NoFin!M2,Captura_NoFin!L2)&lt;2,"",Captura_NoFin!M2+ABS(Captura_NoFin!L2))</f>
        <v/>
      </c>
      <c r="F2" s="54">
        <f>IF(COUNT(Captura_NoFin!F2,Captura_NoFin!G2)&lt;2,"",IFERROR(Captura_NoFin!F2/Captura_NoFin!G2,""))</f>
        <v/>
      </c>
      <c r="G2" s="55">
        <f>IF(COUNT(Captura_NoFin!F2,Captura_NoFin!G2,Captura_NoFin!H2)&lt;3,"",IFERROR((Captura_NoFin!F2-Captura_NoFin!G2)/Captura_NoFin!H2,""))</f>
        <v/>
      </c>
      <c r="H2" s="55">
        <f>IF(OR(E2="",COUNT(Captura_NoFin!K2)&lt;1),"",IFERROR(E2/Captura_NoFin!K2,""))</f>
        <v/>
      </c>
      <c r="I2" s="55">
        <f>IF(COUNT(Captura_NoFin!N2,Captura_NoFin!H2)&lt;2,"",IFERROR(Captura_NoFin!N2/Captura_NoFin!H2,""))</f>
        <v/>
      </c>
      <c r="J2" s="55">
        <f>IF(COUNT(Captura_NoFin!I2,Captura_NoFin!H2)&lt;2,"",IFERROR(Captura_NoFin!I2/Captura_NoFin!H2,""))</f>
        <v/>
      </c>
      <c r="K2" s="54">
        <f>IF(OR(E2="",COUNT(Captura_NoFin!L2)&lt;1),"",IFERROR(E2/ABS(Captura_NoFin!L2),""))</f>
        <v/>
      </c>
      <c r="L2" s="54">
        <f>IF(COUNT(Captura_NoFin!K2,Captura_NoFin!H2)&lt;2,"",IFERROR(Captura_NoFin!K2/Captura_NoFin!H2,""))</f>
        <v/>
      </c>
      <c r="M2" s="55">
        <f>IF(COUNT(Captura_NoFin!R2)&lt;1,"",IFERROR(IF(D2=2017,Captura_NoFin!R2/INDEX(Empresas!$I$2:$I$23,MATCH($A2,Empresas!$B$2:$B$23,0))-1,IF(COUNT(Captura_NoFin!R1)&lt;1,"",Captura_NoFin!R2/Captura_NoFin!R1-1)),""))</f>
        <v/>
      </c>
      <c r="N2" s="55">
        <f>IF(COUNT(Captura_NoFin!P2,Captura_NoFin!O2)&lt;2,"",IF(Captura_NoFin!O2&lt;=0,"",Captura_NoFin!P2/Captura_NoFin!O2))</f>
        <v/>
      </c>
      <c r="O2" s="56">
        <f>COUNT(F2:M2)</f>
        <v/>
      </c>
      <c r="P2" s="57">
        <f>IF(COUNT(Captura_NoFin!H2,Captura_NoFin!I2,Captura_NoFin!J2)&lt;3,"",IF(ABS(Captura_NoFin!H2-Captura_NoFin!I2-Captura_NoFin!J2)&lt;=0.005*ABS(Captura_NoFin!H2),"OK","REVISAR"))</f>
        <v/>
      </c>
    </row>
    <row r="3" ht="15" customHeight="1" s="31">
      <c r="A3" s="51">
        <f>Captura_NoFin!A3</f>
        <v/>
      </c>
      <c r="B3" s="51">
        <f>Captura_NoFin!B3</f>
        <v/>
      </c>
      <c r="C3" s="51">
        <f>Captura_NoFin!C3</f>
        <v/>
      </c>
      <c r="D3" s="52">
        <f>Captura_NoFin!D3</f>
        <v/>
      </c>
      <c r="E3" s="53">
        <f>IF(COUNT(Captura_NoFin!M3,Captura_NoFin!L3)&lt;2,"",Captura_NoFin!M3+ABS(Captura_NoFin!L3))</f>
        <v/>
      </c>
      <c r="F3" s="54">
        <f>IF(COUNT(Captura_NoFin!F3,Captura_NoFin!G3)&lt;2,"",IFERROR(Captura_NoFin!F3/Captura_NoFin!G3,""))</f>
        <v/>
      </c>
      <c r="G3" s="55">
        <f>IF(COUNT(Captura_NoFin!F3,Captura_NoFin!G3,Captura_NoFin!H3)&lt;3,"",IFERROR((Captura_NoFin!F3-Captura_NoFin!G3)/Captura_NoFin!H3,""))</f>
        <v/>
      </c>
      <c r="H3" s="55">
        <f>IF(OR(E3="",COUNT(Captura_NoFin!K3)&lt;1),"",IFERROR(E3/Captura_NoFin!K3,""))</f>
        <v/>
      </c>
      <c r="I3" s="55">
        <f>IF(COUNT(Captura_NoFin!N3,Captura_NoFin!H3)&lt;2,"",IFERROR(Captura_NoFin!N3/Captura_NoFin!H3,""))</f>
        <v/>
      </c>
      <c r="J3" s="55">
        <f>IF(COUNT(Captura_NoFin!I3,Captura_NoFin!H3)&lt;2,"",IFERROR(Captura_NoFin!I3/Captura_NoFin!H3,""))</f>
        <v/>
      </c>
      <c r="K3" s="54">
        <f>IF(OR(E3="",COUNT(Captura_NoFin!L3)&lt;1),"",IFERROR(E3/ABS(Captura_NoFin!L3),""))</f>
        <v/>
      </c>
      <c r="L3" s="54">
        <f>IF(COUNT(Captura_NoFin!K3,Captura_NoFin!H3)&lt;2,"",IFERROR(Captura_NoFin!K3/Captura_NoFin!H3,""))</f>
        <v/>
      </c>
      <c r="M3" s="55">
        <f>IF(COUNT(Captura_NoFin!R3)&lt;1,"",IFERROR(IF(D3=2017,Captura_NoFin!R3/INDEX(Empresas!$I$2:$I$23,MATCH($A3,Empresas!$B$2:$B$23,0))-1,IF(COUNT(Captura_NoFin!R2)&lt;1,"",Captura_NoFin!R3/Captura_NoFin!R2-1)),""))</f>
        <v/>
      </c>
      <c r="N3" s="55">
        <f>IF(COUNT(Captura_NoFin!P3,Captura_NoFin!O3)&lt;2,"",IF(Captura_NoFin!O3&lt;=0,"",Captura_NoFin!P3/Captura_NoFin!O3))</f>
        <v/>
      </c>
      <c r="O3" s="56">
        <f>COUNT(F3:M3)</f>
        <v/>
      </c>
      <c r="P3" s="57">
        <f>IF(COUNT(Captura_NoFin!H3,Captura_NoFin!I3,Captura_NoFin!J3)&lt;3,"",IF(ABS(Captura_NoFin!H3-Captura_NoFin!I3-Captura_NoFin!J3)&lt;=0.005*ABS(Captura_NoFin!H3),"OK","REVISAR"))</f>
        <v/>
      </c>
    </row>
    <row r="4" ht="15" customHeight="1" s="31">
      <c r="A4" s="51">
        <f>Captura_NoFin!A4</f>
        <v/>
      </c>
      <c r="B4" s="51">
        <f>Captura_NoFin!B4</f>
        <v/>
      </c>
      <c r="C4" s="51">
        <f>Captura_NoFin!C4</f>
        <v/>
      </c>
      <c r="D4" s="52">
        <f>Captura_NoFin!D4</f>
        <v/>
      </c>
      <c r="E4" s="53">
        <f>IF(COUNT(Captura_NoFin!M4,Captura_NoFin!L4)&lt;2,"",Captura_NoFin!M4+ABS(Captura_NoFin!L4))</f>
        <v/>
      </c>
      <c r="F4" s="54">
        <f>IF(COUNT(Captura_NoFin!F4,Captura_NoFin!G4)&lt;2,"",IFERROR(Captura_NoFin!F4/Captura_NoFin!G4,""))</f>
        <v/>
      </c>
      <c r="G4" s="55">
        <f>IF(COUNT(Captura_NoFin!F4,Captura_NoFin!G4,Captura_NoFin!H4)&lt;3,"",IFERROR((Captura_NoFin!F4-Captura_NoFin!G4)/Captura_NoFin!H4,""))</f>
        <v/>
      </c>
      <c r="H4" s="55">
        <f>IF(OR(E4="",COUNT(Captura_NoFin!K4)&lt;1),"",IFERROR(E4/Captura_NoFin!K4,""))</f>
        <v/>
      </c>
      <c r="I4" s="55">
        <f>IF(COUNT(Captura_NoFin!N4,Captura_NoFin!H4)&lt;2,"",IFERROR(Captura_NoFin!N4/Captura_NoFin!H4,""))</f>
        <v/>
      </c>
      <c r="J4" s="55">
        <f>IF(COUNT(Captura_NoFin!I4,Captura_NoFin!H4)&lt;2,"",IFERROR(Captura_NoFin!I4/Captura_NoFin!H4,""))</f>
        <v/>
      </c>
      <c r="K4" s="54">
        <f>IF(OR(E4="",COUNT(Captura_NoFin!L4)&lt;1),"",IFERROR(E4/ABS(Captura_NoFin!L4),""))</f>
        <v/>
      </c>
      <c r="L4" s="54">
        <f>IF(COUNT(Captura_NoFin!K4,Captura_NoFin!H4)&lt;2,"",IFERROR(Captura_NoFin!K4/Captura_NoFin!H4,""))</f>
        <v/>
      </c>
      <c r="M4" s="55">
        <f>IF(COUNT(Captura_NoFin!R4)&lt;1,"",IFERROR(IF(D4=2017,Captura_NoFin!R4/INDEX(Empresas!$I$2:$I$23,MATCH($A4,Empresas!$B$2:$B$23,0))-1,IF(COUNT(Captura_NoFin!R3)&lt;1,"",Captura_NoFin!R4/Captura_NoFin!R3-1)),""))</f>
        <v/>
      </c>
      <c r="N4" s="55">
        <f>IF(COUNT(Captura_NoFin!P4,Captura_NoFin!O4)&lt;2,"",IF(Captura_NoFin!O4&lt;=0,"",Captura_NoFin!P4/Captura_NoFin!O4))</f>
        <v/>
      </c>
      <c r="O4" s="56">
        <f>COUNT(F4:M4)</f>
        <v/>
      </c>
      <c r="P4" s="57">
        <f>IF(COUNT(Captura_NoFin!H4,Captura_NoFin!I4,Captura_NoFin!J4)&lt;3,"",IF(ABS(Captura_NoFin!H4-Captura_NoFin!I4-Captura_NoFin!J4)&lt;=0.005*ABS(Captura_NoFin!H4),"OK","REVISAR"))</f>
        <v/>
      </c>
    </row>
    <row r="5" ht="15" customHeight="1" s="31">
      <c r="A5" s="51">
        <f>Captura_NoFin!A5</f>
        <v/>
      </c>
      <c r="B5" s="51">
        <f>Captura_NoFin!B5</f>
        <v/>
      </c>
      <c r="C5" s="51">
        <f>Captura_NoFin!C5</f>
        <v/>
      </c>
      <c r="D5" s="52">
        <f>Captura_NoFin!D5</f>
        <v/>
      </c>
      <c r="E5" s="53">
        <f>IF(COUNT(Captura_NoFin!M5,Captura_NoFin!L5)&lt;2,"",Captura_NoFin!M5+ABS(Captura_NoFin!L5))</f>
        <v/>
      </c>
      <c r="F5" s="54">
        <f>IF(COUNT(Captura_NoFin!F5,Captura_NoFin!G5)&lt;2,"",IFERROR(Captura_NoFin!F5/Captura_NoFin!G5,""))</f>
        <v/>
      </c>
      <c r="G5" s="55">
        <f>IF(COUNT(Captura_NoFin!F5,Captura_NoFin!G5,Captura_NoFin!H5)&lt;3,"",IFERROR((Captura_NoFin!F5-Captura_NoFin!G5)/Captura_NoFin!H5,""))</f>
        <v/>
      </c>
      <c r="H5" s="55">
        <f>IF(OR(E5="",COUNT(Captura_NoFin!K5)&lt;1),"",IFERROR(E5/Captura_NoFin!K5,""))</f>
        <v/>
      </c>
      <c r="I5" s="55">
        <f>IF(COUNT(Captura_NoFin!N5,Captura_NoFin!H5)&lt;2,"",IFERROR(Captura_NoFin!N5/Captura_NoFin!H5,""))</f>
        <v/>
      </c>
      <c r="J5" s="55">
        <f>IF(COUNT(Captura_NoFin!I5,Captura_NoFin!H5)&lt;2,"",IFERROR(Captura_NoFin!I5/Captura_NoFin!H5,""))</f>
        <v/>
      </c>
      <c r="K5" s="54">
        <f>IF(OR(E5="",COUNT(Captura_NoFin!L5)&lt;1),"",IFERROR(E5/ABS(Captura_NoFin!L5),""))</f>
        <v/>
      </c>
      <c r="L5" s="54">
        <f>IF(COUNT(Captura_NoFin!K5,Captura_NoFin!H5)&lt;2,"",IFERROR(Captura_NoFin!K5/Captura_NoFin!H5,""))</f>
        <v/>
      </c>
      <c r="M5" s="55">
        <f>IF(COUNT(Captura_NoFin!R5)&lt;1,"",IFERROR(IF(D5=2017,Captura_NoFin!R5/INDEX(Empresas!$I$2:$I$23,MATCH($A5,Empresas!$B$2:$B$23,0))-1,IF(COUNT(Captura_NoFin!R4)&lt;1,"",Captura_NoFin!R5/Captura_NoFin!R4-1)),""))</f>
        <v/>
      </c>
      <c r="N5" s="55">
        <f>IF(COUNT(Captura_NoFin!P5,Captura_NoFin!O5)&lt;2,"",IF(Captura_NoFin!O5&lt;=0,"",Captura_NoFin!P5/Captura_NoFin!O5))</f>
        <v/>
      </c>
      <c r="O5" s="56">
        <f>COUNT(F5:M5)</f>
        <v/>
      </c>
      <c r="P5" s="57">
        <f>IF(COUNT(Captura_NoFin!H5,Captura_NoFin!I5,Captura_NoFin!J5)&lt;3,"",IF(ABS(Captura_NoFin!H5-Captura_NoFin!I5-Captura_NoFin!J5)&lt;=0.005*ABS(Captura_NoFin!H5),"OK","REVISAR"))</f>
        <v/>
      </c>
    </row>
    <row r="6" ht="15" customHeight="1" s="31">
      <c r="A6" s="51">
        <f>Captura_NoFin!A6</f>
        <v/>
      </c>
      <c r="B6" s="51">
        <f>Captura_NoFin!B6</f>
        <v/>
      </c>
      <c r="C6" s="51">
        <f>Captura_NoFin!C6</f>
        <v/>
      </c>
      <c r="D6" s="52">
        <f>Captura_NoFin!D6</f>
        <v/>
      </c>
      <c r="E6" s="53">
        <f>IF(COUNT(Captura_NoFin!M6,Captura_NoFin!L6)&lt;2,"",Captura_NoFin!M6+ABS(Captura_NoFin!L6))</f>
        <v/>
      </c>
      <c r="F6" s="54">
        <f>IF(COUNT(Captura_NoFin!F6,Captura_NoFin!G6)&lt;2,"",IFERROR(Captura_NoFin!F6/Captura_NoFin!G6,""))</f>
        <v/>
      </c>
      <c r="G6" s="55">
        <f>IF(COUNT(Captura_NoFin!F6,Captura_NoFin!G6,Captura_NoFin!H6)&lt;3,"",IFERROR((Captura_NoFin!F6-Captura_NoFin!G6)/Captura_NoFin!H6,""))</f>
        <v/>
      </c>
      <c r="H6" s="55">
        <f>IF(OR(E6="",COUNT(Captura_NoFin!K6)&lt;1),"",IFERROR(E6/Captura_NoFin!K6,""))</f>
        <v/>
      </c>
      <c r="I6" s="55">
        <f>IF(COUNT(Captura_NoFin!N6,Captura_NoFin!H6)&lt;2,"",IFERROR(Captura_NoFin!N6/Captura_NoFin!H6,""))</f>
        <v/>
      </c>
      <c r="J6" s="55">
        <f>IF(COUNT(Captura_NoFin!I6,Captura_NoFin!H6)&lt;2,"",IFERROR(Captura_NoFin!I6/Captura_NoFin!H6,""))</f>
        <v/>
      </c>
      <c r="K6" s="54">
        <f>IF(OR(E6="",COUNT(Captura_NoFin!L6)&lt;1),"",IFERROR(E6/ABS(Captura_NoFin!L6),""))</f>
        <v/>
      </c>
      <c r="L6" s="54">
        <f>IF(COUNT(Captura_NoFin!K6,Captura_NoFin!H6)&lt;2,"",IFERROR(Captura_NoFin!K6/Captura_NoFin!H6,""))</f>
        <v/>
      </c>
      <c r="M6" s="55">
        <f>IF(COUNT(Captura_NoFin!R6)&lt;1,"",IFERROR(IF(D6=2017,Captura_NoFin!R6/INDEX(Empresas!$I$2:$I$23,MATCH($A6,Empresas!$B$2:$B$23,0))-1,IF(COUNT(Captura_NoFin!R5)&lt;1,"",Captura_NoFin!R6/Captura_NoFin!R5-1)),""))</f>
        <v/>
      </c>
      <c r="N6" s="55">
        <f>IF(COUNT(Captura_NoFin!P6,Captura_NoFin!O6)&lt;2,"",IF(Captura_NoFin!O6&lt;=0,"",Captura_NoFin!P6/Captura_NoFin!O6))</f>
        <v/>
      </c>
      <c r="O6" s="56">
        <f>COUNT(F6:M6)</f>
        <v/>
      </c>
      <c r="P6" s="57">
        <f>IF(COUNT(Captura_NoFin!H6,Captura_NoFin!I6,Captura_NoFin!J6)&lt;3,"",IF(ABS(Captura_NoFin!H6-Captura_NoFin!I6-Captura_NoFin!J6)&lt;=0.005*ABS(Captura_NoFin!H6),"OK","REVISAR"))</f>
        <v/>
      </c>
    </row>
    <row r="7" ht="15" customHeight="1" s="31">
      <c r="A7" s="51">
        <f>Captura_NoFin!A7</f>
        <v/>
      </c>
      <c r="B7" s="51">
        <f>Captura_NoFin!B7</f>
        <v/>
      </c>
      <c r="C7" s="51">
        <f>Captura_NoFin!C7</f>
        <v/>
      </c>
      <c r="D7" s="52">
        <f>Captura_NoFin!D7</f>
        <v/>
      </c>
      <c r="E7" s="53">
        <f>IF(COUNT(Captura_NoFin!M7,Captura_NoFin!L7)&lt;2,"",Captura_NoFin!M7+ABS(Captura_NoFin!L7))</f>
        <v/>
      </c>
      <c r="F7" s="54">
        <f>IF(COUNT(Captura_NoFin!F7,Captura_NoFin!G7)&lt;2,"",IFERROR(Captura_NoFin!F7/Captura_NoFin!G7,""))</f>
        <v/>
      </c>
      <c r="G7" s="55">
        <f>IF(COUNT(Captura_NoFin!F7,Captura_NoFin!G7,Captura_NoFin!H7)&lt;3,"",IFERROR((Captura_NoFin!F7-Captura_NoFin!G7)/Captura_NoFin!H7,""))</f>
        <v/>
      </c>
      <c r="H7" s="55">
        <f>IF(OR(E7="",COUNT(Captura_NoFin!K7)&lt;1),"",IFERROR(E7/Captura_NoFin!K7,""))</f>
        <v/>
      </c>
      <c r="I7" s="55">
        <f>IF(COUNT(Captura_NoFin!N7,Captura_NoFin!H7)&lt;2,"",IFERROR(Captura_NoFin!N7/Captura_NoFin!H7,""))</f>
        <v/>
      </c>
      <c r="J7" s="55">
        <f>IF(COUNT(Captura_NoFin!I7,Captura_NoFin!H7)&lt;2,"",IFERROR(Captura_NoFin!I7/Captura_NoFin!H7,""))</f>
        <v/>
      </c>
      <c r="K7" s="54">
        <f>IF(OR(E7="",COUNT(Captura_NoFin!L7)&lt;1),"",IFERROR(E7/ABS(Captura_NoFin!L7),""))</f>
        <v/>
      </c>
      <c r="L7" s="54">
        <f>IF(COUNT(Captura_NoFin!K7,Captura_NoFin!H7)&lt;2,"",IFERROR(Captura_NoFin!K7/Captura_NoFin!H7,""))</f>
        <v/>
      </c>
      <c r="M7" s="55">
        <f>IF(COUNT(Captura_NoFin!R7)&lt;1,"",IFERROR(IF(D7=2017,Captura_NoFin!R7/INDEX(Empresas!$I$2:$I$23,MATCH($A7,Empresas!$B$2:$B$23,0))-1,IF(COUNT(Captura_NoFin!R6)&lt;1,"",Captura_NoFin!R7/Captura_NoFin!R6-1)),""))</f>
        <v/>
      </c>
      <c r="N7" s="55">
        <f>IF(COUNT(Captura_NoFin!P7,Captura_NoFin!O7)&lt;2,"",IF(Captura_NoFin!O7&lt;=0,"",Captura_NoFin!P7/Captura_NoFin!O7))</f>
        <v/>
      </c>
      <c r="O7" s="56">
        <f>COUNT(F7:M7)</f>
        <v/>
      </c>
      <c r="P7" s="57">
        <f>IF(COUNT(Captura_NoFin!H7,Captura_NoFin!I7,Captura_NoFin!J7)&lt;3,"",IF(ABS(Captura_NoFin!H7-Captura_NoFin!I7-Captura_NoFin!J7)&lt;=0.005*ABS(Captura_NoFin!H7),"OK","REVISAR"))</f>
        <v/>
      </c>
    </row>
    <row r="8" ht="15" customHeight="1" s="31">
      <c r="A8" s="51">
        <f>Captura_NoFin!A8</f>
        <v/>
      </c>
      <c r="B8" s="51">
        <f>Captura_NoFin!B8</f>
        <v/>
      </c>
      <c r="C8" s="51">
        <f>Captura_NoFin!C8</f>
        <v/>
      </c>
      <c r="D8" s="52">
        <f>Captura_NoFin!D8</f>
        <v/>
      </c>
      <c r="E8" s="53">
        <f>IF(COUNT(Captura_NoFin!M8,Captura_NoFin!L8)&lt;2,"",Captura_NoFin!M8+ABS(Captura_NoFin!L8))</f>
        <v/>
      </c>
      <c r="F8" s="54">
        <f>IF(COUNT(Captura_NoFin!F8,Captura_NoFin!G8)&lt;2,"",IFERROR(Captura_NoFin!F8/Captura_NoFin!G8,""))</f>
        <v/>
      </c>
      <c r="G8" s="55">
        <f>IF(COUNT(Captura_NoFin!F8,Captura_NoFin!G8,Captura_NoFin!H8)&lt;3,"",IFERROR((Captura_NoFin!F8-Captura_NoFin!G8)/Captura_NoFin!H8,""))</f>
        <v/>
      </c>
      <c r="H8" s="55">
        <f>IF(OR(E8="",COUNT(Captura_NoFin!K8)&lt;1),"",IFERROR(E8/Captura_NoFin!K8,""))</f>
        <v/>
      </c>
      <c r="I8" s="55">
        <f>IF(COUNT(Captura_NoFin!N8,Captura_NoFin!H8)&lt;2,"",IFERROR(Captura_NoFin!N8/Captura_NoFin!H8,""))</f>
        <v/>
      </c>
      <c r="J8" s="55">
        <f>IF(COUNT(Captura_NoFin!I8,Captura_NoFin!H8)&lt;2,"",IFERROR(Captura_NoFin!I8/Captura_NoFin!H8,""))</f>
        <v/>
      </c>
      <c r="K8" s="54">
        <f>IF(OR(E8="",COUNT(Captura_NoFin!L8)&lt;1),"",IFERROR(E8/ABS(Captura_NoFin!L8),""))</f>
        <v/>
      </c>
      <c r="L8" s="54">
        <f>IF(COUNT(Captura_NoFin!K8,Captura_NoFin!H8)&lt;2,"",IFERROR(Captura_NoFin!K8/Captura_NoFin!H8,""))</f>
        <v/>
      </c>
      <c r="M8" s="55">
        <f>IF(COUNT(Captura_NoFin!R8)&lt;1,"",IFERROR(IF(D8=2017,Captura_NoFin!R8/INDEX(Empresas!$I$2:$I$23,MATCH($A8,Empresas!$B$2:$B$23,0))-1,IF(COUNT(Captura_NoFin!R7)&lt;1,"",Captura_NoFin!R8/Captura_NoFin!R7-1)),""))</f>
        <v/>
      </c>
      <c r="N8" s="55">
        <f>IF(COUNT(Captura_NoFin!P8,Captura_NoFin!O8)&lt;2,"",IF(Captura_NoFin!O8&lt;=0,"",Captura_NoFin!P8/Captura_NoFin!O8))</f>
        <v/>
      </c>
      <c r="O8" s="56">
        <f>COUNT(F8:M8)</f>
        <v/>
      </c>
      <c r="P8" s="57">
        <f>IF(COUNT(Captura_NoFin!H8,Captura_NoFin!I8,Captura_NoFin!J8)&lt;3,"",IF(ABS(Captura_NoFin!H8-Captura_NoFin!I8-Captura_NoFin!J8)&lt;=0.005*ABS(Captura_NoFin!H8),"OK","REVISAR"))</f>
        <v/>
      </c>
    </row>
    <row r="9" ht="15" customHeight="1" s="31">
      <c r="A9" s="51">
        <f>Captura_NoFin!A9</f>
        <v/>
      </c>
      <c r="B9" s="51">
        <f>Captura_NoFin!B9</f>
        <v/>
      </c>
      <c r="C9" s="51">
        <f>Captura_NoFin!C9</f>
        <v/>
      </c>
      <c r="D9" s="52">
        <f>Captura_NoFin!D9</f>
        <v/>
      </c>
      <c r="E9" s="53">
        <f>IF(COUNT(Captura_NoFin!M9,Captura_NoFin!L9)&lt;2,"",Captura_NoFin!M9+ABS(Captura_NoFin!L9))</f>
        <v/>
      </c>
      <c r="F9" s="54">
        <f>IF(COUNT(Captura_NoFin!F9,Captura_NoFin!G9)&lt;2,"",IFERROR(Captura_NoFin!F9/Captura_NoFin!G9,""))</f>
        <v/>
      </c>
      <c r="G9" s="55">
        <f>IF(COUNT(Captura_NoFin!F9,Captura_NoFin!G9,Captura_NoFin!H9)&lt;3,"",IFERROR((Captura_NoFin!F9-Captura_NoFin!G9)/Captura_NoFin!H9,""))</f>
        <v/>
      </c>
      <c r="H9" s="55">
        <f>IF(OR(E9="",COUNT(Captura_NoFin!K9)&lt;1),"",IFERROR(E9/Captura_NoFin!K9,""))</f>
        <v/>
      </c>
      <c r="I9" s="55">
        <f>IF(COUNT(Captura_NoFin!N9,Captura_NoFin!H9)&lt;2,"",IFERROR(Captura_NoFin!N9/Captura_NoFin!H9,""))</f>
        <v/>
      </c>
      <c r="J9" s="55">
        <f>IF(COUNT(Captura_NoFin!I9,Captura_NoFin!H9)&lt;2,"",IFERROR(Captura_NoFin!I9/Captura_NoFin!H9,""))</f>
        <v/>
      </c>
      <c r="K9" s="54">
        <f>IF(OR(E9="",COUNT(Captura_NoFin!L9)&lt;1),"",IFERROR(E9/ABS(Captura_NoFin!L9),""))</f>
        <v/>
      </c>
      <c r="L9" s="54">
        <f>IF(COUNT(Captura_NoFin!K9,Captura_NoFin!H9)&lt;2,"",IFERROR(Captura_NoFin!K9/Captura_NoFin!H9,""))</f>
        <v/>
      </c>
      <c r="M9" s="55">
        <f>IF(COUNT(Captura_NoFin!R9)&lt;1,"",IFERROR(IF(D9=2017,Captura_NoFin!R9/INDEX(Empresas!$I$2:$I$23,MATCH($A9,Empresas!$B$2:$B$23,0))-1,IF(COUNT(Captura_NoFin!R8)&lt;1,"",Captura_NoFin!R9/Captura_NoFin!R8-1)),""))</f>
        <v/>
      </c>
      <c r="N9" s="55">
        <f>IF(COUNT(Captura_NoFin!P9,Captura_NoFin!O9)&lt;2,"",IF(Captura_NoFin!O9&lt;=0,"",Captura_NoFin!P9/Captura_NoFin!O9))</f>
        <v/>
      </c>
      <c r="O9" s="56">
        <f>COUNT(F9:M9)</f>
        <v/>
      </c>
      <c r="P9" s="57">
        <f>IF(COUNT(Captura_NoFin!H9,Captura_NoFin!I9,Captura_NoFin!J9)&lt;3,"",IF(ABS(Captura_NoFin!H9-Captura_NoFin!I9-Captura_NoFin!J9)&lt;=0.005*ABS(Captura_NoFin!H9),"OK","REVISAR"))</f>
        <v/>
      </c>
    </row>
    <row r="10" ht="15" customHeight="1" s="31">
      <c r="A10" s="51">
        <f>Captura_NoFin!A10</f>
        <v/>
      </c>
      <c r="B10" s="51">
        <f>Captura_NoFin!B10</f>
        <v/>
      </c>
      <c r="C10" s="51">
        <f>Captura_NoFin!C10</f>
        <v/>
      </c>
      <c r="D10" s="52">
        <f>Captura_NoFin!D10</f>
        <v/>
      </c>
      <c r="E10" s="53">
        <f>IF(COUNT(Captura_NoFin!M10,Captura_NoFin!L10)&lt;2,"",Captura_NoFin!M10+ABS(Captura_NoFin!L10))</f>
        <v/>
      </c>
      <c r="F10" s="54">
        <f>IF(COUNT(Captura_NoFin!F10,Captura_NoFin!G10)&lt;2,"",IFERROR(Captura_NoFin!F10/Captura_NoFin!G10,""))</f>
        <v/>
      </c>
      <c r="G10" s="55">
        <f>IF(COUNT(Captura_NoFin!F10,Captura_NoFin!G10,Captura_NoFin!H10)&lt;3,"",IFERROR((Captura_NoFin!F10-Captura_NoFin!G10)/Captura_NoFin!H10,""))</f>
        <v/>
      </c>
      <c r="H10" s="55">
        <f>IF(OR(E10="",COUNT(Captura_NoFin!K10)&lt;1),"",IFERROR(E10/Captura_NoFin!K10,""))</f>
        <v/>
      </c>
      <c r="I10" s="55">
        <f>IF(COUNT(Captura_NoFin!N10,Captura_NoFin!H10)&lt;2,"",IFERROR(Captura_NoFin!N10/Captura_NoFin!H10,""))</f>
        <v/>
      </c>
      <c r="J10" s="55">
        <f>IF(COUNT(Captura_NoFin!I10,Captura_NoFin!H10)&lt;2,"",IFERROR(Captura_NoFin!I10/Captura_NoFin!H10,""))</f>
        <v/>
      </c>
      <c r="K10" s="54">
        <f>IF(OR(E10="",COUNT(Captura_NoFin!L10)&lt;1),"",IFERROR(E10/ABS(Captura_NoFin!L10),""))</f>
        <v/>
      </c>
      <c r="L10" s="54">
        <f>IF(COUNT(Captura_NoFin!K10,Captura_NoFin!H10)&lt;2,"",IFERROR(Captura_NoFin!K10/Captura_NoFin!H10,""))</f>
        <v/>
      </c>
      <c r="M10" s="55">
        <f>IF(COUNT(Captura_NoFin!R10)&lt;1,"",IFERROR(IF(D10=2017,Captura_NoFin!R10/INDEX(Empresas!$I$2:$I$23,MATCH($A10,Empresas!$B$2:$B$23,0))-1,IF(COUNT(Captura_NoFin!R9)&lt;1,"",Captura_NoFin!R10/Captura_NoFin!R9-1)),""))</f>
        <v/>
      </c>
      <c r="N10" s="55">
        <f>IF(COUNT(Captura_NoFin!P10,Captura_NoFin!O10)&lt;2,"",IF(Captura_NoFin!O10&lt;=0,"",Captura_NoFin!P10/Captura_NoFin!O10))</f>
        <v/>
      </c>
      <c r="O10" s="56">
        <f>COUNT(F10:M10)</f>
        <v/>
      </c>
      <c r="P10" s="57">
        <f>IF(COUNT(Captura_NoFin!H10,Captura_NoFin!I10,Captura_NoFin!J10)&lt;3,"",IF(ABS(Captura_NoFin!H10-Captura_NoFin!I10-Captura_NoFin!J10)&lt;=0.005*ABS(Captura_NoFin!H10),"OK","REVISAR"))</f>
        <v/>
      </c>
    </row>
    <row r="11" ht="15" customHeight="1" s="31">
      <c r="A11" s="51">
        <f>Captura_NoFin!A11</f>
        <v/>
      </c>
      <c r="B11" s="51">
        <f>Captura_NoFin!B11</f>
        <v/>
      </c>
      <c r="C11" s="51">
        <f>Captura_NoFin!C11</f>
        <v/>
      </c>
      <c r="D11" s="52">
        <f>Captura_NoFin!D11</f>
        <v/>
      </c>
      <c r="E11" s="53">
        <f>IF(COUNT(Captura_NoFin!M11,Captura_NoFin!L11)&lt;2,"",Captura_NoFin!M11+ABS(Captura_NoFin!L11))</f>
        <v/>
      </c>
      <c r="F11" s="54">
        <f>IF(COUNT(Captura_NoFin!F11,Captura_NoFin!G11)&lt;2,"",IFERROR(Captura_NoFin!F11/Captura_NoFin!G11,""))</f>
        <v/>
      </c>
      <c r="G11" s="55">
        <f>IF(COUNT(Captura_NoFin!F11,Captura_NoFin!G11,Captura_NoFin!H11)&lt;3,"",IFERROR((Captura_NoFin!F11-Captura_NoFin!G11)/Captura_NoFin!H11,""))</f>
        <v/>
      </c>
      <c r="H11" s="55">
        <f>IF(OR(E11="",COUNT(Captura_NoFin!K11)&lt;1),"",IFERROR(E11/Captura_NoFin!K11,""))</f>
        <v/>
      </c>
      <c r="I11" s="55">
        <f>IF(COUNT(Captura_NoFin!N11,Captura_NoFin!H11)&lt;2,"",IFERROR(Captura_NoFin!N11/Captura_NoFin!H11,""))</f>
        <v/>
      </c>
      <c r="J11" s="55">
        <f>IF(COUNT(Captura_NoFin!I11,Captura_NoFin!H11)&lt;2,"",IFERROR(Captura_NoFin!I11/Captura_NoFin!H11,""))</f>
        <v/>
      </c>
      <c r="K11" s="54">
        <f>IF(OR(E11="",COUNT(Captura_NoFin!L11)&lt;1),"",IFERROR(E11/ABS(Captura_NoFin!L11),""))</f>
        <v/>
      </c>
      <c r="L11" s="54">
        <f>IF(COUNT(Captura_NoFin!K11,Captura_NoFin!H11)&lt;2,"",IFERROR(Captura_NoFin!K11/Captura_NoFin!H11,""))</f>
        <v/>
      </c>
      <c r="M11" s="55">
        <f>IF(COUNT(Captura_NoFin!R11)&lt;1,"",IFERROR(IF(D11=2017,Captura_NoFin!R11/INDEX(Empresas!$I$2:$I$23,MATCH($A11,Empresas!$B$2:$B$23,0))-1,IF(COUNT(Captura_NoFin!R10)&lt;1,"",Captura_NoFin!R11/Captura_NoFin!R10-1)),""))</f>
        <v/>
      </c>
      <c r="N11" s="55">
        <f>IF(COUNT(Captura_NoFin!P11,Captura_NoFin!O11)&lt;2,"",IF(Captura_NoFin!O11&lt;=0,"",Captura_NoFin!P11/Captura_NoFin!O11))</f>
        <v/>
      </c>
      <c r="O11" s="56">
        <f>COUNT(F11:M11)</f>
        <v/>
      </c>
      <c r="P11" s="57">
        <f>IF(COUNT(Captura_NoFin!H11,Captura_NoFin!I11,Captura_NoFin!J11)&lt;3,"",IF(ABS(Captura_NoFin!H11-Captura_NoFin!I11-Captura_NoFin!J11)&lt;=0.005*ABS(Captura_NoFin!H11),"OK","REVISAR"))</f>
        <v/>
      </c>
    </row>
    <row r="12" ht="15" customHeight="1" s="31">
      <c r="A12" s="51">
        <f>Captura_NoFin!A12</f>
        <v/>
      </c>
      <c r="B12" s="51">
        <f>Captura_NoFin!B12</f>
        <v/>
      </c>
      <c r="C12" s="51">
        <f>Captura_NoFin!C12</f>
        <v/>
      </c>
      <c r="D12" s="52">
        <f>Captura_NoFin!D12</f>
        <v/>
      </c>
      <c r="E12" s="53">
        <f>IF(COUNT(Captura_NoFin!M12,Captura_NoFin!L12)&lt;2,"",Captura_NoFin!M12+ABS(Captura_NoFin!L12))</f>
        <v/>
      </c>
      <c r="F12" s="54">
        <f>IF(COUNT(Captura_NoFin!F12,Captura_NoFin!G12)&lt;2,"",IFERROR(Captura_NoFin!F12/Captura_NoFin!G12,""))</f>
        <v/>
      </c>
      <c r="G12" s="55">
        <f>IF(COUNT(Captura_NoFin!F12,Captura_NoFin!G12,Captura_NoFin!H12)&lt;3,"",IFERROR((Captura_NoFin!F12-Captura_NoFin!G12)/Captura_NoFin!H12,""))</f>
        <v/>
      </c>
      <c r="H12" s="55">
        <f>IF(OR(E12="",COUNT(Captura_NoFin!K12)&lt;1),"",IFERROR(E12/Captura_NoFin!K12,""))</f>
        <v/>
      </c>
      <c r="I12" s="55">
        <f>IF(COUNT(Captura_NoFin!N12,Captura_NoFin!H12)&lt;2,"",IFERROR(Captura_NoFin!N12/Captura_NoFin!H12,""))</f>
        <v/>
      </c>
      <c r="J12" s="55">
        <f>IF(COUNT(Captura_NoFin!I12,Captura_NoFin!H12)&lt;2,"",IFERROR(Captura_NoFin!I12/Captura_NoFin!H12,""))</f>
        <v/>
      </c>
      <c r="K12" s="54">
        <f>IF(OR(E12="",COUNT(Captura_NoFin!L12)&lt;1),"",IFERROR(E12/ABS(Captura_NoFin!L12),""))</f>
        <v/>
      </c>
      <c r="L12" s="54">
        <f>IF(COUNT(Captura_NoFin!K12,Captura_NoFin!H12)&lt;2,"",IFERROR(Captura_NoFin!K12/Captura_NoFin!H12,""))</f>
        <v/>
      </c>
      <c r="M12" s="55">
        <f>IF(COUNT(Captura_NoFin!R12)&lt;1,"",IFERROR(IF(D12=2017,Captura_NoFin!R12/INDEX(Empresas!$I$2:$I$23,MATCH($A12,Empresas!$B$2:$B$23,0))-1,IF(COUNT(Captura_NoFin!R11)&lt;1,"",Captura_NoFin!R12/Captura_NoFin!R11-1)),""))</f>
        <v/>
      </c>
      <c r="N12" s="55">
        <f>IF(COUNT(Captura_NoFin!P12,Captura_NoFin!O12)&lt;2,"",IF(Captura_NoFin!O12&lt;=0,"",Captura_NoFin!P12/Captura_NoFin!O12))</f>
        <v/>
      </c>
      <c r="O12" s="56">
        <f>COUNT(F12:M12)</f>
        <v/>
      </c>
      <c r="P12" s="57">
        <f>IF(COUNT(Captura_NoFin!H12,Captura_NoFin!I12,Captura_NoFin!J12)&lt;3,"",IF(ABS(Captura_NoFin!H12-Captura_NoFin!I12-Captura_NoFin!J12)&lt;=0.005*ABS(Captura_NoFin!H12),"OK","REVISAR"))</f>
        <v/>
      </c>
    </row>
    <row r="13" ht="15" customHeight="1" s="31">
      <c r="A13" s="51">
        <f>Captura_NoFin!A13</f>
        <v/>
      </c>
      <c r="B13" s="51">
        <f>Captura_NoFin!B13</f>
        <v/>
      </c>
      <c r="C13" s="51">
        <f>Captura_NoFin!C13</f>
        <v/>
      </c>
      <c r="D13" s="52">
        <f>Captura_NoFin!D13</f>
        <v/>
      </c>
      <c r="E13" s="53">
        <f>IF(COUNT(Captura_NoFin!M13,Captura_NoFin!L13)&lt;2,"",Captura_NoFin!M13+ABS(Captura_NoFin!L13))</f>
        <v/>
      </c>
      <c r="F13" s="54">
        <f>IF(COUNT(Captura_NoFin!F13,Captura_NoFin!G13)&lt;2,"",IFERROR(Captura_NoFin!F13/Captura_NoFin!G13,""))</f>
        <v/>
      </c>
      <c r="G13" s="55">
        <f>IF(COUNT(Captura_NoFin!F13,Captura_NoFin!G13,Captura_NoFin!H13)&lt;3,"",IFERROR((Captura_NoFin!F13-Captura_NoFin!G13)/Captura_NoFin!H13,""))</f>
        <v/>
      </c>
      <c r="H13" s="55">
        <f>IF(OR(E13="",COUNT(Captura_NoFin!K13)&lt;1),"",IFERROR(E13/Captura_NoFin!K13,""))</f>
        <v/>
      </c>
      <c r="I13" s="55">
        <f>IF(COUNT(Captura_NoFin!N13,Captura_NoFin!H13)&lt;2,"",IFERROR(Captura_NoFin!N13/Captura_NoFin!H13,""))</f>
        <v/>
      </c>
      <c r="J13" s="55">
        <f>IF(COUNT(Captura_NoFin!I13,Captura_NoFin!H13)&lt;2,"",IFERROR(Captura_NoFin!I13/Captura_NoFin!H13,""))</f>
        <v/>
      </c>
      <c r="K13" s="54">
        <f>IF(OR(E13="",COUNT(Captura_NoFin!L13)&lt;1),"",IFERROR(E13/ABS(Captura_NoFin!L13),""))</f>
        <v/>
      </c>
      <c r="L13" s="54">
        <f>IF(COUNT(Captura_NoFin!K13,Captura_NoFin!H13)&lt;2,"",IFERROR(Captura_NoFin!K13/Captura_NoFin!H13,""))</f>
        <v/>
      </c>
      <c r="M13" s="55">
        <f>IF(COUNT(Captura_NoFin!R13)&lt;1,"",IFERROR(IF(D13=2017,Captura_NoFin!R13/INDEX(Empresas!$I$2:$I$23,MATCH($A13,Empresas!$B$2:$B$23,0))-1,IF(COUNT(Captura_NoFin!R12)&lt;1,"",Captura_NoFin!R13/Captura_NoFin!R12-1)),""))</f>
        <v/>
      </c>
      <c r="N13" s="55">
        <f>IF(COUNT(Captura_NoFin!P13,Captura_NoFin!O13)&lt;2,"",IF(Captura_NoFin!O13&lt;=0,"",Captura_NoFin!P13/Captura_NoFin!O13))</f>
        <v/>
      </c>
      <c r="O13" s="56">
        <f>COUNT(F13:M13)</f>
        <v/>
      </c>
      <c r="P13" s="57">
        <f>IF(COUNT(Captura_NoFin!H13,Captura_NoFin!I13,Captura_NoFin!J13)&lt;3,"",IF(ABS(Captura_NoFin!H13-Captura_NoFin!I13-Captura_NoFin!J13)&lt;=0.005*ABS(Captura_NoFin!H13),"OK","REVISAR"))</f>
        <v/>
      </c>
    </row>
    <row r="14" ht="15" customHeight="1" s="31">
      <c r="A14" s="51">
        <f>Captura_NoFin!A14</f>
        <v/>
      </c>
      <c r="B14" s="51">
        <f>Captura_NoFin!B14</f>
        <v/>
      </c>
      <c r="C14" s="51">
        <f>Captura_NoFin!C14</f>
        <v/>
      </c>
      <c r="D14" s="52">
        <f>Captura_NoFin!D14</f>
        <v/>
      </c>
      <c r="E14" s="53">
        <f>IF(COUNT(Captura_NoFin!M14,Captura_NoFin!L14)&lt;2,"",Captura_NoFin!M14+ABS(Captura_NoFin!L14))</f>
        <v/>
      </c>
      <c r="F14" s="54">
        <f>IF(COUNT(Captura_NoFin!F14,Captura_NoFin!G14)&lt;2,"",IFERROR(Captura_NoFin!F14/Captura_NoFin!G14,""))</f>
        <v/>
      </c>
      <c r="G14" s="55">
        <f>IF(COUNT(Captura_NoFin!F14,Captura_NoFin!G14,Captura_NoFin!H14)&lt;3,"",IFERROR((Captura_NoFin!F14-Captura_NoFin!G14)/Captura_NoFin!H14,""))</f>
        <v/>
      </c>
      <c r="H14" s="55">
        <f>IF(OR(E14="",COUNT(Captura_NoFin!K14)&lt;1),"",IFERROR(E14/Captura_NoFin!K14,""))</f>
        <v/>
      </c>
      <c r="I14" s="55">
        <f>IF(COUNT(Captura_NoFin!N14,Captura_NoFin!H14)&lt;2,"",IFERROR(Captura_NoFin!N14/Captura_NoFin!H14,""))</f>
        <v/>
      </c>
      <c r="J14" s="55">
        <f>IF(COUNT(Captura_NoFin!I14,Captura_NoFin!H14)&lt;2,"",IFERROR(Captura_NoFin!I14/Captura_NoFin!H14,""))</f>
        <v/>
      </c>
      <c r="K14" s="54">
        <f>IF(OR(E14="",COUNT(Captura_NoFin!L14)&lt;1),"",IFERROR(E14/ABS(Captura_NoFin!L14),""))</f>
        <v/>
      </c>
      <c r="L14" s="54">
        <f>IF(COUNT(Captura_NoFin!K14,Captura_NoFin!H14)&lt;2,"",IFERROR(Captura_NoFin!K14/Captura_NoFin!H14,""))</f>
        <v/>
      </c>
      <c r="M14" s="55">
        <f>IF(COUNT(Captura_NoFin!R14)&lt;1,"",IFERROR(IF(D14=2017,Captura_NoFin!R14/INDEX(Empresas!$I$2:$I$23,MATCH($A14,Empresas!$B$2:$B$23,0))-1,IF(COUNT(Captura_NoFin!R13)&lt;1,"",Captura_NoFin!R14/Captura_NoFin!R13-1)),""))</f>
        <v/>
      </c>
      <c r="N14" s="55">
        <f>IF(COUNT(Captura_NoFin!P14,Captura_NoFin!O14)&lt;2,"",IF(Captura_NoFin!O14&lt;=0,"",Captura_NoFin!P14/Captura_NoFin!O14))</f>
        <v/>
      </c>
      <c r="O14" s="56">
        <f>COUNT(F14:M14)</f>
        <v/>
      </c>
      <c r="P14" s="57">
        <f>IF(COUNT(Captura_NoFin!H14,Captura_NoFin!I14,Captura_NoFin!J14)&lt;3,"",IF(ABS(Captura_NoFin!H14-Captura_NoFin!I14-Captura_NoFin!J14)&lt;=0.005*ABS(Captura_NoFin!H14),"OK","REVISAR"))</f>
        <v/>
      </c>
    </row>
    <row r="15" ht="15" customHeight="1" s="31">
      <c r="A15" s="51">
        <f>Captura_NoFin!A15</f>
        <v/>
      </c>
      <c r="B15" s="51">
        <f>Captura_NoFin!B15</f>
        <v/>
      </c>
      <c r="C15" s="51">
        <f>Captura_NoFin!C15</f>
        <v/>
      </c>
      <c r="D15" s="52">
        <f>Captura_NoFin!D15</f>
        <v/>
      </c>
      <c r="E15" s="53">
        <f>IF(COUNT(Captura_NoFin!M15,Captura_NoFin!L15)&lt;2,"",Captura_NoFin!M15+ABS(Captura_NoFin!L15))</f>
        <v/>
      </c>
      <c r="F15" s="54">
        <f>IF(COUNT(Captura_NoFin!F15,Captura_NoFin!G15)&lt;2,"",IFERROR(Captura_NoFin!F15/Captura_NoFin!G15,""))</f>
        <v/>
      </c>
      <c r="G15" s="55">
        <f>IF(COUNT(Captura_NoFin!F15,Captura_NoFin!G15,Captura_NoFin!H15)&lt;3,"",IFERROR((Captura_NoFin!F15-Captura_NoFin!G15)/Captura_NoFin!H15,""))</f>
        <v/>
      </c>
      <c r="H15" s="55">
        <f>IF(OR(E15="",COUNT(Captura_NoFin!K15)&lt;1),"",IFERROR(E15/Captura_NoFin!K15,""))</f>
        <v/>
      </c>
      <c r="I15" s="55">
        <f>IF(COUNT(Captura_NoFin!N15,Captura_NoFin!H15)&lt;2,"",IFERROR(Captura_NoFin!N15/Captura_NoFin!H15,""))</f>
        <v/>
      </c>
      <c r="J15" s="55">
        <f>IF(COUNT(Captura_NoFin!I15,Captura_NoFin!H15)&lt;2,"",IFERROR(Captura_NoFin!I15/Captura_NoFin!H15,""))</f>
        <v/>
      </c>
      <c r="K15" s="54">
        <f>IF(OR(E15="",COUNT(Captura_NoFin!L15)&lt;1),"",IFERROR(E15/ABS(Captura_NoFin!L15),""))</f>
        <v/>
      </c>
      <c r="L15" s="54">
        <f>IF(COUNT(Captura_NoFin!K15,Captura_NoFin!H15)&lt;2,"",IFERROR(Captura_NoFin!K15/Captura_NoFin!H15,""))</f>
        <v/>
      </c>
      <c r="M15" s="55">
        <f>IF(COUNT(Captura_NoFin!R15)&lt;1,"",IFERROR(IF(D15=2017,Captura_NoFin!R15/INDEX(Empresas!$I$2:$I$23,MATCH($A15,Empresas!$B$2:$B$23,0))-1,IF(COUNT(Captura_NoFin!R14)&lt;1,"",Captura_NoFin!R15/Captura_NoFin!R14-1)),""))</f>
        <v/>
      </c>
      <c r="N15" s="55">
        <f>IF(COUNT(Captura_NoFin!P15,Captura_NoFin!O15)&lt;2,"",IF(Captura_NoFin!O15&lt;=0,"",Captura_NoFin!P15/Captura_NoFin!O15))</f>
        <v/>
      </c>
      <c r="O15" s="56">
        <f>COUNT(F15:M15)</f>
        <v/>
      </c>
      <c r="P15" s="57">
        <f>IF(COUNT(Captura_NoFin!H15,Captura_NoFin!I15,Captura_NoFin!J15)&lt;3,"",IF(ABS(Captura_NoFin!H15-Captura_NoFin!I15-Captura_NoFin!J15)&lt;=0.005*ABS(Captura_NoFin!H15),"OK","REVISAR"))</f>
        <v/>
      </c>
    </row>
    <row r="16" ht="15" customHeight="1" s="31">
      <c r="A16" s="51">
        <f>Captura_NoFin!A16</f>
        <v/>
      </c>
      <c r="B16" s="51">
        <f>Captura_NoFin!B16</f>
        <v/>
      </c>
      <c r="C16" s="51">
        <f>Captura_NoFin!C16</f>
        <v/>
      </c>
      <c r="D16" s="52">
        <f>Captura_NoFin!D16</f>
        <v/>
      </c>
      <c r="E16" s="53">
        <f>IF(COUNT(Captura_NoFin!M16,Captura_NoFin!L16)&lt;2,"",Captura_NoFin!M16+ABS(Captura_NoFin!L16))</f>
        <v/>
      </c>
      <c r="F16" s="54">
        <f>IF(COUNT(Captura_NoFin!F16,Captura_NoFin!G16)&lt;2,"",IFERROR(Captura_NoFin!F16/Captura_NoFin!G16,""))</f>
        <v/>
      </c>
      <c r="G16" s="55">
        <f>IF(COUNT(Captura_NoFin!F16,Captura_NoFin!G16,Captura_NoFin!H16)&lt;3,"",IFERROR((Captura_NoFin!F16-Captura_NoFin!G16)/Captura_NoFin!H16,""))</f>
        <v/>
      </c>
      <c r="H16" s="55">
        <f>IF(OR(E16="",COUNT(Captura_NoFin!K16)&lt;1),"",IFERROR(E16/Captura_NoFin!K16,""))</f>
        <v/>
      </c>
      <c r="I16" s="55">
        <f>IF(COUNT(Captura_NoFin!N16,Captura_NoFin!H16)&lt;2,"",IFERROR(Captura_NoFin!N16/Captura_NoFin!H16,""))</f>
        <v/>
      </c>
      <c r="J16" s="55">
        <f>IF(COUNT(Captura_NoFin!I16,Captura_NoFin!H16)&lt;2,"",IFERROR(Captura_NoFin!I16/Captura_NoFin!H16,""))</f>
        <v/>
      </c>
      <c r="K16" s="54">
        <f>IF(OR(E16="",COUNT(Captura_NoFin!L16)&lt;1),"",IFERROR(E16/ABS(Captura_NoFin!L16),""))</f>
        <v/>
      </c>
      <c r="L16" s="54">
        <f>IF(COUNT(Captura_NoFin!K16,Captura_NoFin!H16)&lt;2,"",IFERROR(Captura_NoFin!K16/Captura_NoFin!H16,""))</f>
        <v/>
      </c>
      <c r="M16" s="55">
        <f>IF(COUNT(Captura_NoFin!R16)&lt;1,"",IFERROR(IF(D16=2017,Captura_NoFin!R16/INDEX(Empresas!$I$2:$I$23,MATCH($A16,Empresas!$B$2:$B$23,0))-1,IF(COUNT(Captura_NoFin!R15)&lt;1,"",Captura_NoFin!R16/Captura_NoFin!R15-1)),""))</f>
        <v/>
      </c>
      <c r="N16" s="55">
        <f>IF(COUNT(Captura_NoFin!P16,Captura_NoFin!O16)&lt;2,"",IF(Captura_NoFin!O16&lt;=0,"",Captura_NoFin!P16/Captura_NoFin!O16))</f>
        <v/>
      </c>
      <c r="O16" s="56">
        <f>COUNT(F16:M16)</f>
        <v/>
      </c>
      <c r="P16" s="57">
        <f>IF(COUNT(Captura_NoFin!H16,Captura_NoFin!I16,Captura_NoFin!J16)&lt;3,"",IF(ABS(Captura_NoFin!H16-Captura_NoFin!I16-Captura_NoFin!J16)&lt;=0.005*ABS(Captura_NoFin!H16),"OK","REVISAR"))</f>
        <v/>
      </c>
    </row>
    <row r="17" ht="15" customHeight="1" s="31">
      <c r="A17" s="51">
        <f>Captura_NoFin!A17</f>
        <v/>
      </c>
      <c r="B17" s="51">
        <f>Captura_NoFin!B17</f>
        <v/>
      </c>
      <c r="C17" s="51">
        <f>Captura_NoFin!C17</f>
        <v/>
      </c>
      <c r="D17" s="52">
        <f>Captura_NoFin!D17</f>
        <v/>
      </c>
      <c r="E17" s="53">
        <f>IF(COUNT(Captura_NoFin!M17,Captura_NoFin!L17)&lt;2,"",Captura_NoFin!M17+ABS(Captura_NoFin!L17))</f>
        <v/>
      </c>
      <c r="F17" s="54">
        <f>IF(COUNT(Captura_NoFin!F17,Captura_NoFin!G17)&lt;2,"",IFERROR(Captura_NoFin!F17/Captura_NoFin!G17,""))</f>
        <v/>
      </c>
      <c r="G17" s="55">
        <f>IF(COUNT(Captura_NoFin!F17,Captura_NoFin!G17,Captura_NoFin!H17)&lt;3,"",IFERROR((Captura_NoFin!F17-Captura_NoFin!G17)/Captura_NoFin!H17,""))</f>
        <v/>
      </c>
      <c r="H17" s="55">
        <f>IF(OR(E17="",COUNT(Captura_NoFin!K17)&lt;1),"",IFERROR(E17/Captura_NoFin!K17,""))</f>
        <v/>
      </c>
      <c r="I17" s="55">
        <f>IF(COUNT(Captura_NoFin!N17,Captura_NoFin!H17)&lt;2,"",IFERROR(Captura_NoFin!N17/Captura_NoFin!H17,""))</f>
        <v/>
      </c>
      <c r="J17" s="55">
        <f>IF(COUNT(Captura_NoFin!I17,Captura_NoFin!H17)&lt;2,"",IFERROR(Captura_NoFin!I17/Captura_NoFin!H17,""))</f>
        <v/>
      </c>
      <c r="K17" s="54">
        <f>IF(OR(E17="",COUNT(Captura_NoFin!L17)&lt;1),"",IFERROR(E17/ABS(Captura_NoFin!L17),""))</f>
        <v/>
      </c>
      <c r="L17" s="54">
        <f>IF(COUNT(Captura_NoFin!K17,Captura_NoFin!H17)&lt;2,"",IFERROR(Captura_NoFin!K17/Captura_NoFin!H17,""))</f>
        <v/>
      </c>
      <c r="M17" s="55">
        <f>IF(COUNT(Captura_NoFin!R17)&lt;1,"",IFERROR(IF(D17=2017,Captura_NoFin!R17/INDEX(Empresas!$I$2:$I$23,MATCH($A17,Empresas!$B$2:$B$23,0))-1,IF(COUNT(Captura_NoFin!R16)&lt;1,"",Captura_NoFin!R17/Captura_NoFin!R16-1)),""))</f>
        <v/>
      </c>
      <c r="N17" s="55">
        <f>IF(COUNT(Captura_NoFin!P17,Captura_NoFin!O17)&lt;2,"",IF(Captura_NoFin!O17&lt;=0,"",Captura_NoFin!P17/Captura_NoFin!O17))</f>
        <v/>
      </c>
      <c r="O17" s="56">
        <f>COUNT(F17:M17)</f>
        <v/>
      </c>
      <c r="P17" s="57">
        <f>IF(COUNT(Captura_NoFin!H17,Captura_NoFin!I17,Captura_NoFin!J17)&lt;3,"",IF(ABS(Captura_NoFin!H17-Captura_NoFin!I17-Captura_NoFin!J17)&lt;=0.005*ABS(Captura_NoFin!H17),"OK","REVISAR"))</f>
        <v/>
      </c>
    </row>
    <row r="18" ht="15" customHeight="1" s="31">
      <c r="A18" s="51">
        <f>Captura_NoFin!A18</f>
        <v/>
      </c>
      <c r="B18" s="51">
        <f>Captura_NoFin!B18</f>
        <v/>
      </c>
      <c r="C18" s="51">
        <f>Captura_NoFin!C18</f>
        <v/>
      </c>
      <c r="D18" s="52">
        <f>Captura_NoFin!D18</f>
        <v/>
      </c>
      <c r="E18" s="53">
        <f>IF(COUNT(Captura_NoFin!M18,Captura_NoFin!L18)&lt;2,"",Captura_NoFin!M18+ABS(Captura_NoFin!L18))</f>
        <v/>
      </c>
      <c r="F18" s="54">
        <f>IF(COUNT(Captura_NoFin!F18,Captura_NoFin!G18)&lt;2,"",IFERROR(Captura_NoFin!F18/Captura_NoFin!G18,""))</f>
        <v/>
      </c>
      <c r="G18" s="55">
        <f>IF(COUNT(Captura_NoFin!F18,Captura_NoFin!G18,Captura_NoFin!H18)&lt;3,"",IFERROR((Captura_NoFin!F18-Captura_NoFin!G18)/Captura_NoFin!H18,""))</f>
        <v/>
      </c>
      <c r="H18" s="55">
        <f>IF(OR(E18="",COUNT(Captura_NoFin!K18)&lt;1),"",IFERROR(E18/Captura_NoFin!K18,""))</f>
        <v/>
      </c>
      <c r="I18" s="55">
        <f>IF(COUNT(Captura_NoFin!N18,Captura_NoFin!H18)&lt;2,"",IFERROR(Captura_NoFin!N18/Captura_NoFin!H18,""))</f>
        <v/>
      </c>
      <c r="J18" s="55">
        <f>IF(COUNT(Captura_NoFin!I18,Captura_NoFin!H18)&lt;2,"",IFERROR(Captura_NoFin!I18/Captura_NoFin!H18,""))</f>
        <v/>
      </c>
      <c r="K18" s="54">
        <f>IF(OR(E18="",COUNT(Captura_NoFin!L18)&lt;1),"",IFERROR(E18/ABS(Captura_NoFin!L18),""))</f>
        <v/>
      </c>
      <c r="L18" s="54">
        <f>IF(COUNT(Captura_NoFin!K18,Captura_NoFin!H18)&lt;2,"",IFERROR(Captura_NoFin!K18/Captura_NoFin!H18,""))</f>
        <v/>
      </c>
      <c r="M18" s="55">
        <f>IF(COUNT(Captura_NoFin!R18)&lt;1,"",IFERROR(IF(D18=2017,Captura_NoFin!R18/INDEX(Empresas!$I$2:$I$23,MATCH($A18,Empresas!$B$2:$B$23,0))-1,IF(COUNT(Captura_NoFin!R17)&lt;1,"",Captura_NoFin!R18/Captura_NoFin!R17-1)),""))</f>
        <v/>
      </c>
      <c r="N18" s="55">
        <f>IF(COUNT(Captura_NoFin!P18,Captura_NoFin!O18)&lt;2,"",IF(Captura_NoFin!O18&lt;=0,"",Captura_NoFin!P18/Captura_NoFin!O18))</f>
        <v/>
      </c>
      <c r="O18" s="56">
        <f>COUNT(F18:M18)</f>
        <v/>
      </c>
      <c r="P18" s="57">
        <f>IF(COUNT(Captura_NoFin!H18,Captura_NoFin!I18,Captura_NoFin!J18)&lt;3,"",IF(ABS(Captura_NoFin!H18-Captura_NoFin!I18-Captura_NoFin!J18)&lt;=0.005*ABS(Captura_NoFin!H18),"OK","REVISAR"))</f>
        <v/>
      </c>
    </row>
    <row r="19" ht="15" customHeight="1" s="31">
      <c r="A19" s="51">
        <f>Captura_NoFin!A19</f>
        <v/>
      </c>
      <c r="B19" s="51">
        <f>Captura_NoFin!B19</f>
        <v/>
      </c>
      <c r="C19" s="51">
        <f>Captura_NoFin!C19</f>
        <v/>
      </c>
      <c r="D19" s="52">
        <f>Captura_NoFin!D19</f>
        <v/>
      </c>
      <c r="E19" s="53">
        <f>IF(COUNT(Captura_NoFin!M19,Captura_NoFin!L19)&lt;2,"",Captura_NoFin!M19+ABS(Captura_NoFin!L19))</f>
        <v/>
      </c>
      <c r="F19" s="54">
        <f>IF(COUNT(Captura_NoFin!F19,Captura_NoFin!G19)&lt;2,"",IFERROR(Captura_NoFin!F19/Captura_NoFin!G19,""))</f>
        <v/>
      </c>
      <c r="G19" s="55">
        <f>IF(COUNT(Captura_NoFin!F19,Captura_NoFin!G19,Captura_NoFin!H19)&lt;3,"",IFERROR((Captura_NoFin!F19-Captura_NoFin!G19)/Captura_NoFin!H19,""))</f>
        <v/>
      </c>
      <c r="H19" s="55">
        <f>IF(OR(E19="",COUNT(Captura_NoFin!K19)&lt;1),"",IFERROR(E19/Captura_NoFin!K19,""))</f>
        <v/>
      </c>
      <c r="I19" s="55">
        <f>IF(COUNT(Captura_NoFin!N19,Captura_NoFin!H19)&lt;2,"",IFERROR(Captura_NoFin!N19/Captura_NoFin!H19,""))</f>
        <v/>
      </c>
      <c r="J19" s="55">
        <f>IF(COUNT(Captura_NoFin!I19,Captura_NoFin!H19)&lt;2,"",IFERROR(Captura_NoFin!I19/Captura_NoFin!H19,""))</f>
        <v/>
      </c>
      <c r="K19" s="54">
        <f>IF(OR(E19="",COUNT(Captura_NoFin!L19)&lt;1),"",IFERROR(E19/ABS(Captura_NoFin!L19),""))</f>
        <v/>
      </c>
      <c r="L19" s="54">
        <f>IF(COUNT(Captura_NoFin!K19,Captura_NoFin!H19)&lt;2,"",IFERROR(Captura_NoFin!K19/Captura_NoFin!H19,""))</f>
        <v/>
      </c>
      <c r="M19" s="55">
        <f>IF(COUNT(Captura_NoFin!R19)&lt;1,"",IFERROR(IF(D19=2017,Captura_NoFin!R19/INDEX(Empresas!$I$2:$I$23,MATCH($A19,Empresas!$B$2:$B$23,0))-1,IF(COUNT(Captura_NoFin!R18)&lt;1,"",Captura_NoFin!R19/Captura_NoFin!R18-1)),""))</f>
        <v/>
      </c>
      <c r="N19" s="55">
        <f>IF(COUNT(Captura_NoFin!P19,Captura_NoFin!O19)&lt;2,"",IF(Captura_NoFin!O19&lt;=0,"",Captura_NoFin!P19/Captura_NoFin!O19))</f>
        <v/>
      </c>
      <c r="O19" s="56">
        <f>COUNT(F19:M19)</f>
        <v/>
      </c>
      <c r="P19" s="57">
        <f>IF(COUNT(Captura_NoFin!H19,Captura_NoFin!I19,Captura_NoFin!J19)&lt;3,"",IF(ABS(Captura_NoFin!H19-Captura_NoFin!I19-Captura_NoFin!J19)&lt;=0.005*ABS(Captura_NoFin!H19),"OK","REVISAR"))</f>
        <v/>
      </c>
    </row>
    <row r="20" ht="15" customHeight="1" s="31">
      <c r="A20" s="51">
        <f>Captura_NoFin!A20</f>
        <v/>
      </c>
      <c r="B20" s="51">
        <f>Captura_NoFin!B20</f>
        <v/>
      </c>
      <c r="C20" s="51">
        <f>Captura_NoFin!C20</f>
        <v/>
      </c>
      <c r="D20" s="52">
        <f>Captura_NoFin!D20</f>
        <v/>
      </c>
      <c r="E20" s="53">
        <f>IF(COUNT(Captura_NoFin!M20,Captura_NoFin!L20)&lt;2,"",Captura_NoFin!M20+ABS(Captura_NoFin!L20))</f>
        <v/>
      </c>
      <c r="F20" s="54">
        <f>IF(COUNT(Captura_NoFin!F20,Captura_NoFin!G20)&lt;2,"",IFERROR(Captura_NoFin!F20/Captura_NoFin!G20,""))</f>
        <v/>
      </c>
      <c r="G20" s="55">
        <f>IF(COUNT(Captura_NoFin!F20,Captura_NoFin!G20,Captura_NoFin!H20)&lt;3,"",IFERROR((Captura_NoFin!F20-Captura_NoFin!G20)/Captura_NoFin!H20,""))</f>
        <v/>
      </c>
      <c r="H20" s="55">
        <f>IF(OR(E20="",COUNT(Captura_NoFin!K20)&lt;1),"",IFERROR(E20/Captura_NoFin!K20,""))</f>
        <v/>
      </c>
      <c r="I20" s="55">
        <f>IF(COUNT(Captura_NoFin!N20,Captura_NoFin!H20)&lt;2,"",IFERROR(Captura_NoFin!N20/Captura_NoFin!H20,""))</f>
        <v/>
      </c>
      <c r="J20" s="55">
        <f>IF(COUNT(Captura_NoFin!I20,Captura_NoFin!H20)&lt;2,"",IFERROR(Captura_NoFin!I20/Captura_NoFin!H20,""))</f>
        <v/>
      </c>
      <c r="K20" s="54">
        <f>IF(OR(E20="",COUNT(Captura_NoFin!L20)&lt;1),"",IFERROR(E20/ABS(Captura_NoFin!L20),""))</f>
        <v/>
      </c>
      <c r="L20" s="54">
        <f>IF(COUNT(Captura_NoFin!K20,Captura_NoFin!H20)&lt;2,"",IFERROR(Captura_NoFin!K20/Captura_NoFin!H20,""))</f>
        <v/>
      </c>
      <c r="M20" s="55">
        <f>IF(COUNT(Captura_NoFin!R20)&lt;1,"",IFERROR(IF(D20=2017,Captura_NoFin!R20/INDEX(Empresas!$I$2:$I$23,MATCH($A20,Empresas!$B$2:$B$23,0))-1,IF(COUNT(Captura_NoFin!R19)&lt;1,"",Captura_NoFin!R20/Captura_NoFin!R19-1)),""))</f>
        <v/>
      </c>
      <c r="N20" s="55">
        <f>IF(COUNT(Captura_NoFin!P20,Captura_NoFin!O20)&lt;2,"",IF(Captura_NoFin!O20&lt;=0,"",Captura_NoFin!P20/Captura_NoFin!O20))</f>
        <v/>
      </c>
      <c r="O20" s="56">
        <f>COUNT(F20:M20)</f>
        <v/>
      </c>
      <c r="P20" s="57">
        <f>IF(COUNT(Captura_NoFin!H20,Captura_NoFin!I20,Captura_NoFin!J20)&lt;3,"",IF(ABS(Captura_NoFin!H20-Captura_NoFin!I20-Captura_NoFin!J20)&lt;=0.005*ABS(Captura_NoFin!H20),"OK","REVISAR"))</f>
        <v/>
      </c>
    </row>
    <row r="21" ht="15" customHeight="1" s="31">
      <c r="A21" s="51">
        <f>Captura_NoFin!A21</f>
        <v/>
      </c>
      <c r="B21" s="51">
        <f>Captura_NoFin!B21</f>
        <v/>
      </c>
      <c r="C21" s="51">
        <f>Captura_NoFin!C21</f>
        <v/>
      </c>
      <c r="D21" s="52">
        <f>Captura_NoFin!D21</f>
        <v/>
      </c>
      <c r="E21" s="53">
        <f>IF(COUNT(Captura_NoFin!M21,Captura_NoFin!L21)&lt;2,"",Captura_NoFin!M21+ABS(Captura_NoFin!L21))</f>
        <v/>
      </c>
      <c r="F21" s="54">
        <f>IF(COUNT(Captura_NoFin!F21,Captura_NoFin!G21)&lt;2,"",IFERROR(Captura_NoFin!F21/Captura_NoFin!G21,""))</f>
        <v/>
      </c>
      <c r="G21" s="55">
        <f>IF(COUNT(Captura_NoFin!F21,Captura_NoFin!G21,Captura_NoFin!H21)&lt;3,"",IFERROR((Captura_NoFin!F21-Captura_NoFin!G21)/Captura_NoFin!H21,""))</f>
        <v/>
      </c>
      <c r="H21" s="55">
        <f>IF(OR(E21="",COUNT(Captura_NoFin!K21)&lt;1),"",IFERROR(E21/Captura_NoFin!K21,""))</f>
        <v/>
      </c>
      <c r="I21" s="55">
        <f>IF(COUNT(Captura_NoFin!N21,Captura_NoFin!H21)&lt;2,"",IFERROR(Captura_NoFin!N21/Captura_NoFin!H21,""))</f>
        <v/>
      </c>
      <c r="J21" s="55">
        <f>IF(COUNT(Captura_NoFin!I21,Captura_NoFin!H21)&lt;2,"",IFERROR(Captura_NoFin!I21/Captura_NoFin!H21,""))</f>
        <v/>
      </c>
      <c r="K21" s="54">
        <f>IF(OR(E21="",COUNT(Captura_NoFin!L21)&lt;1),"",IFERROR(E21/ABS(Captura_NoFin!L21),""))</f>
        <v/>
      </c>
      <c r="L21" s="54">
        <f>IF(COUNT(Captura_NoFin!K21,Captura_NoFin!H21)&lt;2,"",IFERROR(Captura_NoFin!K21/Captura_NoFin!H21,""))</f>
        <v/>
      </c>
      <c r="M21" s="55">
        <f>IF(COUNT(Captura_NoFin!R21)&lt;1,"",IFERROR(IF(D21=2017,Captura_NoFin!R21/INDEX(Empresas!$I$2:$I$23,MATCH($A21,Empresas!$B$2:$B$23,0))-1,IF(COUNT(Captura_NoFin!R20)&lt;1,"",Captura_NoFin!R21/Captura_NoFin!R20-1)),""))</f>
        <v/>
      </c>
      <c r="N21" s="55">
        <f>IF(COUNT(Captura_NoFin!P21,Captura_NoFin!O21)&lt;2,"",IF(Captura_NoFin!O21&lt;=0,"",Captura_NoFin!P21/Captura_NoFin!O21))</f>
        <v/>
      </c>
      <c r="O21" s="56">
        <f>COUNT(F21:M21)</f>
        <v/>
      </c>
      <c r="P21" s="57">
        <f>IF(COUNT(Captura_NoFin!H21,Captura_NoFin!I21,Captura_NoFin!J21)&lt;3,"",IF(ABS(Captura_NoFin!H21-Captura_NoFin!I21-Captura_NoFin!J21)&lt;=0.005*ABS(Captura_NoFin!H21),"OK","REVISAR"))</f>
        <v/>
      </c>
    </row>
    <row r="22" ht="15" customHeight="1" s="31">
      <c r="A22" s="51">
        <f>Captura_NoFin!A22</f>
        <v/>
      </c>
      <c r="B22" s="51">
        <f>Captura_NoFin!B22</f>
        <v/>
      </c>
      <c r="C22" s="51">
        <f>Captura_NoFin!C22</f>
        <v/>
      </c>
      <c r="D22" s="52">
        <f>Captura_NoFin!D22</f>
        <v/>
      </c>
      <c r="E22" s="53">
        <f>IF(COUNT(Captura_NoFin!M22,Captura_NoFin!L22)&lt;2,"",Captura_NoFin!M22+ABS(Captura_NoFin!L22))</f>
        <v/>
      </c>
      <c r="F22" s="54">
        <f>IF(COUNT(Captura_NoFin!F22,Captura_NoFin!G22)&lt;2,"",IFERROR(Captura_NoFin!F22/Captura_NoFin!G22,""))</f>
        <v/>
      </c>
      <c r="G22" s="55">
        <f>IF(COUNT(Captura_NoFin!F22,Captura_NoFin!G22,Captura_NoFin!H22)&lt;3,"",IFERROR((Captura_NoFin!F22-Captura_NoFin!G22)/Captura_NoFin!H22,""))</f>
        <v/>
      </c>
      <c r="H22" s="55">
        <f>IF(OR(E22="",COUNT(Captura_NoFin!K22)&lt;1),"",IFERROR(E22/Captura_NoFin!K22,""))</f>
        <v/>
      </c>
      <c r="I22" s="55">
        <f>IF(COUNT(Captura_NoFin!N22,Captura_NoFin!H22)&lt;2,"",IFERROR(Captura_NoFin!N22/Captura_NoFin!H22,""))</f>
        <v/>
      </c>
      <c r="J22" s="55">
        <f>IF(COUNT(Captura_NoFin!I22,Captura_NoFin!H22)&lt;2,"",IFERROR(Captura_NoFin!I22/Captura_NoFin!H22,""))</f>
        <v/>
      </c>
      <c r="K22" s="54">
        <f>IF(OR(E22="",COUNT(Captura_NoFin!L22)&lt;1),"",IFERROR(E22/ABS(Captura_NoFin!L22),""))</f>
        <v/>
      </c>
      <c r="L22" s="54">
        <f>IF(COUNT(Captura_NoFin!K22,Captura_NoFin!H22)&lt;2,"",IFERROR(Captura_NoFin!K22/Captura_NoFin!H22,""))</f>
        <v/>
      </c>
      <c r="M22" s="55">
        <f>IF(COUNT(Captura_NoFin!R22)&lt;1,"",IFERROR(IF(D22=2017,Captura_NoFin!R22/INDEX(Empresas!$I$2:$I$23,MATCH($A22,Empresas!$B$2:$B$23,0))-1,IF(COUNT(Captura_NoFin!R21)&lt;1,"",Captura_NoFin!R22/Captura_NoFin!R21-1)),""))</f>
        <v/>
      </c>
      <c r="N22" s="55">
        <f>IF(COUNT(Captura_NoFin!P22,Captura_NoFin!O22)&lt;2,"",IF(Captura_NoFin!O22&lt;=0,"",Captura_NoFin!P22/Captura_NoFin!O22))</f>
        <v/>
      </c>
      <c r="O22" s="56">
        <f>COUNT(F22:M22)</f>
        <v/>
      </c>
      <c r="P22" s="57">
        <f>IF(COUNT(Captura_NoFin!H22,Captura_NoFin!I22,Captura_NoFin!J22)&lt;3,"",IF(ABS(Captura_NoFin!H22-Captura_NoFin!I22-Captura_NoFin!J22)&lt;=0.005*ABS(Captura_NoFin!H22),"OK","REVISAR"))</f>
        <v/>
      </c>
    </row>
    <row r="23" ht="15" customHeight="1" s="31">
      <c r="A23" s="51">
        <f>Captura_NoFin!A23</f>
        <v/>
      </c>
      <c r="B23" s="51">
        <f>Captura_NoFin!B23</f>
        <v/>
      </c>
      <c r="C23" s="51">
        <f>Captura_NoFin!C23</f>
        <v/>
      </c>
      <c r="D23" s="52">
        <f>Captura_NoFin!D23</f>
        <v/>
      </c>
      <c r="E23" s="53">
        <f>IF(COUNT(Captura_NoFin!M23,Captura_NoFin!L23)&lt;2,"",Captura_NoFin!M23+ABS(Captura_NoFin!L23))</f>
        <v/>
      </c>
      <c r="F23" s="54">
        <f>IF(COUNT(Captura_NoFin!F23,Captura_NoFin!G23)&lt;2,"",IFERROR(Captura_NoFin!F23/Captura_NoFin!G23,""))</f>
        <v/>
      </c>
      <c r="G23" s="55">
        <f>IF(COUNT(Captura_NoFin!F23,Captura_NoFin!G23,Captura_NoFin!H23)&lt;3,"",IFERROR((Captura_NoFin!F23-Captura_NoFin!G23)/Captura_NoFin!H23,""))</f>
        <v/>
      </c>
      <c r="H23" s="55">
        <f>IF(OR(E23="",COUNT(Captura_NoFin!K23)&lt;1),"",IFERROR(E23/Captura_NoFin!K23,""))</f>
        <v/>
      </c>
      <c r="I23" s="55">
        <f>IF(COUNT(Captura_NoFin!N23,Captura_NoFin!H23)&lt;2,"",IFERROR(Captura_NoFin!N23/Captura_NoFin!H23,""))</f>
        <v/>
      </c>
      <c r="J23" s="55">
        <f>IF(COUNT(Captura_NoFin!I23,Captura_NoFin!H23)&lt;2,"",IFERROR(Captura_NoFin!I23/Captura_NoFin!H23,""))</f>
        <v/>
      </c>
      <c r="K23" s="54">
        <f>IF(OR(E23="",COUNT(Captura_NoFin!L23)&lt;1),"",IFERROR(E23/ABS(Captura_NoFin!L23),""))</f>
        <v/>
      </c>
      <c r="L23" s="54">
        <f>IF(COUNT(Captura_NoFin!K23,Captura_NoFin!H23)&lt;2,"",IFERROR(Captura_NoFin!K23/Captura_NoFin!H23,""))</f>
        <v/>
      </c>
      <c r="M23" s="55">
        <f>IF(COUNT(Captura_NoFin!R23)&lt;1,"",IFERROR(IF(D23=2017,Captura_NoFin!R23/INDEX(Empresas!$I$2:$I$23,MATCH($A23,Empresas!$B$2:$B$23,0))-1,IF(COUNT(Captura_NoFin!R22)&lt;1,"",Captura_NoFin!R23/Captura_NoFin!R22-1)),""))</f>
        <v/>
      </c>
      <c r="N23" s="55">
        <f>IF(COUNT(Captura_NoFin!P23,Captura_NoFin!O23)&lt;2,"",IF(Captura_NoFin!O23&lt;=0,"",Captura_NoFin!P23/Captura_NoFin!O23))</f>
        <v/>
      </c>
      <c r="O23" s="56">
        <f>COUNT(F23:M23)</f>
        <v/>
      </c>
      <c r="P23" s="57">
        <f>IF(COUNT(Captura_NoFin!H23,Captura_NoFin!I23,Captura_NoFin!J23)&lt;3,"",IF(ABS(Captura_NoFin!H23-Captura_NoFin!I23-Captura_NoFin!J23)&lt;=0.005*ABS(Captura_NoFin!H23),"OK","REVISAR"))</f>
        <v/>
      </c>
    </row>
    <row r="24" ht="15" customHeight="1" s="31">
      <c r="A24" s="51">
        <f>Captura_NoFin!A24</f>
        <v/>
      </c>
      <c r="B24" s="51">
        <f>Captura_NoFin!B24</f>
        <v/>
      </c>
      <c r="C24" s="51">
        <f>Captura_NoFin!C24</f>
        <v/>
      </c>
      <c r="D24" s="52">
        <f>Captura_NoFin!D24</f>
        <v/>
      </c>
      <c r="E24" s="53">
        <f>IF(COUNT(Captura_NoFin!M24,Captura_NoFin!L24)&lt;2,"",Captura_NoFin!M24+ABS(Captura_NoFin!L24))</f>
        <v/>
      </c>
      <c r="F24" s="54">
        <f>IF(COUNT(Captura_NoFin!F24,Captura_NoFin!G24)&lt;2,"",IFERROR(Captura_NoFin!F24/Captura_NoFin!G24,""))</f>
        <v/>
      </c>
      <c r="G24" s="55">
        <f>IF(COUNT(Captura_NoFin!F24,Captura_NoFin!G24,Captura_NoFin!H24)&lt;3,"",IFERROR((Captura_NoFin!F24-Captura_NoFin!G24)/Captura_NoFin!H24,""))</f>
        <v/>
      </c>
      <c r="H24" s="55">
        <f>IF(OR(E24="",COUNT(Captura_NoFin!K24)&lt;1),"",IFERROR(E24/Captura_NoFin!K24,""))</f>
        <v/>
      </c>
      <c r="I24" s="55">
        <f>IF(COUNT(Captura_NoFin!N24,Captura_NoFin!H24)&lt;2,"",IFERROR(Captura_NoFin!N24/Captura_NoFin!H24,""))</f>
        <v/>
      </c>
      <c r="J24" s="55">
        <f>IF(COUNT(Captura_NoFin!I24,Captura_NoFin!H24)&lt;2,"",IFERROR(Captura_NoFin!I24/Captura_NoFin!H24,""))</f>
        <v/>
      </c>
      <c r="K24" s="54">
        <f>IF(OR(E24="",COUNT(Captura_NoFin!L24)&lt;1),"",IFERROR(E24/ABS(Captura_NoFin!L24),""))</f>
        <v/>
      </c>
      <c r="L24" s="54">
        <f>IF(COUNT(Captura_NoFin!K24,Captura_NoFin!H24)&lt;2,"",IFERROR(Captura_NoFin!K24/Captura_NoFin!H24,""))</f>
        <v/>
      </c>
      <c r="M24" s="55">
        <f>IF(COUNT(Captura_NoFin!R24)&lt;1,"",IFERROR(IF(D24=2017,Captura_NoFin!R24/INDEX(Empresas!$I$2:$I$23,MATCH($A24,Empresas!$B$2:$B$23,0))-1,IF(COUNT(Captura_NoFin!R23)&lt;1,"",Captura_NoFin!R24/Captura_NoFin!R23-1)),""))</f>
        <v/>
      </c>
      <c r="N24" s="55">
        <f>IF(COUNT(Captura_NoFin!P24,Captura_NoFin!O24)&lt;2,"",IF(Captura_NoFin!O24&lt;=0,"",Captura_NoFin!P24/Captura_NoFin!O24))</f>
        <v/>
      </c>
      <c r="O24" s="56">
        <f>COUNT(F24:M24)</f>
        <v/>
      </c>
      <c r="P24" s="57">
        <f>IF(COUNT(Captura_NoFin!H24,Captura_NoFin!I24,Captura_NoFin!J24)&lt;3,"",IF(ABS(Captura_NoFin!H24-Captura_NoFin!I24-Captura_NoFin!J24)&lt;=0.005*ABS(Captura_NoFin!H24),"OK","REVISAR"))</f>
        <v/>
      </c>
    </row>
    <row r="25" ht="15" customHeight="1" s="31">
      <c r="A25" s="51">
        <f>Captura_NoFin!A25</f>
        <v/>
      </c>
      <c r="B25" s="51">
        <f>Captura_NoFin!B25</f>
        <v/>
      </c>
      <c r="C25" s="51">
        <f>Captura_NoFin!C25</f>
        <v/>
      </c>
      <c r="D25" s="52">
        <f>Captura_NoFin!D25</f>
        <v/>
      </c>
      <c r="E25" s="53">
        <f>IF(COUNT(Captura_NoFin!M25,Captura_NoFin!L25)&lt;2,"",Captura_NoFin!M25+ABS(Captura_NoFin!L25))</f>
        <v/>
      </c>
      <c r="F25" s="54">
        <f>IF(COUNT(Captura_NoFin!F25,Captura_NoFin!G25)&lt;2,"",IFERROR(Captura_NoFin!F25/Captura_NoFin!G25,""))</f>
        <v/>
      </c>
      <c r="G25" s="55">
        <f>IF(COUNT(Captura_NoFin!F25,Captura_NoFin!G25,Captura_NoFin!H25)&lt;3,"",IFERROR((Captura_NoFin!F25-Captura_NoFin!G25)/Captura_NoFin!H25,""))</f>
        <v/>
      </c>
      <c r="H25" s="55">
        <f>IF(OR(E25="",COUNT(Captura_NoFin!K25)&lt;1),"",IFERROR(E25/Captura_NoFin!K25,""))</f>
        <v/>
      </c>
      <c r="I25" s="55">
        <f>IF(COUNT(Captura_NoFin!N25,Captura_NoFin!H25)&lt;2,"",IFERROR(Captura_NoFin!N25/Captura_NoFin!H25,""))</f>
        <v/>
      </c>
      <c r="J25" s="55">
        <f>IF(COUNT(Captura_NoFin!I25,Captura_NoFin!H25)&lt;2,"",IFERROR(Captura_NoFin!I25/Captura_NoFin!H25,""))</f>
        <v/>
      </c>
      <c r="K25" s="54">
        <f>IF(OR(E25="",COUNT(Captura_NoFin!L25)&lt;1),"",IFERROR(E25/ABS(Captura_NoFin!L25),""))</f>
        <v/>
      </c>
      <c r="L25" s="54">
        <f>IF(COUNT(Captura_NoFin!K25,Captura_NoFin!H25)&lt;2,"",IFERROR(Captura_NoFin!K25/Captura_NoFin!H25,""))</f>
        <v/>
      </c>
      <c r="M25" s="55">
        <f>IF(COUNT(Captura_NoFin!R25)&lt;1,"",IFERROR(IF(D25=2017,Captura_NoFin!R25/INDEX(Empresas!$I$2:$I$23,MATCH($A25,Empresas!$B$2:$B$23,0))-1,IF(COUNT(Captura_NoFin!R24)&lt;1,"",Captura_NoFin!R25/Captura_NoFin!R24-1)),""))</f>
        <v/>
      </c>
      <c r="N25" s="55">
        <f>IF(COUNT(Captura_NoFin!P25,Captura_NoFin!O25)&lt;2,"",IF(Captura_NoFin!O25&lt;=0,"",Captura_NoFin!P25/Captura_NoFin!O25))</f>
        <v/>
      </c>
      <c r="O25" s="56">
        <f>COUNT(F25:M25)</f>
        <v/>
      </c>
      <c r="P25" s="57">
        <f>IF(COUNT(Captura_NoFin!H25,Captura_NoFin!I25,Captura_NoFin!J25)&lt;3,"",IF(ABS(Captura_NoFin!H25-Captura_NoFin!I25-Captura_NoFin!J25)&lt;=0.005*ABS(Captura_NoFin!H25),"OK","REVISAR"))</f>
        <v/>
      </c>
    </row>
    <row r="26" ht="15" customHeight="1" s="31">
      <c r="A26" s="51">
        <f>Captura_NoFin!A26</f>
        <v/>
      </c>
      <c r="B26" s="51">
        <f>Captura_NoFin!B26</f>
        <v/>
      </c>
      <c r="C26" s="51">
        <f>Captura_NoFin!C26</f>
        <v/>
      </c>
      <c r="D26" s="52">
        <f>Captura_NoFin!D26</f>
        <v/>
      </c>
      <c r="E26" s="53">
        <f>IF(COUNT(Captura_NoFin!M26,Captura_NoFin!L26)&lt;2,"",Captura_NoFin!M26+ABS(Captura_NoFin!L26))</f>
        <v/>
      </c>
      <c r="F26" s="54">
        <f>IF(COUNT(Captura_NoFin!F26,Captura_NoFin!G26)&lt;2,"",IFERROR(Captura_NoFin!F26/Captura_NoFin!G26,""))</f>
        <v/>
      </c>
      <c r="G26" s="55">
        <f>IF(COUNT(Captura_NoFin!F26,Captura_NoFin!G26,Captura_NoFin!H26)&lt;3,"",IFERROR((Captura_NoFin!F26-Captura_NoFin!G26)/Captura_NoFin!H26,""))</f>
        <v/>
      </c>
      <c r="H26" s="55">
        <f>IF(OR(E26="",COUNT(Captura_NoFin!K26)&lt;1),"",IFERROR(E26/Captura_NoFin!K26,""))</f>
        <v/>
      </c>
      <c r="I26" s="55">
        <f>IF(COUNT(Captura_NoFin!N26,Captura_NoFin!H26)&lt;2,"",IFERROR(Captura_NoFin!N26/Captura_NoFin!H26,""))</f>
        <v/>
      </c>
      <c r="J26" s="55">
        <f>IF(COUNT(Captura_NoFin!I26,Captura_NoFin!H26)&lt;2,"",IFERROR(Captura_NoFin!I26/Captura_NoFin!H26,""))</f>
        <v/>
      </c>
      <c r="K26" s="54">
        <f>IF(OR(E26="",COUNT(Captura_NoFin!L26)&lt;1),"",IFERROR(E26/ABS(Captura_NoFin!L26),""))</f>
        <v/>
      </c>
      <c r="L26" s="54">
        <f>IF(COUNT(Captura_NoFin!K26,Captura_NoFin!H26)&lt;2,"",IFERROR(Captura_NoFin!K26/Captura_NoFin!H26,""))</f>
        <v/>
      </c>
      <c r="M26" s="55">
        <f>IF(COUNT(Captura_NoFin!R26)&lt;1,"",IFERROR(IF(D26=2017,Captura_NoFin!R26/INDEX(Empresas!$I$2:$I$23,MATCH($A26,Empresas!$B$2:$B$23,0))-1,IF(COUNT(Captura_NoFin!R25)&lt;1,"",Captura_NoFin!R26/Captura_NoFin!R25-1)),""))</f>
        <v/>
      </c>
      <c r="N26" s="55">
        <f>IF(COUNT(Captura_NoFin!P26,Captura_NoFin!O26)&lt;2,"",IF(Captura_NoFin!O26&lt;=0,"",Captura_NoFin!P26/Captura_NoFin!O26))</f>
        <v/>
      </c>
      <c r="O26" s="56">
        <f>COUNT(F26:M26)</f>
        <v/>
      </c>
      <c r="P26" s="57">
        <f>IF(COUNT(Captura_NoFin!H26,Captura_NoFin!I26,Captura_NoFin!J26)&lt;3,"",IF(ABS(Captura_NoFin!H26-Captura_NoFin!I26-Captura_NoFin!J26)&lt;=0.005*ABS(Captura_NoFin!H26),"OK","REVISAR"))</f>
        <v/>
      </c>
    </row>
    <row r="27" ht="15" customHeight="1" s="31">
      <c r="A27" s="51">
        <f>Captura_NoFin!A27</f>
        <v/>
      </c>
      <c r="B27" s="51">
        <f>Captura_NoFin!B27</f>
        <v/>
      </c>
      <c r="C27" s="51">
        <f>Captura_NoFin!C27</f>
        <v/>
      </c>
      <c r="D27" s="52">
        <f>Captura_NoFin!D27</f>
        <v/>
      </c>
      <c r="E27" s="53">
        <f>IF(COUNT(Captura_NoFin!M27,Captura_NoFin!L27)&lt;2,"",Captura_NoFin!M27+ABS(Captura_NoFin!L27))</f>
        <v/>
      </c>
      <c r="F27" s="54">
        <f>IF(COUNT(Captura_NoFin!F27,Captura_NoFin!G27)&lt;2,"",IFERROR(Captura_NoFin!F27/Captura_NoFin!G27,""))</f>
        <v/>
      </c>
      <c r="G27" s="55">
        <f>IF(COUNT(Captura_NoFin!F27,Captura_NoFin!G27,Captura_NoFin!H27)&lt;3,"",IFERROR((Captura_NoFin!F27-Captura_NoFin!G27)/Captura_NoFin!H27,""))</f>
        <v/>
      </c>
      <c r="H27" s="55">
        <f>IF(OR(E27="",COUNT(Captura_NoFin!K27)&lt;1),"",IFERROR(E27/Captura_NoFin!K27,""))</f>
        <v/>
      </c>
      <c r="I27" s="55">
        <f>IF(COUNT(Captura_NoFin!N27,Captura_NoFin!H27)&lt;2,"",IFERROR(Captura_NoFin!N27/Captura_NoFin!H27,""))</f>
        <v/>
      </c>
      <c r="J27" s="55">
        <f>IF(COUNT(Captura_NoFin!I27,Captura_NoFin!H27)&lt;2,"",IFERROR(Captura_NoFin!I27/Captura_NoFin!H27,""))</f>
        <v/>
      </c>
      <c r="K27" s="54">
        <f>IF(OR(E27="",COUNT(Captura_NoFin!L27)&lt;1),"",IFERROR(E27/ABS(Captura_NoFin!L27),""))</f>
        <v/>
      </c>
      <c r="L27" s="54">
        <f>IF(COUNT(Captura_NoFin!K27,Captura_NoFin!H27)&lt;2,"",IFERROR(Captura_NoFin!K27/Captura_NoFin!H27,""))</f>
        <v/>
      </c>
      <c r="M27" s="55">
        <f>IF(COUNT(Captura_NoFin!R27)&lt;1,"",IFERROR(IF(D27=2017,Captura_NoFin!R27/INDEX(Empresas!$I$2:$I$23,MATCH($A27,Empresas!$B$2:$B$23,0))-1,IF(COUNT(Captura_NoFin!R26)&lt;1,"",Captura_NoFin!R27/Captura_NoFin!R26-1)),""))</f>
        <v/>
      </c>
      <c r="N27" s="55">
        <f>IF(COUNT(Captura_NoFin!P27,Captura_NoFin!O27)&lt;2,"",IF(Captura_NoFin!O27&lt;=0,"",Captura_NoFin!P27/Captura_NoFin!O27))</f>
        <v/>
      </c>
      <c r="O27" s="56">
        <f>COUNT(F27:M27)</f>
        <v/>
      </c>
      <c r="P27" s="57">
        <f>IF(COUNT(Captura_NoFin!H27,Captura_NoFin!I27,Captura_NoFin!J27)&lt;3,"",IF(ABS(Captura_NoFin!H27-Captura_NoFin!I27-Captura_NoFin!J27)&lt;=0.005*ABS(Captura_NoFin!H27),"OK","REVISAR"))</f>
        <v/>
      </c>
    </row>
    <row r="28" ht="15" customHeight="1" s="31">
      <c r="A28" s="51">
        <f>Captura_NoFin!A28</f>
        <v/>
      </c>
      <c r="B28" s="51">
        <f>Captura_NoFin!B28</f>
        <v/>
      </c>
      <c r="C28" s="51">
        <f>Captura_NoFin!C28</f>
        <v/>
      </c>
      <c r="D28" s="52">
        <f>Captura_NoFin!D28</f>
        <v/>
      </c>
      <c r="E28" s="53">
        <f>IF(COUNT(Captura_NoFin!M28,Captura_NoFin!L28)&lt;2,"",Captura_NoFin!M28+ABS(Captura_NoFin!L28))</f>
        <v/>
      </c>
      <c r="F28" s="54">
        <f>IF(COUNT(Captura_NoFin!F28,Captura_NoFin!G28)&lt;2,"",IFERROR(Captura_NoFin!F28/Captura_NoFin!G28,""))</f>
        <v/>
      </c>
      <c r="G28" s="55">
        <f>IF(COUNT(Captura_NoFin!F28,Captura_NoFin!G28,Captura_NoFin!H28)&lt;3,"",IFERROR((Captura_NoFin!F28-Captura_NoFin!G28)/Captura_NoFin!H28,""))</f>
        <v/>
      </c>
      <c r="H28" s="55">
        <f>IF(OR(E28="",COUNT(Captura_NoFin!K28)&lt;1),"",IFERROR(E28/Captura_NoFin!K28,""))</f>
        <v/>
      </c>
      <c r="I28" s="55">
        <f>IF(COUNT(Captura_NoFin!N28,Captura_NoFin!H28)&lt;2,"",IFERROR(Captura_NoFin!N28/Captura_NoFin!H28,""))</f>
        <v/>
      </c>
      <c r="J28" s="55">
        <f>IF(COUNT(Captura_NoFin!I28,Captura_NoFin!H28)&lt;2,"",IFERROR(Captura_NoFin!I28/Captura_NoFin!H28,""))</f>
        <v/>
      </c>
      <c r="K28" s="54">
        <f>IF(OR(E28="",COUNT(Captura_NoFin!L28)&lt;1),"",IFERROR(E28/ABS(Captura_NoFin!L28),""))</f>
        <v/>
      </c>
      <c r="L28" s="54">
        <f>IF(COUNT(Captura_NoFin!K28,Captura_NoFin!H28)&lt;2,"",IFERROR(Captura_NoFin!K28/Captura_NoFin!H28,""))</f>
        <v/>
      </c>
      <c r="M28" s="55">
        <f>IF(COUNT(Captura_NoFin!R28)&lt;1,"",IFERROR(IF(D28=2017,Captura_NoFin!R28/INDEX(Empresas!$I$2:$I$23,MATCH($A28,Empresas!$B$2:$B$23,0))-1,IF(COUNT(Captura_NoFin!R27)&lt;1,"",Captura_NoFin!R28/Captura_NoFin!R27-1)),""))</f>
        <v/>
      </c>
      <c r="N28" s="55">
        <f>IF(COUNT(Captura_NoFin!P28,Captura_NoFin!O28)&lt;2,"",IF(Captura_NoFin!O28&lt;=0,"",Captura_NoFin!P28/Captura_NoFin!O28))</f>
        <v/>
      </c>
      <c r="O28" s="56">
        <f>COUNT(F28:M28)</f>
        <v/>
      </c>
      <c r="P28" s="57">
        <f>IF(COUNT(Captura_NoFin!H28,Captura_NoFin!I28,Captura_NoFin!J28)&lt;3,"",IF(ABS(Captura_NoFin!H28-Captura_NoFin!I28-Captura_NoFin!J28)&lt;=0.005*ABS(Captura_NoFin!H28),"OK","REVISAR"))</f>
        <v/>
      </c>
    </row>
    <row r="29" ht="15" customHeight="1" s="31">
      <c r="A29" s="51">
        <f>Captura_NoFin!A29</f>
        <v/>
      </c>
      <c r="B29" s="51">
        <f>Captura_NoFin!B29</f>
        <v/>
      </c>
      <c r="C29" s="51">
        <f>Captura_NoFin!C29</f>
        <v/>
      </c>
      <c r="D29" s="52">
        <f>Captura_NoFin!D29</f>
        <v/>
      </c>
      <c r="E29" s="53">
        <f>IF(COUNT(Captura_NoFin!M29,Captura_NoFin!L29)&lt;2,"",Captura_NoFin!M29+ABS(Captura_NoFin!L29))</f>
        <v/>
      </c>
      <c r="F29" s="54">
        <f>IF(COUNT(Captura_NoFin!F29,Captura_NoFin!G29)&lt;2,"",IFERROR(Captura_NoFin!F29/Captura_NoFin!G29,""))</f>
        <v/>
      </c>
      <c r="G29" s="55">
        <f>IF(COUNT(Captura_NoFin!F29,Captura_NoFin!G29,Captura_NoFin!H29)&lt;3,"",IFERROR((Captura_NoFin!F29-Captura_NoFin!G29)/Captura_NoFin!H29,""))</f>
        <v/>
      </c>
      <c r="H29" s="55">
        <f>IF(OR(E29="",COUNT(Captura_NoFin!K29)&lt;1),"",IFERROR(E29/Captura_NoFin!K29,""))</f>
        <v/>
      </c>
      <c r="I29" s="55">
        <f>IF(COUNT(Captura_NoFin!N29,Captura_NoFin!H29)&lt;2,"",IFERROR(Captura_NoFin!N29/Captura_NoFin!H29,""))</f>
        <v/>
      </c>
      <c r="J29" s="55">
        <f>IF(COUNT(Captura_NoFin!I29,Captura_NoFin!H29)&lt;2,"",IFERROR(Captura_NoFin!I29/Captura_NoFin!H29,""))</f>
        <v/>
      </c>
      <c r="K29" s="54">
        <f>IF(OR(E29="",COUNT(Captura_NoFin!L29)&lt;1),"",IFERROR(E29/ABS(Captura_NoFin!L29),""))</f>
        <v/>
      </c>
      <c r="L29" s="54">
        <f>IF(COUNT(Captura_NoFin!K29,Captura_NoFin!H29)&lt;2,"",IFERROR(Captura_NoFin!K29/Captura_NoFin!H29,""))</f>
        <v/>
      </c>
      <c r="M29" s="55">
        <f>IF(COUNT(Captura_NoFin!R29)&lt;1,"",IFERROR(IF(D29=2017,Captura_NoFin!R29/INDEX(Empresas!$I$2:$I$23,MATCH($A29,Empresas!$B$2:$B$23,0))-1,IF(COUNT(Captura_NoFin!R28)&lt;1,"",Captura_NoFin!R29/Captura_NoFin!R28-1)),""))</f>
        <v/>
      </c>
      <c r="N29" s="55">
        <f>IF(COUNT(Captura_NoFin!P29,Captura_NoFin!O29)&lt;2,"",IF(Captura_NoFin!O29&lt;=0,"",Captura_NoFin!P29/Captura_NoFin!O29))</f>
        <v/>
      </c>
      <c r="O29" s="56">
        <f>COUNT(F29:M29)</f>
        <v/>
      </c>
      <c r="P29" s="57">
        <f>IF(COUNT(Captura_NoFin!H29,Captura_NoFin!I29,Captura_NoFin!J29)&lt;3,"",IF(ABS(Captura_NoFin!H29-Captura_NoFin!I29-Captura_NoFin!J29)&lt;=0.005*ABS(Captura_NoFin!H29),"OK","REVISAR"))</f>
        <v/>
      </c>
    </row>
    <row r="30" ht="15" customHeight="1" s="31">
      <c r="A30" s="51">
        <f>Captura_NoFin!A30</f>
        <v/>
      </c>
      <c r="B30" s="51">
        <f>Captura_NoFin!B30</f>
        <v/>
      </c>
      <c r="C30" s="51">
        <f>Captura_NoFin!C30</f>
        <v/>
      </c>
      <c r="D30" s="52">
        <f>Captura_NoFin!D30</f>
        <v/>
      </c>
      <c r="E30" s="53">
        <f>IF(COUNT(Captura_NoFin!M30,Captura_NoFin!L30)&lt;2,"",Captura_NoFin!M30+ABS(Captura_NoFin!L30))</f>
        <v/>
      </c>
      <c r="F30" s="54">
        <f>IF(COUNT(Captura_NoFin!F30,Captura_NoFin!G30)&lt;2,"",IFERROR(Captura_NoFin!F30/Captura_NoFin!G30,""))</f>
        <v/>
      </c>
      <c r="G30" s="55">
        <f>IF(COUNT(Captura_NoFin!F30,Captura_NoFin!G30,Captura_NoFin!H30)&lt;3,"",IFERROR((Captura_NoFin!F30-Captura_NoFin!G30)/Captura_NoFin!H30,""))</f>
        <v/>
      </c>
      <c r="H30" s="55">
        <f>IF(OR(E30="",COUNT(Captura_NoFin!K30)&lt;1),"",IFERROR(E30/Captura_NoFin!K30,""))</f>
        <v/>
      </c>
      <c r="I30" s="55">
        <f>IF(COUNT(Captura_NoFin!N30,Captura_NoFin!H30)&lt;2,"",IFERROR(Captura_NoFin!N30/Captura_NoFin!H30,""))</f>
        <v/>
      </c>
      <c r="J30" s="55">
        <f>IF(COUNT(Captura_NoFin!I30,Captura_NoFin!H30)&lt;2,"",IFERROR(Captura_NoFin!I30/Captura_NoFin!H30,""))</f>
        <v/>
      </c>
      <c r="K30" s="54">
        <f>IF(OR(E30="",COUNT(Captura_NoFin!L30)&lt;1),"",IFERROR(E30/ABS(Captura_NoFin!L30),""))</f>
        <v/>
      </c>
      <c r="L30" s="54">
        <f>IF(COUNT(Captura_NoFin!K30,Captura_NoFin!H30)&lt;2,"",IFERROR(Captura_NoFin!K30/Captura_NoFin!H30,""))</f>
        <v/>
      </c>
      <c r="M30" s="55">
        <f>IF(COUNT(Captura_NoFin!R30)&lt;1,"",IFERROR(IF(D30=2017,Captura_NoFin!R30/INDEX(Empresas!$I$2:$I$23,MATCH($A30,Empresas!$B$2:$B$23,0))-1,IF(COUNT(Captura_NoFin!R29)&lt;1,"",Captura_NoFin!R30/Captura_NoFin!R29-1)),""))</f>
        <v/>
      </c>
      <c r="N30" s="55">
        <f>IF(COUNT(Captura_NoFin!P30,Captura_NoFin!O30)&lt;2,"",IF(Captura_NoFin!O30&lt;=0,"",Captura_NoFin!P30/Captura_NoFin!O30))</f>
        <v/>
      </c>
      <c r="O30" s="56">
        <f>COUNT(F30:M30)</f>
        <v/>
      </c>
      <c r="P30" s="57">
        <f>IF(COUNT(Captura_NoFin!H30,Captura_NoFin!I30,Captura_NoFin!J30)&lt;3,"",IF(ABS(Captura_NoFin!H30-Captura_NoFin!I30-Captura_NoFin!J30)&lt;=0.005*ABS(Captura_NoFin!H30),"OK","REVISAR"))</f>
        <v/>
      </c>
    </row>
    <row r="31" ht="15" customHeight="1" s="31">
      <c r="A31" s="51">
        <f>Captura_NoFin!A31</f>
        <v/>
      </c>
      <c r="B31" s="51">
        <f>Captura_NoFin!B31</f>
        <v/>
      </c>
      <c r="C31" s="51">
        <f>Captura_NoFin!C31</f>
        <v/>
      </c>
      <c r="D31" s="52">
        <f>Captura_NoFin!D31</f>
        <v/>
      </c>
      <c r="E31" s="53">
        <f>IF(COUNT(Captura_NoFin!M31,Captura_NoFin!L31)&lt;2,"",Captura_NoFin!M31+ABS(Captura_NoFin!L31))</f>
        <v/>
      </c>
      <c r="F31" s="54">
        <f>IF(COUNT(Captura_NoFin!F31,Captura_NoFin!G31)&lt;2,"",IFERROR(Captura_NoFin!F31/Captura_NoFin!G31,""))</f>
        <v/>
      </c>
      <c r="G31" s="55">
        <f>IF(COUNT(Captura_NoFin!F31,Captura_NoFin!G31,Captura_NoFin!H31)&lt;3,"",IFERROR((Captura_NoFin!F31-Captura_NoFin!G31)/Captura_NoFin!H31,""))</f>
        <v/>
      </c>
      <c r="H31" s="55">
        <f>IF(OR(E31="",COUNT(Captura_NoFin!K31)&lt;1),"",IFERROR(E31/Captura_NoFin!K31,""))</f>
        <v/>
      </c>
      <c r="I31" s="55">
        <f>IF(COUNT(Captura_NoFin!N31,Captura_NoFin!H31)&lt;2,"",IFERROR(Captura_NoFin!N31/Captura_NoFin!H31,""))</f>
        <v/>
      </c>
      <c r="J31" s="55">
        <f>IF(COUNT(Captura_NoFin!I31,Captura_NoFin!H31)&lt;2,"",IFERROR(Captura_NoFin!I31/Captura_NoFin!H31,""))</f>
        <v/>
      </c>
      <c r="K31" s="54">
        <f>IF(OR(E31="",COUNT(Captura_NoFin!L31)&lt;1),"",IFERROR(E31/ABS(Captura_NoFin!L31),""))</f>
        <v/>
      </c>
      <c r="L31" s="54">
        <f>IF(COUNT(Captura_NoFin!K31,Captura_NoFin!H31)&lt;2,"",IFERROR(Captura_NoFin!K31/Captura_NoFin!H31,""))</f>
        <v/>
      </c>
      <c r="M31" s="55">
        <f>IF(COUNT(Captura_NoFin!R31)&lt;1,"",IFERROR(IF(D31=2017,Captura_NoFin!R31/INDEX(Empresas!$I$2:$I$23,MATCH($A31,Empresas!$B$2:$B$23,0))-1,IF(COUNT(Captura_NoFin!R30)&lt;1,"",Captura_NoFin!R31/Captura_NoFin!R30-1)),""))</f>
        <v/>
      </c>
      <c r="N31" s="55">
        <f>IF(COUNT(Captura_NoFin!P31,Captura_NoFin!O31)&lt;2,"",IF(Captura_NoFin!O31&lt;=0,"",Captura_NoFin!P31/Captura_NoFin!O31))</f>
        <v/>
      </c>
      <c r="O31" s="56">
        <f>COUNT(F31:M31)</f>
        <v/>
      </c>
      <c r="P31" s="57">
        <f>IF(COUNT(Captura_NoFin!H31,Captura_NoFin!I31,Captura_NoFin!J31)&lt;3,"",IF(ABS(Captura_NoFin!H31-Captura_NoFin!I31-Captura_NoFin!J31)&lt;=0.005*ABS(Captura_NoFin!H31),"OK","REVISAR"))</f>
        <v/>
      </c>
    </row>
    <row r="32" ht="15" customHeight="1" s="31">
      <c r="A32" s="51">
        <f>Captura_NoFin!A32</f>
        <v/>
      </c>
      <c r="B32" s="51">
        <f>Captura_NoFin!B32</f>
        <v/>
      </c>
      <c r="C32" s="51">
        <f>Captura_NoFin!C32</f>
        <v/>
      </c>
      <c r="D32" s="52">
        <f>Captura_NoFin!D32</f>
        <v/>
      </c>
      <c r="E32" s="53">
        <f>IF(COUNT(Captura_NoFin!M32,Captura_NoFin!L32)&lt;2,"",Captura_NoFin!M32+ABS(Captura_NoFin!L32))</f>
        <v/>
      </c>
      <c r="F32" s="54">
        <f>IF(COUNT(Captura_NoFin!F32,Captura_NoFin!G32)&lt;2,"",IFERROR(Captura_NoFin!F32/Captura_NoFin!G32,""))</f>
        <v/>
      </c>
      <c r="G32" s="55">
        <f>IF(COUNT(Captura_NoFin!F32,Captura_NoFin!G32,Captura_NoFin!H32)&lt;3,"",IFERROR((Captura_NoFin!F32-Captura_NoFin!G32)/Captura_NoFin!H32,""))</f>
        <v/>
      </c>
      <c r="H32" s="55">
        <f>IF(OR(E32="",COUNT(Captura_NoFin!K32)&lt;1),"",IFERROR(E32/Captura_NoFin!K32,""))</f>
        <v/>
      </c>
      <c r="I32" s="55">
        <f>IF(COUNT(Captura_NoFin!N32,Captura_NoFin!H32)&lt;2,"",IFERROR(Captura_NoFin!N32/Captura_NoFin!H32,""))</f>
        <v/>
      </c>
      <c r="J32" s="55">
        <f>IF(COUNT(Captura_NoFin!I32,Captura_NoFin!H32)&lt;2,"",IFERROR(Captura_NoFin!I32/Captura_NoFin!H32,""))</f>
        <v/>
      </c>
      <c r="K32" s="54">
        <f>IF(OR(E32="",COUNT(Captura_NoFin!L32)&lt;1),"",IFERROR(E32/ABS(Captura_NoFin!L32),""))</f>
        <v/>
      </c>
      <c r="L32" s="54">
        <f>IF(COUNT(Captura_NoFin!K32,Captura_NoFin!H32)&lt;2,"",IFERROR(Captura_NoFin!K32/Captura_NoFin!H32,""))</f>
        <v/>
      </c>
      <c r="M32" s="55">
        <f>IF(COUNT(Captura_NoFin!R32)&lt;1,"",IFERROR(IF(D32=2017,Captura_NoFin!R32/INDEX(Empresas!$I$2:$I$23,MATCH($A32,Empresas!$B$2:$B$23,0))-1,IF(COUNT(Captura_NoFin!R31)&lt;1,"",Captura_NoFin!R32/Captura_NoFin!R31-1)),""))</f>
        <v/>
      </c>
      <c r="N32" s="55">
        <f>IF(COUNT(Captura_NoFin!P32,Captura_NoFin!O32)&lt;2,"",IF(Captura_NoFin!O32&lt;=0,"",Captura_NoFin!P32/Captura_NoFin!O32))</f>
        <v/>
      </c>
      <c r="O32" s="56">
        <f>COUNT(F32:M32)</f>
        <v/>
      </c>
      <c r="P32" s="57">
        <f>IF(COUNT(Captura_NoFin!H32,Captura_NoFin!I32,Captura_NoFin!J32)&lt;3,"",IF(ABS(Captura_NoFin!H32-Captura_NoFin!I32-Captura_NoFin!J32)&lt;=0.005*ABS(Captura_NoFin!H32),"OK","REVISAR"))</f>
        <v/>
      </c>
    </row>
    <row r="33" ht="15" customHeight="1" s="31">
      <c r="A33" s="51">
        <f>Captura_NoFin!A33</f>
        <v/>
      </c>
      <c r="B33" s="51">
        <f>Captura_NoFin!B33</f>
        <v/>
      </c>
      <c r="C33" s="51">
        <f>Captura_NoFin!C33</f>
        <v/>
      </c>
      <c r="D33" s="52">
        <f>Captura_NoFin!D33</f>
        <v/>
      </c>
      <c r="E33" s="53">
        <f>IF(COUNT(Captura_NoFin!M33,Captura_NoFin!L33)&lt;2,"",Captura_NoFin!M33+ABS(Captura_NoFin!L33))</f>
        <v/>
      </c>
      <c r="F33" s="54">
        <f>IF(COUNT(Captura_NoFin!F33,Captura_NoFin!G33)&lt;2,"",IFERROR(Captura_NoFin!F33/Captura_NoFin!G33,""))</f>
        <v/>
      </c>
      <c r="G33" s="55">
        <f>IF(COUNT(Captura_NoFin!F33,Captura_NoFin!G33,Captura_NoFin!H33)&lt;3,"",IFERROR((Captura_NoFin!F33-Captura_NoFin!G33)/Captura_NoFin!H33,""))</f>
        <v/>
      </c>
      <c r="H33" s="55">
        <f>IF(OR(E33="",COUNT(Captura_NoFin!K33)&lt;1),"",IFERROR(E33/Captura_NoFin!K33,""))</f>
        <v/>
      </c>
      <c r="I33" s="55">
        <f>IF(COUNT(Captura_NoFin!N33,Captura_NoFin!H33)&lt;2,"",IFERROR(Captura_NoFin!N33/Captura_NoFin!H33,""))</f>
        <v/>
      </c>
      <c r="J33" s="55">
        <f>IF(COUNT(Captura_NoFin!I33,Captura_NoFin!H33)&lt;2,"",IFERROR(Captura_NoFin!I33/Captura_NoFin!H33,""))</f>
        <v/>
      </c>
      <c r="K33" s="54">
        <f>IF(OR(E33="",COUNT(Captura_NoFin!L33)&lt;1),"",IFERROR(E33/ABS(Captura_NoFin!L33),""))</f>
        <v/>
      </c>
      <c r="L33" s="54">
        <f>IF(COUNT(Captura_NoFin!K33,Captura_NoFin!H33)&lt;2,"",IFERROR(Captura_NoFin!K33/Captura_NoFin!H33,""))</f>
        <v/>
      </c>
      <c r="M33" s="55">
        <f>IF(COUNT(Captura_NoFin!R33)&lt;1,"",IFERROR(IF(D33=2017,Captura_NoFin!R33/INDEX(Empresas!$I$2:$I$23,MATCH($A33,Empresas!$B$2:$B$23,0))-1,IF(COUNT(Captura_NoFin!R32)&lt;1,"",Captura_NoFin!R33/Captura_NoFin!R32-1)),""))</f>
        <v/>
      </c>
      <c r="N33" s="55">
        <f>IF(COUNT(Captura_NoFin!P33,Captura_NoFin!O33)&lt;2,"",IF(Captura_NoFin!O33&lt;=0,"",Captura_NoFin!P33/Captura_NoFin!O33))</f>
        <v/>
      </c>
      <c r="O33" s="56">
        <f>COUNT(F33:M33)</f>
        <v/>
      </c>
      <c r="P33" s="57">
        <f>IF(COUNT(Captura_NoFin!H33,Captura_NoFin!I33,Captura_NoFin!J33)&lt;3,"",IF(ABS(Captura_NoFin!H33-Captura_NoFin!I33-Captura_NoFin!J33)&lt;=0.005*ABS(Captura_NoFin!H33),"OK","REVISAR"))</f>
        <v/>
      </c>
    </row>
    <row r="34" ht="15" customHeight="1" s="31">
      <c r="A34" s="51">
        <f>Captura_NoFin!A34</f>
        <v/>
      </c>
      <c r="B34" s="51">
        <f>Captura_NoFin!B34</f>
        <v/>
      </c>
      <c r="C34" s="51">
        <f>Captura_NoFin!C34</f>
        <v/>
      </c>
      <c r="D34" s="52">
        <f>Captura_NoFin!D34</f>
        <v/>
      </c>
      <c r="E34" s="53">
        <f>IF(COUNT(Captura_NoFin!M34,Captura_NoFin!L34)&lt;2,"",Captura_NoFin!M34+ABS(Captura_NoFin!L34))</f>
        <v/>
      </c>
      <c r="F34" s="54">
        <f>IF(COUNT(Captura_NoFin!F34,Captura_NoFin!G34)&lt;2,"",IFERROR(Captura_NoFin!F34/Captura_NoFin!G34,""))</f>
        <v/>
      </c>
      <c r="G34" s="55">
        <f>IF(COUNT(Captura_NoFin!F34,Captura_NoFin!G34,Captura_NoFin!H34)&lt;3,"",IFERROR((Captura_NoFin!F34-Captura_NoFin!G34)/Captura_NoFin!H34,""))</f>
        <v/>
      </c>
      <c r="H34" s="55">
        <f>IF(OR(E34="",COUNT(Captura_NoFin!K34)&lt;1),"",IFERROR(E34/Captura_NoFin!K34,""))</f>
        <v/>
      </c>
      <c r="I34" s="55">
        <f>IF(COUNT(Captura_NoFin!N34,Captura_NoFin!H34)&lt;2,"",IFERROR(Captura_NoFin!N34/Captura_NoFin!H34,""))</f>
        <v/>
      </c>
      <c r="J34" s="55">
        <f>IF(COUNT(Captura_NoFin!I34,Captura_NoFin!H34)&lt;2,"",IFERROR(Captura_NoFin!I34/Captura_NoFin!H34,""))</f>
        <v/>
      </c>
      <c r="K34" s="54">
        <f>IF(OR(E34="",COUNT(Captura_NoFin!L34)&lt;1),"",IFERROR(E34/ABS(Captura_NoFin!L34),""))</f>
        <v/>
      </c>
      <c r="L34" s="54">
        <f>IF(COUNT(Captura_NoFin!K34,Captura_NoFin!H34)&lt;2,"",IFERROR(Captura_NoFin!K34/Captura_NoFin!H34,""))</f>
        <v/>
      </c>
      <c r="M34" s="55">
        <f>IF(COUNT(Captura_NoFin!R34)&lt;1,"",IFERROR(IF(D34=2017,Captura_NoFin!R34/INDEX(Empresas!$I$2:$I$23,MATCH($A34,Empresas!$B$2:$B$23,0))-1,IF(COUNT(Captura_NoFin!R33)&lt;1,"",Captura_NoFin!R34/Captura_NoFin!R33-1)),""))</f>
        <v/>
      </c>
      <c r="N34" s="55">
        <f>IF(COUNT(Captura_NoFin!P34,Captura_NoFin!O34)&lt;2,"",IF(Captura_NoFin!O34&lt;=0,"",Captura_NoFin!P34/Captura_NoFin!O34))</f>
        <v/>
      </c>
      <c r="O34" s="56">
        <f>COUNT(F34:M34)</f>
        <v/>
      </c>
      <c r="P34" s="57">
        <f>IF(COUNT(Captura_NoFin!H34,Captura_NoFin!I34,Captura_NoFin!J34)&lt;3,"",IF(ABS(Captura_NoFin!H34-Captura_NoFin!I34-Captura_NoFin!J34)&lt;=0.005*ABS(Captura_NoFin!H34),"OK","REVISAR"))</f>
        <v/>
      </c>
    </row>
    <row r="35" ht="15" customHeight="1" s="31">
      <c r="A35" s="51">
        <f>Captura_NoFin!A35</f>
        <v/>
      </c>
      <c r="B35" s="51">
        <f>Captura_NoFin!B35</f>
        <v/>
      </c>
      <c r="C35" s="51">
        <f>Captura_NoFin!C35</f>
        <v/>
      </c>
      <c r="D35" s="52">
        <f>Captura_NoFin!D35</f>
        <v/>
      </c>
      <c r="E35" s="53">
        <f>IF(COUNT(Captura_NoFin!M35,Captura_NoFin!L35)&lt;2,"",Captura_NoFin!M35+ABS(Captura_NoFin!L35))</f>
        <v/>
      </c>
      <c r="F35" s="54">
        <f>IF(COUNT(Captura_NoFin!F35,Captura_NoFin!G35)&lt;2,"",IFERROR(Captura_NoFin!F35/Captura_NoFin!G35,""))</f>
        <v/>
      </c>
      <c r="G35" s="55">
        <f>IF(COUNT(Captura_NoFin!F35,Captura_NoFin!G35,Captura_NoFin!H35)&lt;3,"",IFERROR((Captura_NoFin!F35-Captura_NoFin!G35)/Captura_NoFin!H35,""))</f>
        <v/>
      </c>
      <c r="H35" s="55">
        <f>IF(OR(E35="",COUNT(Captura_NoFin!K35)&lt;1),"",IFERROR(E35/Captura_NoFin!K35,""))</f>
        <v/>
      </c>
      <c r="I35" s="55">
        <f>IF(COUNT(Captura_NoFin!N35,Captura_NoFin!H35)&lt;2,"",IFERROR(Captura_NoFin!N35/Captura_NoFin!H35,""))</f>
        <v/>
      </c>
      <c r="J35" s="55">
        <f>IF(COUNT(Captura_NoFin!I35,Captura_NoFin!H35)&lt;2,"",IFERROR(Captura_NoFin!I35/Captura_NoFin!H35,""))</f>
        <v/>
      </c>
      <c r="K35" s="54">
        <f>IF(OR(E35="",COUNT(Captura_NoFin!L35)&lt;1),"",IFERROR(E35/ABS(Captura_NoFin!L35),""))</f>
        <v/>
      </c>
      <c r="L35" s="54">
        <f>IF(COUNT(Captura_NoFin!K35,Captura_NoFin!H35)&lt;2,"",IFERROR(Captura_NoFin!K35/Captura_NoFin!H35,""))</f>
        <v/>
      </c>
      <c r="M35" s="55">
        <f>IF(COUNT(Captura_NoFin!R35)&lt;1,"",IFERROR(IF(D35=2017,Captura_NoFin!R35/INDEX(Empresas!$I$2:$I$23,MATCH($A35,Empresas!$B$2:$B$23,0))-1,IF(COUNT(Captura_NoFin!R34)&lt;1,"",Captura_NoFin!R35/Captura_NoFin!R34-1)),""))</f>
        <v/>
      </c>
      <c r="N35" s="55">
        <f>IF(COUNT(Captura_NoFin!P35,Captura_NoFin!O35)&lt;2,"",IF(Captura_NoFin!O35&lt;=0,"",Captura_NoFin!P35/Captura_NoFin!O35))</f>
        <v/>
      </c>
      <c r="O35" s="56">
        <f>COUNT(F35:M35)</f>
        <v/>
      </c>
      <c r="P35" s="57">
        <f>IF(COUNT(Captura_NoFin!H35,Captura_NoFin!I35,Captura_NoFin!J35)&lt;3,"",IF(ABS(Captura_NoFin!H35-Captura_NoFin!I35-Captura_NoFin!J35)&lt;=0.005*ABS(Captura_NoFin!H35),"OK","REVISAR"))</f>
        <v/>
      </c>
    </row>
    <row r="36" ht="15" customHeight="1" s="31">
      <c r="A36" s="51">
        <f>Captura_NoFin!A36</f>
        <v/>
      </c>
      <c r="B36" s="51">
        <f>Captura_NoFin!B36</f>
        <v/>
      </c>
      <c r="C36" s="51">
        <f>Captura_NoFin!C36</f>
        <v/>
      </c>
      <c r="D36" s="52">
        <f>Captura_NoFin!D36</f>
        <v/>
      </c>
      <c r="E36" s="53">
        <f>IF(COUNT(Captura_NoFin!M36,Captura_NoFin!L36)&lt;2,"",Captura_NoFin!M36+ABS(Captura_NoFin!L36))</f>
        <v/>
      </c>
      <c r="F36" s="54">
        <f>IF(COUNT(Captura_NoFin!F36,Captura_NoFin!G36)&lt;2,"",IFERROR(Captura_NoFin!F36/Captura_NoFin!G36,""))</f>
        <v/>
      </c>
      <c r="G36" s="55">
        <f>IF(COUNT(Captura_NoFin!F36,Captura_NoFin!G36,Captura_NoFin!H36)&lt;3,"",IFERROR((Captura_NoFin!F36-Captura_NoFin!G36)/Captura_NoFin!H36,""))</f>
        <v/>
      </c>
      <c r="H36" s="55">
        <f>IF(OR(E36="",COUNT(Captura_NoFin!K36)&lt;1),"",IFERROR(E36/Captura_NoFin!K36,""))</f>
        <v/>
      </c>
      <c r="I36" s="55">
        <f>IF(COUNT(Captura_NoFin!N36,Captura_NoFin!H36)&lt;2,"",IFERROR(Captura_NoFin!N36/Captura_NoFin!H36,""))</f>
        <v/>
      </c>
      <c r="J36" s="55">
        <f>IF(COUNT(Captura_NoFin!I36,Captura_NoFin!H36)&lt;2,"",IFERROR(Captura_NoFin!I36/Captura_NoFin!H36,""))</f>
        <v/>
      </c>
      <c r="K36" s="54">
        <f>IF(OR(E36="",COUNT(Captura_NoFin!L36)&lt;1),"",IFERROR(E36/ABS(Captura_NoFin!L36),""))</f>
        <v/>
      </c>
      <c r="L36" s="54">
        <f>IF(COUNT(Captura_NoFin!K36,Captura_NoFin!H36)&lt;2,"",IFERROR(Captura_NoFin!K36/Captura_NoFin!H36,""))</f>
        <v/>
      </c>
      <c r="M36" s="55">
        <f>IF(COUNT(Captura_NoFin!R36)&lt;1,"",IFERROR(IF(D36=2017,Captura_NoFin!R36/INDEX(Empresas!$I$2:$I$23,MATCH($A36,Empresas!$B$2:$B$23,0))-1,IF(COUNT(Captura_NoFin!R35)&lt;1,"",Captura_NoFin!R36/Captura_NoFin!R35-1)),""))</f>
        <v/>
      </c>
      <c r="N36" s="55">
        <f>IF(COUNT(Captura_NoFin!P36,Captura_NoFin!O36)&lt;2,"",IF(Captura_NoFin!O36&lt;=0,"",Captura_NoFin!P36/Captura_NoFin!O36))</f>
        <v/>
      </c>
      <c r="O36" s="56">
        <f>COUNT(F36:M36)</f>
        <v/>
      </c>
      <c r="P36" s="57">
        <f>IF(COUNT(Captura_NoFin!H36,Captura_NoFin!I36,Captura_NoFin!J36)&lt;3,"",IF(ABS(Captura_NoFin!H36-Captura_NoFin!I36-Captura_NoFin!J36)&lt;=0.005*ABS(Captura_NoFin!H36),"OK","REVISAR"))</f>
        <v/>
      </c>
    </row>
    <row r="37" ht="15" customHeight="1" s="31">
      <c r="A37" s="51">
        <f>Captura_NoFin!A37</f>
        <v/>
      </c>
      <c r="B37" s="51">
        <f>Captura_NoFin!B37</f>
        <v/>
      </c>
      <c r="C37" s="51">
        <f>Captura_NoFin!C37</f>
        <v/>
      </c>
      <c r="D37" s="52">
        <f>Captura_NoFin!D37</f>
        <v/>
      </c>
      <c r="E37" s="53">
        <f>IF(COUNT(Captura_NoFin!M37,Captura_NoFin!L37)&lt;2,"",Captura_NoFin!M37+ABS(Captura_NoFin!L37))</f>
        <v/>
      </c>
      <c r="F37" s="54">
        <f>IF(COUNT(Captura_NoFin!F37,Captura_NoFin!G37)&lt;2,"",IFERROR(Captura_NoFin!F37/Captura_NoFin!G37,""))</f>
        <v/>
      </c>
      <c r="G37" s="55">
        <f>IF(COUNT(Captura_NoFin!F37,Captura_NoFin!G37,Captura_NoFin!H37)&lt;3,"",IFERROR((Captura_NoFin!F37-Captura_NoFin!G37)/Captura_NoFin!H37,""))</f>
        <v/>
      </c>
      <c r="H37" s="55">
        <f>IF(OR(E37="",COUNT(Captura_NoFin!K37)&lt;1),"",IFERROR(E37/Captura_NoFin!K37,""))</f>
        <v/>
      </c>
      <c r="I37" s="55">
        <f>IF(COUNT(Captura_NoFin!N37,Captura_NoFin!H37)&lt;2,"",IFERROR(Captura_NoFin!N37/Captura_NoFin!H37,""))</f>
        <v/>
      </c>
      <c r="J37" s="55">
        <f>IF(COUNT(Captura_NoFin!I37,Captura_NoFin!H37)&lt;2,"",IFERROR(Captura_NoFin!I37/Captura_NoFin!H37,""))</f>
        <v/>
      </c>
      <c r="K37" s="54">
        <f>IF(OR(E37="",COUNT(Captura_NoFin!L37)&lt;1),"",IFERROR(E37/ABS(Captura_NoFin!L37),""))</f>
        <v/>
      </c>
      <c r="L37" s="54">
        <f>IF(COUNT(Captura_NoFin!K37,Captura_NoFin!H37)&lt;2,"",IFERROR(Captura_NoFin!K37/Captura_NoFin!H37,""))</f>
        <v/>
      </c>
      <c r="M37" s="55">
        <f>IF(COUNT(Captura_NoFin!R37)&lt;1,"",IFERROR(IF(D37=2017,Captura_NoFin!R37/INDEX(Empresas!$I$2:$I$23,MATCH($A37,Empresas!$B$2:$B$23,0))-1,IF(COUNT(Captura_NoFin!R36)&lt;1,"",Captura_NoFin!R37/Captura_NoFin!R36-1)),""))</f>
        <v/>
      </c>
      <c r="N37" s="55">
        <f>IF(COUNT(Captura_NoFin!P37,Captura_NoFin!O37)&lt;2,"",IF(Captura_NoFin!O37&lt;=0,"",Captura_NoFin!P37/Captura_NoFin!O37))</f>
        <v/>
      </c>
      <c r="O37" s="56">
        <f>COUNT(F37:M37)</f>
        <v/>
      </c>
      <c r="P37" s="57">
        <f>IF(COUNT(Captura_NoFin!H37,Captura_NoFin!I37,Captura_NoFin!J37)&lt;3,"",IF(ABS(Captura_NoFin!H37-Captura_NoFin!I37-Captura_NoFin!J37)&lt;=0.005*ABS(Captura_NoFin!H37),"OK","REVISAR"))</f>
        <v/>
      </c>
    </row>
    <row r="38" ht="15" customHeight="1" s="31">
      <c r="A38" s="51">
        <f>Captura_NoFin!A38</f>
        <v/>
      </c>
      <c r="B38" s="51">
        <f>Captura_NoFin!B38</f>
        <v/>
      </c>
      <c r="C38" s="51">
        <f>Captura_NoFin!C38</f>
        <v/>
      </c>
      <c r="D38" s="52">
        <f>Captura_NoFin!D38</f>
        <v/>
      </c>
      <c r="E38" s="53">
        <f>IF(COUNT(Captura_NoFin!M38,Captura_NoFin!L38)&lt;2,"",Captura_NoFin!M38+ABS(Captura_NoFin!L38))</f>
        <v/>
      </c>
      <c r="F38" s="54">
        <f>IF(COUNT(Captura_NoFin!F38,Captura_NoFin!G38)&lt;2,"",IFERROR(Captura_NoFin!F38/Captura_NoFin!G38,""))</f>
        <v/>
      </c>
      <c r="G38" s="55">
        <f>IF(COUNT(Captura_NoFin!F38,Captura_NoFin!G38,Captura_NoFin!H38)&lt;3,"",IFERROR((Captura_NoFin!F38-Captura_NoFin!G38)/Captura_NoFin!H38,""))</f>
        <v/>
      </c>
      <c r="H38" s="55">
        <f>IF(OR(E38="",COUNT(Captura_NoFin!K38)&lt;1),"",IFERROR(E38/Captura_NoFin!K38,""))</f>
        <v/>
      </c>
      <c r="I38" s="55">
        <f>IF(COUNT(Captura_NoFin!N38,Captura_NoFin!H38)&lt;2,"",IFERROR(Captura_NoFin!N38/Captura_NoFin!H38,""))</f>
        <v/>
      </c>
      <c r="J38" s="55">
        <f>IF(COUNT(Captura_NoFin!I38,Captura_NoFin!H38)&lt;2,"",IFERROR(Captura_NoFin!I38/Captura_NoFin!H38,""))</f>
        <v/>
      </c>
      <c r="K38" s="54">
        <f>IF(OR(E38="",COUNT(Captura_NoFin!L38)&lt;1),"",IFERROR(E38/ABS(Captura_NoFin!L38),""))</f>
        <v/>
      </c>
      <c r="L38" s="54">
        <f>IF(COUNT(Captura_NoFin!K38,Captura_NoFin!H38)&lt;2,"",IFERROR(Captura_NoFin!K38/Captura_NoFin!H38,""))</f>
        <v/>
      </c>
      <c r="M38" s="55">
        <f>IF(COUNT(Captura_NoFin!R38)&lt;1,"",IFERROR(IF(D38=2017,Captura_NoFin!R38/INDEX(Empresas!$I$2:$I$23,MATCH($A38,Empresas!$B$2:$B$23,0))-1,IF(COUNT(Captura_NoFin!R37)&lt;1,"",Captura_NoFin!R38/Captura_NoFin!R37-1)),""))</f>
        <v/>
      </c>
      <c r="N38" s="55">
        <f>IF(COUNT(Captura_NoFin!P38,Captura_NoFin!O38)&lt;2,"",IF(Captura_NoFin!O38&lt;=0,"",Captura_NoFin!P38/Captura_NoFin!O38))</f>
        <v/>
      </c>
      <c r="O38" s="56">
        <f>COUNT(F38:M38)</f>
        <v/>
      </c>
      <c r="P38" s="57">
        <f>IF(COUNT(Captura_NoFin!H38,Captura_NoFin!I38,Captura_NoFin!J38)&lt;3,"",IF(ABS(Captura_NoFin!H38-Captura_NoFin!I38-Captura_NoFin!J38)&lt;=0.005*ABS(Captura_NoFin!H38),"OK","REVISAR"))</f>
        <v/>
      </c>
    </row>
    <row r="39" ht="15" customHeight="1" s="31">
      <c r="A39" s="51">
        <f>Captura_NoFin!A39</f>
        <v/>
      </c>
      <c r="B39" s="51">
        <f>Captura_NoFin!B39</f>
        <v/>
      </c>
      <c r="C39" s="51">
        <f>Captura_NoFin!C39</f>
        <v/>
      </c>
      <c r="D39" s="52">
        <f>Captura_NoFin!D39</f>
        <v/>
      </c>
      <c r="E39" s="53">
        <f>IF(COUNT(Captura_NoFin!M39,Captura_NoFin!L39)&lt;2,"",Captura_NoFin!M39+ABS(Captura_NoFin!L39))</f>
        <v/>
      </c>
      <c r="F39" s="54">
        <f>IF(COUNT(Captura_NoFin!F39,Captura_NoFin!G39)&lt;2,"",IFERROR(Captura_NoFin!F39/Captura_NoFin!G39,""))</f>
        <v/>
      </c>
      <c r="G39" s="55">
        <f>IF(COUNT(Captura_NoFin!F39,Captura_NoFin!G39,Captura_NoFin!H39)&lt;3,"",IFERROR((Captura_NoFin!F39-Captura_NoFin!G39)/Captura_NoFin!H39,""))</f>
        <v/>
      </c>
      <c r="H39" s="55">
        <f>IF(OR(E39="",COUNT(Captura_NoFin!K39)&lt;1),"",IFERROR(E39/Captura_NoFin!K39,""))</f>
        <v/>
      </c>
      <c r="I39" s="55">
        <f>IF(COUNT(Captura_NoFin!N39,Captura_NoFin!H39)&lt;2,"",IFERROR(Captura_NoFin!N39/Captura_NoFin!H39,""))</f>
        <v/>
      </c>
      <c r="J39" s="55">
        <f>IF(COUNT(Captura_NoFin!I39,Captura_NoFin!H39)&lt;2,"",IFERROR(Captura_NoFin!I39/Captura_NoFin!H39,""))</f>
        <v/>
      </c>
      <c r="K39" s="54">
        <f>IF(OR(E39="",COUNT(Captura_NoFin!L39)&lt;1),"",IFERROR(E39/ABS(Captura_NoFin!L39),""))</f>
        <v/>
      </c>
      <c r="L39" s="54">
        <f>IF(COUNT(Captura_NoFin!K39,Captura_NoFin!H39)&lt;2,"",IFERROR(Captura_NoFin!K39/Captura_NoFin!H39,""))</f>
        <v/>
      </c>
      <c r="M39" s="55">
        <f>IF(COUNT(Captura_NoFin!R39)&lt;1,"",IFERROR(IF(D39=2017,Captura_NoFin!R39/INDEX(Empresas!$I$2:$I$23,MATCH($A39,Empresas!$B$2:$B$23,0))-1,IF(COUNT(Captura_NoFin!R38)&lt;1,"",Captura_NoFin!R39/Captura_NoFin!R38-1)),""))</f>
        <v/>
      </c>
      <c r="N39" s="55">
        <f>IF(COUNT(Captura_NoFin!P39,Captura_NoFin!O39)&lt;2,"",IF(Captura_NoFin!O39&lt;=0,"",Captura_NoFin!P39/Captura_NoFin!O39))</f>
        <v/>
      </c>
      <c r="O39" s="56">
        <f>COUNT(F39:M39)</f>
        <v/>
      </c>
      <c r="P39" s="57">
        <f>IF(COUNT(Captura_NoFin!H39,Captura_NoFin!I39,Captura_NoFin!J39)&lt;3,"",IF(ABS(Captura_NoFin!H39-Captura_NoFin!I39-Captura_NoFin!J39)&lt;=0.005*ABS(Captura_NoFin!H39),"OK","REVISAR"))</f>
        <v/>
      </c>
    </row>
    <row r="40" ht="15" customHeight="1" s="31">
      <c r="A40" s="51">
        <f>Captura_NoFin!A40</f>
        <v/>
      </c>
      <c r="B40" s="51">
        <f>Captura_NoFin!B40</f>
        <v/>
      </c>
      <c r="C40" s="51">
        <f>Captura_NoFin!C40</f>
        <v/>
      </c>
      <c r="D40" s="52">
        <f>Captura_NoFin!D40</f>
        <v/>
      </c>
      <c r="E40" s="53">
        <f>IF(COUNT(Captura_NoFin!M40,Captura_NoFin!L40)&lt;2,"",Captura_NoFin!M40+ABS(Captura_NoFin!L40))</f>
        <v/>
      </c>
      <c r="F40" s="54">
        <f>IF(COUNT(Captura_NoFin!F40,Captura_NoFin!G40)&lt;2,"",IFERROR(Captura_NoFin!F40/Captura_NoFin!G40,""))</f>
        <v/>
      </c>
      <c r="G40" s="55">
        <f>IF(COUNT(Captura_NoFin!F40,Captura_NoFin!G40,Captura_NoFin!H40)&lt;3,"",IFERROR((Captura_NoFin!F40-Captura_NoFin!G40)/Captura_NoFin!H40,""))</f>
        <v/>
      </c>
      <c r="H40" s="55">
        <f>IF(OR(E40="",COUNT(Captura_NoFin!K40)&lt;1),"",IFERROR(E40/Captura_NoFin!K40,""))</f>
        <v/>
      </c>
      <c r="I40" s="55">
        <f>IF(COUNT(Captura_NoFin!N40,Captura_NoFin!H40)&lt;2,"",IFERROR(Captura_NoFin!N40/Captura_NoFin!H40,""))</f>
        <v/>
      </c>
      <c r="J40" s="55">
        <f>IF(COUNT(Captura_NoFin!I40,Captura_NoFin!H40)&lt;2,"",IFERROR(Captura_NoFin!I40/Captura_NoFin!H40,""))</f>
        <v/>
      </c>
      <c r="K40" s="54">
        <f>IF(OR(E40="",COUNT(Captura_NoFin!L40)&lt;1),"",IFERROR(E40/ABS(Captura_NoFin!L40),""))</f>
        <v/>
      </c>
      <c r="L40" s="54">
        <f>IF(COUNT(Captura_NoFin!K40,Captura_NoFin!H40)&lt;2,"",IFERROR(Captura_NoFin!K40/Captura_NoFin!H40,""))</f>
        <v/>
      </c>
      <c r="M40" s="55">
        <f>IF(COUNT(Captura_NoFin!R40)&lt;1,"",IFERROR(IF(D40=2017,Captura_NoFin!R40/INDEX(Empresas!$I$2:$I$23,MATCH($A40,Empresas!$B$2:$B$23,0))-1,IF(COUNT(Captura_NoFin!R39)&lt;1,"",Captura_NoFin!R40/Captura_NoFin!R39-1)),""))</f>
        <v/>
      </c>
      <c r="N40" s="55">
        <f>IF(COUNT(Captura_NoFin!P40,Captura_NoFin!O40)&lt;2,"",IF(Captura_NoFin!O40&lt;=0,"",Captura_NoFin!P40/Captura_NoFin!O40))</f>
        <v/>
      </c>
      <c r="O40" s="56">
        <f>COUNT(F40:M40)</f>
        <v/>
      </c>
      <c r="P40" s="57">
        <f>IF(COUNT(Captura_NoFin!H40,Captura_NoFin!I40,Captura_NoFin!J40)&lt;3,"",IF(ABS(Captura_NoFin!H40-Captura_NoFin!I40-Captura_NoFin!J40)&lt;=0.005*ABS(Captura_NoFin!H40),"OK","REVISAR"))</f>
        <v/>
      </c>
    </row>
    <row r="41" ht="15" customHeight="1" s="31">
      <c r="A41" s="51">
        <f>Captura_NoFin!A41</f>
        <v/>
      </c>
      <c r="B41" s="51">
        <f>Captura_NoFin!B41</f>
        <v/>
      </c>
      <c r="C41" s="51">
        <f>Captura_NoFin!C41</f>
        <v/>
      </c>
      <c r="D41" s="52">
        <f>Captura_NoFin!D41</f>
        <v/>
      </c>
      <c r="E41" s="53">
        <f>IF(COUNT(Captura_NoFin!M41,Captura_NoFin!L41)&lt;2,"",Captura_NoFin!M41+ABS(Captura_NoFin!L41))</f>
        <v/>
      </c>
      <c r="F41" s="54">
        <f>IF(COUNT(Captura_NoFin!F41,Captura_NoFin!G41)&lt;2,"",IFERROR(Captura_NoFin!F41/Captura_NoFin!G41,""))</f>
        <v/>
      </c>
      <c r="G41" s="55">
        <f>IF(COUNT(Captura_NoFin!F41,Captura_NoFin!G41,Captura_NoFin!H41)&lt;3,"",IFERROR((Captura_NoFin!F41-Captura_NoFin!G41)/Captura_NoFin!H41,""))</f>
        <v/>
      </c>
      <c r="H41" s="55">
        <f>IF(OR(E41="",COUNT(Captura_NoFin!K41)&lt;1),"",IFERROR(E41/Captura_NoFin!K41,""))</f>
        <v/>
      </c>
      <c r="I41" s="55">
        <f>IF(COUNT(Captura_NoFin!N41,Captura_NoFin!H41)&lt;2,"",IFERROR(Captura_NoFin!N41/Captura_NoFin!H41,""))</f>
        <v/>
      </c>
      <c r="J41" s="55">
        <f>IF(COUNT(Captura_NoFin!I41,Captura_NoFin!H41)&lt;2,"",IFERROR(Captura_NoFin!I41/Captura_NoFin!H41,""))</f>
        <v/>
      </c>
      <c r="K41" s="54">
        <f>IF(OR(E41="",COUNT(Captura_NoFin!L41)&lt;1),"",IFERROR(E41/ABS(Captura_NoFin!L41),""))</f>
        <v/>
      </c>
      <c r="L41" s="54">
        <f>IF(COUNT(Captura_NoFin!K41,Captura_NoFin!H41)&lt;2,"",IFERROR(Captura_NoFin!K41/Captura_NoFin!H41,""))</f>
        <v/>
      </c>
      <c r="M41" s="55">
        <f>IF(COUNT(Captura_NoFin!R41)&lt;1,"",IFERROR(IF(D41=2017,Captura_NoFin!R41/INDEX(Empresas!$I$2:$I$23,MATCH($A41,Empresas!$B$2:$B$23,0))-1,IF(COUNT(Captura_NoFin!R40)&lt;1,"",Captura_NoFin!R41/Captura_NoFin!R40-1)),""))</f>
        <v/>
      </c>
      <c r="N41" s="55">
        <f>IF(COUNT(Captura_NoFin!P41,Captura_NoFin!O41)&lt;2,"",IF(Captura_NoFin!O41&lt;=0,"",Captura_NoFin!P41/Captura_NoFin!O41))</f>
        <v/>
      </c>
      <c r="O41" s="56">
        <f>COUNT(F41:M41)</f>
        <v/>
      </c>
      <c r="P41" s="57">
        <f>IF(COUNT(Captura_NoFin!H41,Captura_NoFin!I41,Captura_NoFin!J41)&lt;3,"",IF(ABS(Captura_NoFin!H41-Captura_NoFin!I41-Captura_NoFin!J41)&lt;=0.005*ABS(Captura_NoFin!H41),"OK","REVISAR"))</f>
        <v/>
      </c>
    </row>
    <row r="42" ht="15" customHeight="1" s="31">
      <c r="A42" s="51">
        <f>Captura_NoFin!A42</f>
        <v/>
      </c>
      <c r="B42" s="51">
        <f>Captura_NoFin!B42</f>
        <v/>
      </c>
      <c r="C42" s="51">
        <f>Captura_NoFin!C42</f>
        <v/>
      </c>
      <c r="D42" s="52">
        <f>Captura_NoFin!D42</f>
        <v/>
      </c>
      <c r="E42" s="53">
        <f>IF(COUNT(Captura_NoFin!M42,Captura_NoFin!L42)&lt;2,"",Captura_NoFin!M42+ABS(Captura_NoFin!L42))</f>
        <v/>
      </c>
      <c r="F42" s="54">
        <f>IF(COUNT(Captura_NoFin!F42,Captura_NoFin!G42)&lt;2,"",IFERROR(Captura_NoFin!F42/Captura_NoFin!G42,""))</f>
        <v/>
      </c>
      <c r="G42" s="55">
        <f>IF(COUNT(Captura_NoFin!F42,Captura_NoFin!G42,Captura_NoFin!H42)&lt;3,"",IFERROR((Captura_NoFin!F42-Captura_NoFin!G42)/Captura_NoFin!H42,""))</f>
        <v/>
      </c>
      <c r="H42" s="55">
        <f>IF(OR(E42="",COUNT(Captura_NoFin!K42)&lt;1),"",IFERROR(E42/Captura_NoFin!K42,""))</f>
        <v/>
      </c>
      <c r="I42" s="55">
        <f>IF(COUNT(Captura_NoFin!N42,Captura_NoFin!H42)&lt;2,"",IFERROR(Captura_NoFin!N42/Captura_NoFin!H42,""))</f>
        <v/>
      </c>
      <c r="J42" s="55">
        <f>IF(COUNT(Captura_NoFin!I42,Captura_NoFin!H42)&lt;2,"",IFERROR(Captura_NoFin!I42/Captura_NoFin!H42,""))</f>
        <v/>
      </c>
      <c r="K42" s="54">
        <f>IF(OR(E42="",COUNT(Captura_NoFin!L42)&lt;1),"",IFERROR(E42/ABS(Captura_NoFin!L42),""))</f>
        <v/>
      </c>
      <c r="L42" s="54">
        <f>IF(COUNT(Captura_NoFin!K42,Captura_NoFin!H42)&lt;2,"",IFERROR(Captura_NoFin!K42/Captura_NoFin!H42,""))</f>
        <v/>
      </c>
      <c r="M42" s="55">
        <f>IF(COUNT(Captura_NoFin!R42)&lt;1,"",IFERROR(IF(D42=2017,Captura_NoFin!R42/INDEX(Empresas!$I$2:$I$23,MATCH($A42,Empresas!$B$2:$B$23,0))-1,IF(COUNT(Captura_NoFin!R41)&lt;1,"",Captura_NoFin!R42/Captura_NoFin!R41-1)),""))</f>
        <v/>
      </c>
      <c r="N42" s="55">
        <f>IF(COUNT(Captura_NoFin!P42,Captura_NoFin!O42)&lt;2,"",IF(Captura_NoFin!O42&lt;=0,"",Captura_NoFin!P42/Captura_NoFin!O42))</f>
        <v/>
      </c>
      <c r="O42" s="56">
        <f>COUNT(F42:M42)</f>
        <v/>
      </c>
      <c r="P42" s="57">
        <f>IF(COUNT(Captura_NoFin!H42,Captura_NoFin!I42,Captura_NoFin!J42)&lt;3,"",IF(ABS(Captura_NoFin!H42-Captura_NoFin!I42-Captura_NoFin!J42)&lt;=0.005*ABS(Captura_NoFin!H42),"OK","REVISAR"))</f>
        <v/>
      </c>
    </row>
    <row r="43" ht="15" customHeight="1" s="31">
      <c r="A43" s="51">
        <f>Captura_NoFin!A43</f>
        <v/>
      </c>
      <c r="B43" s="51">
        <f>Captura_NoFin!B43</f>
        <v/>
      </c>
      <c r="C43" s="51">
        <f>Captura_NoFin!C43</f>
        <v/>
      </c>
      <c r="D43" s="52">
        <f>Captura_NoFin!D43</f>
        <v/>
      </c>
      <c r="E43" s="53">
        <f>IF(COUNT(Captura_NoFin!M43,Captura_NoFin!L43)&lt;2,"",Captura_NoFin!M43+ABS(Captura_NoFin!L43))</f>
        <v/>
      </c>
      <c r="F43" s="54">
        <f>IF(COUNT(Captura_NoFin!F43,Captura_NoFin!G43)&lt;2,"",IFERROR(Captura_NoFin!F43/Captura_NoFin!G43,""))</f>
        <v/>
      </c>
      <c r="G43" s="55">
        <f>IF(COUNT(Captura_NoFin!F43,Captura_NoFin!G43,Captura_NoFin!H43)&lt;3,"",IFERROR((Captura_NoFin!F43-Captura_NoFin!G43)/Captura_NoFin!H43,""))</f>
        <v/>
      </c>
      <c r="H43" s="55">
        <f>IF(OR(E43="",COUNT(Captura_NoFin!K43)&lt;1),"",IFERROR(E43/Captura_NoFin!K43,""))</f>
        <v/>
      </c>
      <c r="I43" s="55">
        <f>IF(COUNT(Captura_NoFin!N43,Captura_NoFin!H43)&lt;2,"",IFERROR(Captura_NoFin!N43/Captura_NoFin!H43,""))</f>
        <v/>
      </c>
      <c r="J43" s="55">
        <f>IF(COUNT(Captura_NoFin!I43,Captura_NoFin!H43)&lt;2,"",IFERROR(Captura_NoFin!I43/Captura_NoFin!H43,""))</f>
        <v/>
      </c>
      <c r="K43" s="54">
        <f>IF(OR(E43="",COUNT(Captura_NoFin!L43)&lt;1),"",IFERROR(E43/ABS(Captura_NoFin!L43),""))</f>
        <v/>
      </c>
      <c r="L43" s="54">
        <f>IF(COUNT(Captura_NoFin!K43,Captura_NoFin!H43)&lt;2,"",IFERROR(Captura_NoFin!K43/Captura_NoFin!H43,""))</f>
        <v/>
      </c>
      <c r="M43" s="55">
        <f>IF(COUNT(Captura_NoFin!R43)&lt;1,"",IFERROR(IF(D43=2017,Captura_NoFin!R43/INDEX(Empresas!$I$2:$I$23,MATCH($A43,Empresas!$B$2:$B$23,0))-1,IF(COUNT(Captura_NoFin!R42)&lt;1,"",Captura_NoFin!R43/Captura_NoFin!R42-1)),""))</f>
        <v/>
      </c>
      <c r="N43" s="55">
        <f>IF(COUNT(Captura_NoFin!P43,Captura_NoFin!O43)&lt;2,"",IF(Captura_NoFin!O43&lt;=0,"",Captura_NoFin!P43/Captura_NoFin!O43))</f>
        <v/>
      </c>
      <c r="O43" s="56">
        <f>COUNT(F43:M43)</f>
        <v/>
      </c>
      <c r="P43" s="57">
        <f>IF(COUNT(Captura_NoFin!H43,Captura_NoFin!I43,Captura_NoFin!J43)&lt;3,"",IF(ABS(Captura_NoFin!H43-Captura_NoFin!I43-Captura_NoFin!J43)&lt;=0.005*ABS(Captura_NoFin!H43),"OK","REVISAR"))</f>
        <v/>
      </c>
    </row>
    <row r="44" ht="15" customHeight="1" s="31">
      <c r="A44" s="51">
        <f>Captura_NoFin!A44</f>
        <v/>
      </c>
      <c r="B44" s="51">
        <f>Captura_NoFin!B44</f>
        <v/>
      </c>
      <c r="C44" s="51">
        <f>Captura_NoFin!C44</f>
        <v/>
      </c>
      <c r="D44" s="52">
        <f>Captura_NoFin!D44</f>
        <v/>
      </c>
      <c r="E44" s="53">
        <f>IF(COUNT(Captura_NoFin!M44,Captura_NoFin!L44)&lt;2,"",Captura_NoFin!M44+ABS(Captura_NoFin!L44))</f>
        <v/>
      </c>
      <c r="F44" s="54">
        <f>IF(COUNT(Captura_NoFin!F44,Captura_NoFin!G44)&lt;2,"",IFERROR(Captura_NoFin!F44/Captura_NoFin!G44,""))</f>
        <v/>
      </c>
      <c r="G44" s="55">
        <f>IF(COUNT(Captura_NoFin!F44,Captura_NoFin!G44,Captura_NoFin!H44)&lt;3,"",IFERROR((Captura_NoFin!F44-Captura_NoFin!G44)/Captura_NoFin!H44,""))</f>
        <v/>
      </c>
      <c r="H44" s="55">
        <f>IF(OR(E44="",COUNT(Captura_NoFin!K44)&lt;1),"",IFERROR(E44/Captura_NoFin!K44,""))</f>
        <v/>
      </c>
      <c r="I44" s="55">
        <f>IF(COUNT(Captura_NoFin!N44,Captura_NoFin!H44)&lt;2,"",IFERROR(Captura_NoFin!N44/Captura_NoFin!H44,""))</f>
        <v/>
      </c>
      <c r="J44" s="55">
        <f>IF(COUNT(Captura_NoFin!I44,Captura_NoFin!H44)&lt;2,"",IFERROR(Captura_NoFin!I44/Captura_NoFin!H44,""))</f>
        <v/>
      </c>
      <c r="K44" s="54">
        <f>IF(OR(E44="",COUNT(Captura_NoFin!L44)&lt;1),"",IFERROR(E44/ABS(Captura_NoFin!L44),""))</f>
        <v/>
      </c>
      <c r="L44" s="54">
        <f>IF(COUNT(Captura_NoFin!K44,Captura_NoFin!H44)&lt;2,"",IFERROR(Captura_NoFin!K44/Captura_NoFin!H44,""))</f>
        <v/>
      </c>
      <c r="M44" s="55">
        <f>IF(COUNT(Captura_NoFin!R44)&lt;1,"",IFERROR(IF(D44=2017,Captura_NoFin!R44/INDEX(Empresas!$I$2:$I$23,MATCH($A44,Empresas!$B$2:$B$23,0))-1,IF(COUNT(Captura_NoFin!R43)&lt;1,"",Captura_NoFin!R44/Captura_NoFin!R43-1)),""))</f>
        <v/>
      </c>
      <c r="N44" s="55">
        <f>IF(COUNT(Captura_NoFin!P44,Captura_NoFin!O44)&lt;2,"",IF(Captura_NoFin!O44&lt;=0,"",Captura_NoFin!P44/Captura_NoFin!O44))</f>
        <v/>
      </c>
      <c r="O44" s="56">
        <f>COUNT(F44:M44)</f>
        <v/>
      </c>
      <c r="P44" s="57">
        <f>IF(COUNT(Captura_NoFin!H44,Captura_NoFin!I44,Captura_NoFin!J44)&lt;3,"",IF(ABS(Captura_NoFin!H44-Captura_NoFin!I44-Captura_NoFin!J44)&lt;=0.005*ABS(Captura_NoFin!H44),"OK","REVISAR"))</f>
        <v/>
      </c>
    </row>
    <row r="45" ht="15" customHeight="1" s="31">
      <c r="A45" s="51">
        <f>Captura_NoFin!A45</f>
        <v/>
      </c>
      <c r="B45" s="51">
        <f>Captura_NoFin!B45</f>
        <v/>
      </c>
      <c r="C45" s="51">
        <f>Captura_NoFin!C45</f>
        <v/>
      </c>
      <c r="D45" s="52">
        <f>Captura_NoFin!D45</f>
        <v/>
      </c>
      <c r="E45" s="53">
        <f>IF(COUNT(Captura_NoFin!M45,Captura_NoFin!L45)&lt;2,"",Captura_NoFin!M45+ABS(Captura_NoFin!L45))</f>
        <v/>
      </c>
      <c r="F45" s="54">
        <f>IF(COUNT(Captura_NoFin!F45,Captura_NoFin!G45)&lt;2,"",IFERROR(Captura_NoFin!F45/Captura_NoFin!G45,""))</f>
        <v/>
      </c>
      <c r="G45" s="55">
        <f>IF(COUNT(Captura_NoFin!F45,Captura_NoFin!G45,Captura_NoFin!H45)&lt;3,"",IFERROR((Captura_NoFin!F45-Captura_NoFin!G45)/Captura_NoFin!H45,""))</f>
        <v/>
      </c>
      <c r="H45" s="55">
        <f>IF(OR(E45="",COUNT(Captura_NoFin!K45)&lt;1),"",IFERROR(E45/Captura_NoFin!K45,""))</f>
        <v/>
      </c>
      <c r="I45" s="55">
        <f>IF(COUNT(Captura_NoFin!N45,Captura_NoFin!H45)&lt;2,"",IFERROR(Captura_NoFin!N45/Captura_NoFin!H45,""))</f>
        <v/>
      </c>
      <c r="J45" s="55">
        <f>IF(COUNT(Captura_NoFin!I45,Captura_NoFin!H45)&lt;2,"",IFERROR(Captura_NoFin!I45/Captura_NoFin!H45,""))</f>
        <v/>
      </c>
      <c r="K45" s="54">
        <f>IF(OR(E45="",COUNT(Captura_NoFin!L45)&lt;1),"",IFERROR(E45/ABS(Captura_NoFin!L45),""))</f>
        <v/>
      </c>
      <c r="L45" s="54">
        <f>IF(COUNT(Captura_NoFin!K45,Captura_NoFin!H45)&lt;2,"",IFERROR(Captura_NoFin!K45/Captura_NoFin!H45,""))</f>
        <v/>
      </c>
      <c r="M45" s="55">
        <f>IF(COUNT(Captura_NoFin!R45)&lt;1,"",IFERROR(IF(D45=2017,Captura_NoFin!R45/INDEX(Empresas!$I$2:$I$23,MATCH($A45,Empresas!$B$2:$B$23,0))-1,IF(COUNT(Captura_NoFin!R44)&lt;1,"",Captura_NoFin!R45/Captura_NoFin!R44-1)),""))</f>
        <v/>
      </c>
      <c r="N45" s="55">
        <f>IF(COUNT(Captura_NoFin!P45,Captura_NoFin!O45)&lt;2,"",IF(Captura_NoFin!O45&lt;=0,"",Captura_NoFin!P45/Captura_NoFin!O45))</f>
        <v/>
      </c>
      <c r="O45" s="56">
        <f>COUNT(F45:M45)</f>
        <v/>
      </c>
      <c r="P45" s="57">
        <f>IF(COUNT(Captura_NoFin!H45,Captura_NoFin!I45,Captura_NoFin!J45)&lt;3,"",IF(ABS(Captura_NoFin!H45-Captura_NoFin!I45-Captura_NoFin!J45)&lt;=0.005*ABS(Captura_NoFin!H45),"OK","REVISAR"))</f>
        <v/>
      </c>
    </row>
    <row r="46" ht="15" customHeight="1" s="31">
      <c r="A46" s="51">
        <f>Captura_NoFin!A46</f>
        <v/>
      </c>
      <c r="B46" s="51">
        <f>Captura_NoFin!B46</f>
        <v/>
      </c>
      <c r="C46" s="51">
        <f>Captura_NoFin!C46</f>
        <v/>
      </c>
      <c r="D46" s="52">
        <f>Captura_NoFin!D46</f>
        <v/>
      </c>
      <c r="E46" s="53">
        <f>IF(COUNT(Captura_NoFin!M46,Captura_NoFin!L46)&lt;2,"",Captura_NoFin!M46+ABS(Captura_NoFin!L46))</f>
        <v/>
      </c>
      <c r="F46" s="54">
        <f>IF(COUNT(Captura_NoFin!F46,Captura_NoFin!G46)&lt;2,"",IFERROR(Captura_NoFin!F46/Captura_NoFin!G46,""))</f>
        <v/>
      </c>
      <c r="G46" s="55">
        <f>IF(COUNT(Captura_NoFin!F46,Captura_NoFin!G46,Captura_NoFin!H46)&lt;3,"",IFERROR((Captura_NoFin!F46-Captura_NoFin!G46)/Captura_NoFin!H46,""))</f>
        <v/>
      </c>
      <c r="H46" s="55">
        <f>IF(OR(E46="",COUNT(Captura_NoFin!K46)&lt;1),"",IFERROR(E46/Captura_NoFin!K46,""))</f>
        <v/>
      </c>
      <c r="I46" s="55">
        <f>IF(COUNT(Captura_NoFin!N46,Captura_NoFin!H46)&lt;2,"",IFERROR(Captura_NoFin!N46/Captura_NoFin!H46,""))</f>
        <v/>
      </c>
      <c r="J46" s="55">
        <f>IF(COUNT(Captura_NoFin!I46,Captura_NoFin!H46)&lt;2,"",IFERROR(Captura_NoFin!I46/Captura_NoFin!H46,""))</f>
        <v/>
      </c>
      <c r="K46" s="54">
        <f>IF(OR(E46="",COUNT(Captura_NoFin!L46)&lt;1),"",IFERROR(E46/ABS(Captura_NoFin!L46),""))</f>
        <v/>
      </c>
      <c r="L46" s="54">
        <f>IF(COUNT(Captura_NoFin!K46,Captura_NoFin!H46)&lt;2,"",IFERROR(Captura_NoFin!K46/Captura_NoFin!H46,""))</f>
        <v/>
      </c>
      <c r="M46" s="55">
        <f>IF(COUNT(Captura_NoFin!R46)&lt;1,"",IFERROR(IF(D46=2017,Captura_NoFin!R46/INDEX(Empresas!$I$2:$I$23,MATCH($A46,Empresas!$B$2:$B$23,0))-1,IF(COUNT(Captura_NoFin!R45)&lt;1,"",Captura_NoFin!R46/Captura_NoFin!R45-1)),""))</f>
        <v/>
      </c>
      <c r="N46" s="55">
        <f>IF(COUNT(Captura_NoFin!P46,Captura_NoFin!O46)&lt;2,"",IF(Captura_NoFin!O46&lt;=0,"",Captura_NoFin!P46/Captura_NoFin!O46))</f>
        <v/>
      </c>
      <c r="O46" s="56">
        <f>COUNT(F46:M46)</f>
        <v/>
      </c>
      <c r="P46" s="57">
        <f>IF(COUNT(Captura_NoFin!H46,Captura_NoFin!I46,Captura_NoFin!J46)&lt;3,"",IF(ABS(Captura_NoFin!H46-Captura_NoFin!I46-Captura_NoFin!J46)&lt;=0.005*ABS(Captura_NoFin!H46),"OK","REVISAR"))</f>
        <v/>
      </c>
    </row>
    <row r="47" ht="15" customHeight="1" s="31">
      <c r="A47" s="51">
        <f>Captura_NoFin!A47</f>
        <v/>
      </c>
      <c r="B47" s="51">
        <f>Captura_NoFin!B47</f>
        <v/>
      </c>
      <c r="C47" s="51">
        <f>Captura_NoFin!C47</f>
        <v/>
      </c>
      <c r="D47" s="52">
        <f>Captura_NoFin!D47</f>
        <v/>
      </c>
      <c r="E47" s="53">
        <f>IF(COUNT(Captura_NoFin!M47,Captura_NoFin!L47)&lt;2,"",Captura_NoFin!M47+ABS(Captura_NoFin!L47))</f>
        <v/>
      </c>
      <c r="F47" s="54">
        <f>IF(COUNT(Captura_NoFin!F47,Captura_NoFin!G47)&lt;2,"",IFERROR(Captura_NoFin!F47/Captura_NoFin!G47,""))</f>
        <v/>
      </c>
      <c r="G47" s="55">
        <f>IF(COUNT(Captura_NoFin!F47,Captura_NoFin!G47,Captura_NoFin!H47)&lt;3,"",IFERROR((Captura_NoFin!F47-Captura_NoFin!G47)/Captura_NoFin!H47,""))</f>
        <v/>
      </c>
      <c r="H47" s="55">
        <f>IF(OR(E47="",COUNT(Captura_NoFin!K47)&lt;1),"",IFERROR(E47/Captura_NoFin!K47,""))</f>
        <v/>
      </c>
      <c r="I47" s="55">
        <f>IF(COUNT(Captura_NoFin!N47,Captura_NoFin!H47)&lt;2,"",IFERROR(Captura_NoFin!N47/Captura_NoFin!H47,""))</f>
        <v/>
      </c>
      <c r="J47" s="55">
        <f>IF(COUNT(Captura_NoFin!I47,Captura_NoFin!H47)&lt;2,"",IFERROR(Captura_NoFin!I47/Captura_NoFin!H47,""))</f>
        <v/>
      </c>
      <c r="K47" s="54">
        <f>IF(OR(E47="",COUNT(Captura_NoFin!L47)&lt;1),"",IFERROR(E47/ABS(Captura_NoFin!L47),""))</f>
        <v/>
      </c>
      <c r="L47" s="54">
        <f>IF(COUNT(Captura_NoFin!K47,Captura_NoFin!H47)&lt;2,"",IFERROR(Captura_NoFin!K47/Captura_NoFin!H47,""))</f>
        <v/>
      </c>
      <c r="M47" s="55">
        <f>IF(COUNT(Captura_NoFin!R47)&lt;1,"",IFERROR(IF(D47=2017,Captura_NoFin!R47/INDEX(Empresas!$I$2:$I$23,MATCH($A47,Empresas!$B$2:$B$23,0))-1,IF(COUNT(Captura_NoFin!R46)&lt;1,"",Captura_NoFin!R47/Captura_NoFin!R46-1)),""))</f>
        <v/>
      </c>
      <c r="N47" s="55">
        <f>IF(COUNT(Captura_NoFin!P47,Captura_NoFin!O47)&lt;2,"",IF(Captura_NoFin!O47&lt;=0,"",Captura_NoFin!P47/Captura_NoFin!O47))</f>
        <v/>
      </c>
      <c r="O47" s="56">
        <f>COUNT(F47:M47)</f>
        <v/>
      </c>
      <c r="P47" s="57">
        <f>IF(COUNT(Captura_NoFin!H47,Captura_NoFin!I47,Captura_NoFin!J47)&lt;3,"",IF(ABS(Captura_NoFin!H47-Captura_NoFin!I47-Captura_NoFin!J47)&lt;=0.005*ABS(Captura_NoFin!H47),"OK","REVISAR"))</f>
        <v/>
      </c>
    </row>
    <row r="48" ht="15" customHeight="1" s="31">
      <c r="A48" s="51">
        <f>Captura_NoFin!A48</f>
        <v/>
      </c>
      <c r="B48" s="51">
        <f>Captura_NoFin!B48</f>
        <v/>
      </c>
      <c r="C48" s="51">
        <f>Captura_NoFin!C48</f>
        <v/>
      </c>
      <c r="D48" s="52">
        <f>Captura_NoFin!D48</f>
        <v/>
      </c>
      <c r="E48" s="53">
        <f>IF(COUNT(Captura_NoFin!M48,Captura_NoFin!L48)&lt;2,"",Captura_NoFin!M48+ABS(Captura_NoFin!L48))</f>
        <v/>
      </c>
      <c r="F48" s="54">
        <f>IF(COUNT(Captura_NoFin!F48,Captura_NoFin!G48)&lt;2,"",IFERROR(Captura_NoFin!F48/Captura_NoFin!G48,""))</f>
        <v/>
      </c>
      <c r="G48" s="55">
        <f>IF(COUNT(Captura_NoFin!F48,Captura_NoFin!G48,Captura_NoFin!H48)&lt;3,"",IFERROR((Captura_NoFin!F48-Captura_NoFin!G48)/Captura_NoFin!H48,""))</f>
        <v/>
      </c>
      <c r="H48" s="55">
        <f>IF(OR(E48="",COUNT(Captura_NoFin!K48)&lt;1),"",IFERROR(E48/Captura_NoFin!K48,""))</f>
        <v/>
      </c>
      <c r="I48" s="55">
        <f>IF(COUNT(Captura_NoFin!N48,Captura_NoFin!H48)&lt;2,"",IFERROR(Captura_NoFin!N48/Captura_NoFin!H48,""))</f>
        <v/>
      </c>
      <c r="J48" s="55">
        <f>IF(COUNT(Captura_NoFin!I48,Captura_NoFin!H48)&lt;2,"",IFERROR(Captura_NoFin!I48/Captura_NoFin!H48,""))</f>
        <v/>
      </c>
      <c r="K48" s="54">
        <f>IF(OR(E48="",COUNT(Captura_NoFin!L48)&lt;1),"",IFERROR(E48/ABS(Captura_NoFin!L48),""))</f>
        <v/>
      </c>
      <c r="L48" s="54">
        <f>IF(COUNT(Captura_NoFin!K48,Captura_NoFin!H48)&lt;2,"",IFERROR(Captura_NoFin!K48/Captura_NoFin!H48,""))</f>
        <v/>
      </c>
      <c r="M48" s="55">
        <f>IF(COUNT(Captura_NoFin!R48)&lt;1,"",IFERROR(IF(D48=2017,Captura_NoFin!R48/INDEX(Empresas!$I$2:$I$23,MATCH($A48,Empresas!$B$2:$B$23,0))-1,IF(COUNT(Captura_NoFin!R47)&lt;1,"",Captura_NoFin!R48/Captura_NoFin!R47-1)),""))</f>
        <v/>
      </c>
      <c r="N48" s="55">
        <f>IF(COUNT(Captura_NoFin!P48,Captura_NoFin!O48)&lt;2,"",IF(Captura_NoFin!O48&lt;=0,"",Captura_NoFin!P48/Captura_NoFin!O48))</f>
        <v/>
      </c>
      <c r="O48" s="56">
        <f>COUNT(F48:M48)</f>
        <v/>
      </c>
      <c r="P48" s="57">
        <f>IF(COUNT(Captura_NoFin!H48,Captura_NoFin!I48,Captura_NoFin!J48)&lt;3,"",IF(ABS(Captura_NoFin!H48-Captura_NoFin!I48-Captura_NoFin!J48)&lt;=0.005*ABS(Captura_NoFin!H48),"OK","REVISAR"))</f>
        <v/>
      </c>
    </row>
    <row r="49" ht="15" customHeight="1" s="31">
      <c r="A49" s="51">
        <f>Captura_NoFin!A49</f>
        <v/>
      </c>
      <c r="B49" s="51">
        <f>Captura_NoFin!B49</f>
        <v/>
      </c>
      <c r="C49" s="51">
        <f>Captura_NoFin!C49</f>
        <v/>
      </c>
      <c r="D49" s="52">
        <f>Captura_NoFin!D49</f>
        <v/>
      </c>
      <c r="E49" s="53">
        <f>IF(COUNT(Captura_NoFin!M49,Captura_NoFin!L49)&lt;2,"",Captura_NoFin!M49+ABS(Captura_NoFin!L49))</f>
        <v/>
      </c>
      <c r="F49" s="54">
        <f>IF(COUNT(Captura_NoFin!F49,Captura_NoFin!G49)&lt;2,"",IFERROR(Captura_NoFin!F49/Captura_NoFin!G49,""))</f>
        <v/>
      </c>
      <c r="G49" s="55">
        <f>IF(COUNT(Captura_NoFin!F49,Captura_NoFin!G49,Captura_NoFin!H49)&lt;3,"",IFERROR((Captura_NoFin!F49-Captura_NoFin!G49)/Captura_NoFin!H49,""))</f>
        <v/>
      </c>
      <c r="H49" s="55">
        <f>IF(OR(E49="",COUNT(Captura_NoFin!K49)&lt;1),"",IFERROR(E49/Captura_NoFin!K49,""))</f>
        <v/>
      </c>
      <c r="I49" s="55">
        <f>IF(COUNT(Captura_NoFin!N49,Captura_NoFin!H49)&lt;2,"",IFERROR(Captura_NoFin!N49/Captura_NoFin!H49,""))</f>
        <v/>
      </c>
      <c r="J49" s="55">
        <f>IF(COUNT(Captura_NoFin!I49,Captura_NoFin!H49)&lt;2,"",IFERROR(Captura_NoFin!I49/Captura_NoFin!H49,""))</f>
        <v/>
      </c>
      <c r="K49" s="54">
        <f>IF(OR(E49="",COUNT(Captura_NoFin!L49)&lt;1),"",IFERROR(E49/ABS(Captura_NoFin!L49),""))</f>
        <v/>
      </c>
      <c r="L49" s="54">
        <f>IF(COUNT(Captura_NoFin!K49,Captura_NoFin!H49)&lt;2,"",IFERROR(Captura_NoFin!K49/Captura_NoFin!H49,""))</f>
        <v/>
      </c>
      <c r="M49" s="55">
        <f>IF(COUNT(Captura_NoFin!R49)&lt;1,"",IFERROR(IF(D49=2017,Captura_NoFin!R49/INDEX(Empresas!$I$2:$I$23,MATCH($A49,Empresas!$B$2:$B$23,0))-1,IF(COUNT(Captura_NoFin!R48)&lt;1,"",Captura_NoFin!R49/Captura_NoFin!R48-1)),""))</f>
        <v/>
      </c>
      <c r="N49" s="55">
        <f>IF(COUNT(Captura_NoFin!P49,Captura_NoFin!O49)&lt;2,"",IF(Captura_NoFin!O49&lt;=0,"",Captura_NoFin!P49/Captura_NoFin!O49))</f>
        <v/>
      </c>
      <c r="O49" s="56">
        <f>COUNT(F49:M49)</f>
        <v/>
      </c>
      <c r="P49" s="57">
        <f>IF(COUNT(Captura_NoFin!H49,Captura_NoFin!I49,Captura_NoFin!J49)&lt;3,"",IF(ABS(Captura_NoFin!H49-Captura_NoFin!I49-Captura_NoFin!J49)&lt;=0.005*ABS(Captura_NoFin!H49),"OK","REVISAR"))</f>
        <v/>
      </c>
    </row>
    <row r="50" ht="15" customHeight="1" s="31">
      <c r="A50" s="51">
        <f>Captura_NoFin!A50</f>
        <v/>
      </c>
      <c r="B50" s="51">
        <f>Captura_NoFin!B50</f>
        <v/>
      </c>
      <c r="C50" s="51">
        <f>Captura_NoFin!C50</f>
        <v/>
      </c>
      <c r="D50" s="52">
        <f>Captura_NoFin!D50</f>
        <v/>
      </c>
      <c r="E50" s="53">
        <f>IF(COUNT(Captura_NoFin!M50,Captura_NoFin!L50)&lt;2,"",Captura_NoFin!M50+ABS(Captura_NoFin!L50))</f>
        <v/>
      </c>
      <c r="F50" s="54">
        <f>IF(COUNT(Captura_NoFin!F50,Captura_NoFin!G50)&lt;2,"",IFERROR(Captura_NoFin!F50/Captura_NoFin!G50,""))</f>
        <v/>
      </c>
      <c r="G50" s="55">
        <f>IF(COUNT(Captura_NoFin!F50,Captura_NoFin!G50,Captura_NoFin!H50)&lt;3,"",IFERROR((Captura_NoFin!F50-Captura_NoFin!G50)/Captura_NoFin!H50,""))</f>
        <v/>
      </c>
      <c r="H50" s="55">
        <f>IF(OR(E50="",COUNT(Captura_NoFin!K50)&lt;1),"",IFERROR(E50/Captura_NoFin!K50,""))</f>
        <v/>
      </c>
      <c r="I50" s="55">
        <f>IF(COUNT(Captura_NoFin!N50,Captura_NoFin!H50)&lt;2,"",IFERROR(Captura_NoFin!N50/Captura_NoFin!H50,""))</f>
        <v/>
      </c>
      <c r="J50" s="55">
        <f>IF(COUNT(Captura_NoFin!I50,Captura_NoFin!H50)&lt;2,"",IFERROR(Captura_NoFin!I50/Captura_NoFin!H50,""))</f>
        <v/>
      </c>
      <c r="K50" s="54">
        <f>IF(OR(E50="",COUNT(Captura_NoFin!L50)&lt;1),"",IFERROR(E50/ABS(Captura_NoFin!L50),""))</f>
        <v/>
      </c>
      <c r="L50" s="54">
        <f>IF(COUNT(Captura_NoFin!K50,Captura_NoFin!H50)&lt;2,"",IFERROR(Captura_NoFin!K50/Captura_NoFin!H50,""))</f>
        <v/>
      </c>
      <c r="M50" s="55">
        <f>IF(COUNT(Captura_NoFin!R50)&lt;1,"",IFERROR(IF(D50=2017,Captura_NoFin!R50/INDEX(Empresas!$I$2:$I$23,MATCH($A50,Empresas!$B$2:$B$23,0))-1,IF(COUNT(Captura_NoFin!R49)&lt;1,"",Captura_NoFin!R50/Captura_NoFin!R49-1)),""))</f>
        <v/>
      </c>
      <c r="N50" s="55">
        <f>IF(COUNT(Captura_NoFin!P50,Captura_NoFin!O50)&lt;2,"",IF(Captura_NoFin!O50&lt;=0,"",Captura_NoFin!P50/Captura_NoFin!O50))</f>
        <v/>
      </c>
      <c r="O50" s="56">
        <f>COUNT(F50:M50)</f>
        <v/>
      </c>
      <c r="P50" s="57">
        <f>IF(COUNT(Captura_NoFin!H50,Captura_NoFin!I50,Captura_NoFin!J50)&lt;3,"",IF(ABS(Captura_NoFin!H50-Captura_NoFin!I50-Captura_NoFin!J50)&lt;=0.005*ABS(Captura_NoFin!H50),"OK","REVISAR"))</f>
        <v/>
      </c>
    </row>
    <row r="51" ht="15" customHeight="1" s="31">
      <c r="A51" s="51">
        <f>Captura_NoFin!A51</f>
        <v/>
      </c>
      <c r="B51" s="51">
        <f>Captura_NoFin!B51</f>
        <v/>
      </c>
      <c r="C51" s="51">
        <f>Captura_NoFin!C51</f>
        <v/>
      </c>
      <c r="D51" s="52">
        <f>Captura_NoFin!D51</f>
        <v/>
      </c>
      <c r="E51" s="53">
        <f>IF(COUNT(Captura_NoFin!M51,Captura_NoFin!L51)&lt;2,"",Captura_NoFin!M51+ABS(Captura_NoFin!L51))</f>
        <v/>
      </c>
      <c r="F51" s="54">
        <f>IF(COUNT(Captura_NoFin!F51,Captura_NoFin!G51)&lt;2,"",IFERROR(Captura_NoFin!F51/Captura_NoFin!G51,""))</f>
        <v/>
      </c>
      <c r="G51" s="55">
        <f>IF(COUNT(Captura_NoFin!F51,Captura_NoFin!G51,Captura_NoFin!H51)&lt;3,"",IFERROR((Captura_NoFin!F51-Captura_NoFin!G51)/Captura_NoFin!H51,""))</f>
        <v/>
      </c>
      <c r="H51" s="55">
        <f>IF(OR(E51="",COUNT(Captura_NoFin!K51)&lt;1),"",IFERROR(E51/Captura_NoFin!K51,""))</f>
        <v/>
      </c>
      <c r="I51" s="55">
        <f>IF(COUNT(Captura_NoFin!N51,Captura_NoFin!H51)&lt;2,"",IFERROR(Captura_NoFin!N51/Captura_NoFin!H51,""))</f>
        <v/>
      </c>
      <c r="J51" s="55">
        <f>IF(COUNT(Captura_NoFin!I51,Captura_NoFin!H51)&lt;2,"",IFERROR(Captura_NoFin!I51/Captura_NoFin!H51,""))</f>
        <v/>
      </c>
      <c r="K51" s="54">
        <f>IF(OR(E51="",COUNT(Captura_NoFin!L51)&lt;1),"",IFERROR(E51/ABS(Captura_NoFin!L51),""))</f>
        <v/>
      </c>
      <c r="L51" s="54">
        <f>IF(COUNT(Captura_NoFin!K51,Captura_NoFin!H51)&lt;2,"",IFERROR(Captura_NoFin!K51/Captura_NoFin!H51,""))</f>
        <v/>
      </c>
      <c r="M51" s="55">
        <f>IF(COUNT(Captura_NoFin!R51)&lt;1,"",IFERROR(IF(D51=2017,Captura_NoFin!R51/INDEX(Empresas!$I$2:$I$23,MATCH($A51,Empresas!$B$2:$B$23,0))-1,IF(COUNT(Captura_NoFin!R50)&lt;1,"",Captura_NoFin!R51/Captura_NoFin!R50-1)),""))</f>
        <v/>
      </c>
      <c r="N51" s="55">
        <f>IF(COUNT(Captura_NoFin!P51,Captura_NoFin!O51)&lt;2,"",IF(Captura_NoFin!O51&lt;=0,"",Captura_NoFin!P51/Captura_NoFin!O51))</f>
        <v/>
      </c>
      <c r="O51" s="56">
        <f>COUNT(F51:M51)</f>
        <v/>
      </c>
      <c r="P51" s="57">
        <f>IF(COUNT(Captura_NoFin!H51,Captura_NoFin!I51,Captura_NoFin!J51)&lt;3,"",IF(ABS(Captura_NoFin!H51-Captura_NoFin!I51-Captura_NoFin!J51)&lt;=0.005*ABS(Captura_NoFin!H51),"OK","REVISAR"))</f>
        <v/>
      </c>
    </row>
    <row r="52" ht="15" customHeight="1" s="31">
      <c r="A52" s="51">
        <f>Captura_NoFin!A52</f>
        <v/>
      </c>
      <c r="B52" s="51">
        <f>Captura_NoFin!B52</f>
        <v/>
      </c>
      <c r="C52" s="51">
        <f>Captura_NoFin!C52</f>
        <v/>
      </c>
      <c r="D52" s="52">
        <f>Captura_NoFin!D52</f>
        <v/>
      </c>
      <c r="E52" s="53">
        <f>IF(COUNT(Captura_NoFin!M52,Captura_NoFin!L52)&lt;2,"",Captura_NoFin!M52+ABS(Captura_NoFin!L52))</f>
        <v/>
      </c>
      <c r="F52" s="54">
        <f>IF(COUNT(Captura_NoFin!F52,Captura_NoFin!G52)&lt;2,"",IFERROR(Captura_NoFin!F52/Captura_NoFin!G52,""))</f>
        <v/>
      </c>
      <c r="G52" s="55">
        <f>IF(COUNT(Captura_NoFin!F52,Captura_NoFin!G52,Captura_NoFin!H52)&lt;3,"",IFERROR((Captura_NoFin!F52-Captura_NoFin!G52)/Captura_NoFin!H52,""))</f>
        <v/>
      </c>
      <c r="H52" s="55">
        <f>IF(OR(E52="",COUNT(Captura_NoFin!K52)&lt;1),"",IFERROR(E52/Captura_NoFin!K52,""))</f>
        <v/>
      </c>
      <c r="I52" s="55">
        <f>IF(COUNT(Captura_NoFin!N52,Captura_NoFin!H52)&lt;2,"",IFERROR(Captura_NoFin!N52/Captura_NoFin!H52,""))</f>
        <v/>
      </c>
      <c r="J52" s="55">
        <f>IF(COUNT(Captura_NoFin!I52,Captura_NoFin!H52)&lt;2,"",IFERROR(Captura_NoFin!I52/Captura_NoFin!H52,""))</f>
        <v/>
      </c>
      <c r="K52" s="54">
        <f>IF(OR(E52="",COUNT(Captura_NoFin!L52)&lt;1),"",IFERROR(E52/ABS(Captura_NoFin!L52),""))</f>
        <v/>
      </c>
      <c r="L52" s="54">
        <f>IF(COUNT(Captura_NoFin!K52,Captura_NoFin!H52)&lt;2,"",IFERROR(Captura_NoFin!K52/Captura_NoFin!H52,""))</f>
        <v/>
      </c>
      <c r="M52" s="55">
        <f>IF(COUNT(Captura_NoFin!R52)&lt;1,"",IFERROR(IF(D52=2017,Captura_NoFin!R52/INDEX(Empresas!$I$2:$I$23,MATCH($A52,Empresas!$B$2:$B$23,0))-1,IF(COUNT(Captura_NoFin!R51)&lt;1,"",Captura_NoFin!R52/Captura_NoFin!R51-1)),""))</f>
        <v/>
      </c>
      <c r="N52" s="55">
        <f>IF(COUNT(Captura_NoFin!P52,Captura_NoFin!O52)&lt;2,"",IF(Captura_NoFin!O52&lt;=0,"",Captura_NoFin!P52/Captura_NoFin!O52))</f>
        <v/>
      </c>
      <c r="O52" s="56">
        <f>COUNT(F52:M52)</f>
        <v/>
      </c>
      <c r="P52" s="57">
        <f>IF(COUNT(Captura_NoFin!H52,Captura_NoFin!I52,Captura_NoFin!J52)&lt;3,"",IF(ABS(Captura_NoFin!H52-Captura_NoFin!I52-Captura_NoFin!J52)&lt;=0.005*ABS(Captura_NoFin!H52),"OK","REVISAR"))</f>
        <v/>
      </c>
    </row>
    <row r="53" ht="15" customHeight="1" s="31">
      <c r="A53" s="51">
        <f>Captura_NoFin!A53</f>
        <v/>
      </c>
      <c r="B53" s="51">
        <f>Captura_NoFin!B53</f>
        <v/>
      </c>
      <c r="C53" s="51">
        <f>Captura_NoFin!C53</f>
        <v/>
      </c>
      <c r="D53" s="52">
        <f>Captura_NoFin!D53</f>
        <v/>
      </c>
      <c r="E53" s="53">
        <f>IF(COUNT(Captura_NoFin!M53,Captura_NoFin!L53)&lt;2,"",Captura_NoFin!M53+ABS(Captura_NoFin!L53))</f>
        <v/>
      </c>
      <c r="F53" s="54">
        <f>IF(COUNT(Captura_NoFin!F53,Captura_NoFin!G53)&lt;2,"",IFERROR(Captura_NoFin!F53/Captura_NoFin!G53,""))</f>
        <v/>
      </c>
      <c r="G53" s="55">
        <f>IF(COUNT(Captura_NoFin!F53,Captura_NoFin!G53,Captura_NoFin!H53)&lt;3,"",IFERROR((Captura_NoFin!F53-Captura_NoFin!G53)/Captura_NoFin!H53,""))</f>
        <v/>
      </c>
      <c r="H53" s="55">
        <f>IF(OR(E53="",COUNT(Captura_NoFin!K53)&lt;1),"",IFERROR(E53/Captura_NoFin!K53,""))</f>
        <v/>
      </c>
      <c r="I53" s="55">
        <f>IF(COUNT(Captura_NoFin!N53,Captura_NoFin!H53)&lt;2,"",IFERROR(Captura_NoFin!N53/Captura_NoFin!H53,""))</f>
        <v/>
      </c>
      <c r="J53" s="55">
        <f>IF(COUNT(Captura_NoFin!I53,Captura_NoFin!H53)&lt;2,"",IFERROR(Captura_NoFin!I53/Captura_NoFin!H53,""))</f>
        <v/>
      </c>
      <c r="K53" s="54">
        <f>IF(OR(E53="",COUNT(Captura_NoFin!L53)&lt;1),"",IFERROR(E53/ABS(Captura_NoFin!L53),""))</f>
        <v/>
      </c>
      <c r="L53" s="54">
        <f>IF(COUNT(Captura_NoFin!K53,Captura_NoFin!H53)&lt;2,"",IFERROR(Captura_NoFin!K53/Captura_NoFin!H53,""))</f>
        <v/>
      </c>
      <c r="M53" s="55">
        <f>IF(COUNT(Captura_NoFin!R53)&lt;1,"",IFERROR(IF(D53=2017,Captura_NoFin!R53/INDEX(Empresas!$I$2:$I$23,MATCH($A53,Empresas!$B$2:$B$23,0))-1,IF(COUNT(Captura_NoFin!R52)&lt;1,"",Captura_NoFin!R53/Captura_NoFin!R52-1)),""))</f>
        <v/>
      </c>
      <c r="N53" s="55">
        <f>IF(COUNT(Captura_NoFin!P53,Captura_NoFin!O53)&lt;2,"",IF(Captura_NoFin!O53&lt;=0,"",Captura_NoFin!P53/Captura_NoFin!O53))</f>
        <v/>
      </c>
      <c r="O53" s="56">
        <f>COUNT(F53:M53)</f>
        <v/>
      </c>
      <c r="P53" s="57">
        <f>IF(COUNT(Captura_NoFin!H53,Captura_NoFin!I53,Captura_NoFin!J53)&lt;3,"",IF(ABS(Captura_NoFin!H53-Captura_NoFin!I53-Captura_NoFin!J53)&lt;=0.005*ABS(Captura_NoFin!H53),"OK","REVISAR"))</f>
        <v/>
      </c>
    </row>
    <row r="54" ht="15" customHeight="1" s="31">
      <c r="A54" s="51">
        <f>Captura_NoFin!A54</f>
        <v/>
      </c>
      <c r="B54" s="51">
        <f>Captura_NoFin!B54</f>
        <v/>
      </c>
      <c r="C54" s="51">
        <f>Captura_NoFin!C54</f>
        <v/>
      </c>
      <c r="D54" s="52">
        <f>Captura_NoFin!D54</f>
        <v/>
      </c>
      <c r="E54" s="53">
        <f>IF(COUNT(Captura_NoFin!M54,Captura_NoFin!L54)&lt;2,"",Captura_NoFin!M54+ABS(Captura_NoFin!L54))</f>
        <v/>
      </c>
      <c r="F54" s="54">
        <f>IF(COUNT(Captura_NoFin!F54,Captura_NoFin!G54)&lt;2,"",IFERROR(Captura_NoFin!F54/Captura_NoFin!G54,""))</f>
        <v/>
      </c>
      <c r="G54" s="55">
        <f>IF(COUNT(Captura_NoFin!F54,Captura_NoFin!G54,Captura_NoFin!H54)&lt;3,"",IFERROR((Captura_NoFin!F54-Captura_NoFin!G54)/Captura_NoFin!H54,""))</f>
        <v/>
      </c>
      <c r="H54" s="55">
        <f>IF(OR(E54="",COUNT(Captura_NoFin!K54)&lt;1),"",IFERROR(E54/Captura_NoFin!K54,""))</f>
        <v/>
      </c>
      <c r="I54" s="55">
        <f>IF(COUNT(Captura_NoFin!N54,Captura_NoFin!H54)&lt;2,"",IFERROR(Captura_NoFin!N54/Captura_NoFin!H54,""))</f>
        <v/>
      </c>
      <c r="J54" s="55">
        <f>IF(COUNT(Captura_NoFin!I54,Captura_NoFin!H54)&lt;2,"",IFERROR(Captura_NoFin!I54/Captura_NoFin!H54,""))</f>
        <v/>
      </c>
      <c r="K54" s="54">
        <f>IF(OR(E54="",COUNT(Captura_NoFin!L54)&lt;1),"",IFERROR(E54/ABS(Captura_NoFin!L54),""))</f>
        <v/>
      </c>
      <c r="L54" s="54">
        <f>IF(COUNT(Captura_NoFin!K54,Captura_NoFin!H54)&lt;2,"",IFERROR(Captura_NoFin!K54/Captura_NoFin!H54,""))</f>
        <v/>
      </c>
      <c r="M54" s="55">
        <f>IF(COUNT(Captura_NoFin!R54)&lt;1,"",IFERROR(IF(D54=2017,Captura_NoFin!R54/INDEX(Empresas!$I$2:$I$23,MATCH($A54,Empresas!$B$2:$B$23,0))-1,IF(COUNT(Captura_NoFin!R53)&lt;1,"",Captura_NoFin!R54/Captura_NoFin!R53-1)),""))</f>
        <v/>
      </c>
      <c r="N54" s="55">
        <f>IF(COUNT(Captura_NoFin!P54,Captura_NoFin!O54)&lt;2,"",IF(Captura_NoFin!O54&lt;=0,"",Captura_NoFin!P54/Captura_NoFin!O54))</f>
        <v/>
      </c>
      <c r="O54" s="56">
        <f>COUNT(F54:M54)</f>
        <v/>
      </c>
      <c r="P54" s="57">
        <f>IF(COUNT(Captura_NoFin!H54,Captura_NoFin!I54,Captura_NoFin!J54)&lt;3,"",IF(ABS(Captura_NoFin!H54-Captura_NoFin!I54-Captura_NoFin!J54)&lt;=0.005*ABS(Captura_NoFin!H54),"OK","REVISAR"))</f>
        <v/>
      </c>
    </row>
    <row r="55" ht="15" customHeight="1" s="31">
      <c r="A55" s="51">
        <f>Captura_NoFin!A55</f>
        <v/>
      </c>
      <c r="B55" s="51">
        <f>Captura_NoFin!B55</f>
        <v/>
      </c>
      <c r="C55" s="51">
        <f>Captura_NoFin!C55</f>
        <v/>
      </c>
      <c r="D55" s="52">
        <f>Captura_NoFin!D55</f>
        <v/>
      </c>
      <c r="E55" s="53">
        <f>IF(COUNT(Captura_NoFin!M55,Captura_NoFin!L55)&lt;2,"",Captura_NoFin!M55+ABS(Captura_NoFin!L55))</f>
        <v/>
      </c>
      <c r="F55" s="54">
        <f>IF(COUNT(Captura_NoFin!F55,Captura_NoFin!G55)&lt;2,"",IFERROR(Captura_NoFin!F55/Captura_NoFin!G55,""))</f>
        <v/>
      </c>
      <c r="G55" s="55">
        <f>IF(COUNT(Captura_NoFin!F55,Captura_NoFin!G55,Captura_NoFin!H55)&lt;3,"",IFERROR((Captura_NoFin!F55-Captura_NoFin!G55)/Captura_NoFin!H55,""))</f>
        <v/>
      </c>
      <c r="H55" s="55">
        <f>IF(OR(E55="",COUNT(Captura_NoFin!K55)&lt;1),"",IFERROR(E55/Captura_NoFin!K55,""))</f>
        <v/>
      </c>
      <c r="I55" s="55">
        <f>IF(COUNT(Captura_NoFin!N55,Captura_NoFin!H55)&lt;2,"",IFERROR(Captura_NoFin!N55/Captura_NoFin!H55,""))</f>
        <v/>
      </c>
      <c r="J55" s="55">
        <f>IF(COUNT(Captura_NoFin!I55,Captura_NoFin!H55)&lt;2,"",IFERROR(Captura_NoFin!I55/Captura_NoFin!H55,""))</f>
        <v/>
      </c>
      <c r="K55" s="54">
        <f>IF(OR(E55="",COUNT(Captura_NoFin!L55)&lt;1),"",IFERROR(E55/ABS(Captura_NoFin!L55),""))</f>
        <v/>
      </c>
      <c r="L55" s="54">
        <f>IF(COUNT(Captura_NoFin!K55,Captura_NoFin!H55)&lt;2,"",IFERROR(Captura_NoFin!K55/Captura_NoFin!H55,""))</f>
        <v/>
      </c>
      <c r="M55" s="55">
        <f>IF(COUNT(Captura_NoFin!R55)&lt;1,"",IFERROR(IF(D55=2017,Captura_NoFin!R55/INDEX(Empresas!$I$2:$I$23,MATCH($A55,Empresas!$B$2:$B$23,0))-1,IF(COUNT(Captura_NoFin!R54)&lt;1,"",Captura_NoFin!R55/Captura_NoFin!R54-1)),""))</f>
        <v/>
      </c>
      <c r="N55" s="55">
        <f>IF(COUNT(Captura_NoFin!P55,Captura_NoFin!O55)&lt;2,"",IF(Captura_NoFin!O55&lt;=0,"",Captura_NoFin!P55/Captura_NoFin!O55))</f>
        <v/>
      </c>
      <c r="O55" s="56">
        <f>COUNT(F55:M55)</f>
        <v/>
      </c>
      <c r="P55" s="57">
        <f>IF(COUNT(Captura_NoFin!H55,Captura_NoFin!I55,Captura_NoFin!J55)&lt;3,"",IF(ABS(Captura_NoFin!H55-Captura_NoFin!I55-Captura_NoFin!J55)&lt;=0.005*ABS(Captura_NoFin!H55),"OK","REVISAR"))</f>
        <v/>
      </c>
    </row>
    <row r="56" ht="15" customHeight="1" s="31">
      <c r="A56" s="51">
        <f>Captura_NoFin!A56</f>
        <v/>
      </c>
      <c r="B56" s="51">
        <f>Captura_NoFin!B56</f>
        <v/>
      </c>
      <c r="C56" s="51">
        <f>Captura_NoFin!C56</f>
        <v/>
      </c>
      <c r="D56" s="52">
        <f>Captura_NoFin!D56</f>
        <v/>
      </c>
      <c r="E56" s="53">
        <f>IF(COUNT(Captura_NoFin!M56,Captura_NoFin!L56)&lt;2,"",Captura_NoFin!M56+ABS(Captura_NoFin!L56))</f>
        <v/>
      </c>
      <c r="F56" s="54">
        <f>IF(COUNT(Captura_NoFin!F56,Captura_NoFin!G56)&lt;2,"",IFERROR(Captura_NoFin!F56/Captura_NoFin!G56,""))</f>
        <v/>
      </c>
      <c r="G56" s="55">
        <f>IF(COUNT(Captura_NoFin!F56,Captura_NoFin!G56,Captura_NoFin!H56)&lt;3,"",IFERROR((Captura_NoFin!F56-Captura_NoFin!G56)/Captura_NoFin!H56,""))</f>
        <v/>
      </c>
      <c r="H56" s="55">
        <f>IF(OR(E56="",COUNT(Captura_NoFin!K56)&lt;1),"",IFERROR(E56/Captura_NoFin!K56,""))</f>
        <v/>
      </c>
      <c r="I56" s="55">
        <f>IF(COUNT(Captura_NoFin!N56,Captura_NoFin!H56)&lt;2,"",IFERROR(Captura_NoFin!N56/Captura_NoFin!H56,""))</f>
        <v/>
      </c>
      <c r="J56" s="55">
        <f>IF(COUNT(Captura_NoFin!I56,Captura_NoFin!H56)&lt;2,"",IFERROR(Captura_NoFin!I56/Captura_NoFin!H56,""))</f>
        <v/>
      </c>
      <c r="K56" s="54">
        <f>IF(OR(E56="",COUNT(Captura_NoFin!L56)&lt;1),"",IFERROR(E56/ABS(Captura_NoFin!L56),""))</f>
        <v/>
      </c>
      <c r="L56" s="54">
        <f>IF(COUNT(Captura_NoFin!K56,Captura_NoFin!H56)&lt;2,"",IFERROR(Captura_NoFin!K56/Captura_NoFin!H56,""))</f>
        <v/>
      </c>
      <c r="M56" s="55">
        <f>IF(COUNT(Captura_NoFin!R56)&lt;1,"",IFERROR(IF(D56=2017,Captura_NoFin!R56/INDEX(Empresas!$I$2:$I$23,MATCH($A56,Empresas!$B$2:$B$23,0))-1,IF(COUNT(Captura_NoFin!R55)&lt;1,"",Captura_NoFin!R56/Captura_NoFin!R55-1)),""))</f>
        <v/>
      </c>
      <c r="N56" s="55">
        <f>IF(COUNT(Captura_NoFin!P56,Captura_NoFin!O56)&lt;2,"",IF(Captura_NoFin!O56&lt;=0,"",Captura_NoFin!P56/Captura_NoFin!O56))</f>
        <v/>
      </c>
      <c r="O56" s="56">
        <f>COUNT(F56:M56)</f>
        <v/>
      </c>
      <c r="P56" s="57">
        <f>IF(COUNT(Captura_NoFin!H56,Captura_NoFin!I56,Captura_NoFin!J56)&lt;3,"",IF(ABS(Captura_NoFin!H56-Captura_NoFin!I56-Captura_NoFin!J56)&lt;=0.005*ABS(Captura_NoFin!H56),"OK","REVISAR"))</f>
        <v/>
      </c>
    </row>
    <row r="57" ht="15" customHeight="1" s="31">
      <c r="A57" s="51">
        <f>Captura_NoFin!A57</f>
        <v/>
      </c>
      <c r="B57" s="51">
        <f>Captura_NoFin!B57</f>
        <v/>
      </c>
      <c r="C57" s="51">
        <f>Captura_NoFin!C57</f>
        <v/>
      </c>
      <c r="D57" s="52">
        <f>Captura_NoFin!D57</f>
        <v/>
      </c>
      <c r="E57" s="53">
        <f>IF(COUNT(Captura_NoFin!M57,Captura_NoFin!L57)&lt;2,"",Captura_NoFin!M57+ABS(Captura_NoFin!L57))</f>
        <v/>
      </c>
      <c r="F57" s="54">
        <f>IF(COUNT(Captura_NoFin!F57,Captura_NoFin!G57)&lt;2,"",IFERROR(Captura_NoFin!F57/Captura_NoFin!G57,""))</f>
        <v/>
      </c>
      <c r="G57" s="55">
        <f>IF(COUNT(Captura_NoFin!F57,Captura_NoFin!G57,Captura_NoFin!H57)&lt;3,"",IFERROR((Captura_NoFin!F57-Captura_NoFin!G57)/Captura_NoFin!H57,""))</f>
        <v/>
      </c>
      <c r="H57" s="55">
        <f>IF(OR(E57="",COUNT(Captura_NoFin!K57)&lt;1),"",IFERROR(E57/Captura_NoFin!K57,""))</f>
        <v/>
      </c>
      <c r="I57" s="55">
        <f>IF(COUNT(Captura_NoFin!N57,Captura_NoFin!H57)&lt;2,"",IFERROR(Captura_NoFin!N57/Captura_NoFin!H57,""))</f>
        <v/>
      </c>
      <c r="J57" s="55">
        <f>IF(COUNT(Captura_NoFin!I57,Captura_NoFin!H57)&lt;2,"",IFERROR(Captura_NoFin!I57/Captura_NoFin!H57,""))</f>
        <v/>
      </c>
      <c r="K57" s="54">
        <f>IF(OR(E57="",COUNT(Captura_NoFin!L57)&lt;1),"",IFERROR(E57/ABS(Captura_NoFin!L57),""))</f>
        <v/>
      </c>
      <c r="L57" s="54">
        <f>IF(COUNT(Captura_NoFin!K57,Captura_NoFin!H57)&lt;2,"",IFERROR(Captura_NoFin!K57/Captura_NoFin!H57,""))</f>
        <v/>
      </c>
      <c r="M57" s="55">
        <f>IF(COUNT(Captura_NoFin!R57)&lt;1,"",IFERROR(IF(D57=2017,Captura_NoFin!R57/INDEX(Empresas!$I$2:$I$23,MATCH($A57,Empresas!$B$2:$B$23,0))-1,IF(COUNT(Captura_NoFin!R56)&lt;1,"",Captura_NoFin!R57/Captura_NoFin!R56-1)),""))</f>
        <v/>
      </c>
      <c r="N57" s="55">
        <f>IF(COUNT(Captura_NoFin!P57,Captura_NoFin!O57)&lt;2,"",IF(Captura_NoFin!O57&lt;=0,"",Captura_NoFin!P57/Captura_NoFin!O57))</f>
        <v/>
      </c>
      <c r="O57" s="56">
        <f>COUNT(F57:M57)</f>
        <v/>
      </c>
      <c r="P57" s="57">
        <f>IF(COUNT(Captura_NoFin!H57,Captura_NoFin!I57,Captura_NoFin!J57)&lt;3,"",IF(ABS(Captura_NoFin!H57-Captura_NoFin!I57-Captura_NoFin!J57)&lt;=0.005*ABS(Captura_NoFin!H57),"OK","REVISAR"))</f>
        <v/>
      </c>
    </row>
    <row r="58" ht="15" customHeight="1" s="31">
      <c r="A58" s="51">
        <f>Captura_NoFin!A58</f>
        <v/>
      </c>
      <c r="B58" s="51">
        <f>Captura_NoFin!B58</f>
        <v/>
      </c>
      <c r="C58" s="51">
        <f>Captura_NoFin!C58</f>
        <v/>
      </c>
      <c r="D58" s="52">
        <f>Captura_NoFin!D58</f>
        <v/>
      </c>
      <c r="E58" s="53">
        <f>IF(COUNT(Captura_NoFin!M58,Captura_NoFin!L58)&lt;2,"",Captura_NoFin!M58+ABS(Captura_NoFin!L58))</f>
        <v/>
      </c>
      <c r="F58" s="54">
        <f>IF(COUNT(Captura_NoFin!F58,Captura_NoFin!G58)&lt;2,"",IFERROR(Captura_NoFin!F58/Captura_NoFin!G58,""))</f>
        <v/>
      </c>
      <c r="G58" s="55">
        <f>IF(COUNT(Captura_NoFin!F58,Captura_NoFin!G58,Captura_NoFin!H58)&lt;3,"",IFERROR((Captura_NoFin!F58-Captura_NoFin!G58)/Captura_NoFin!H58,""))</f>
        <v/>
      </c>
      <c r="H58" s="55">
        <f>IF(OR(E58="",COUNT(Captura_NoFin!K58)&lt;1),"",IFERROR(E58/Captura_NoFin!K58,""))</f>
        <v/>
      </c>
      <c r="I58" s="55">
        <f>IF(COUNT(Captura_NoFin!N58,Captura_NoFin!H58)&lt;2,"",IFERROR(Captura_NoFin!N58/Captura_NoFin!H58,""))</f>
        <v/>
      </c>
      <c r="J58" s="55">
        <f>IF(COUNT(Captura_NoFin!I58,Captura_NoFin!H58)&lt;2,"",IFERROR(Captura_NoFin!I58/Captura_NoFin!H58,""))</f>
        <v/>
      </c>
      <c r="K58" s="54">
        <f>IF(OR(E58="",COUNT(Captura_NoFin!L58)&lt;1),"",IFERROR(E58/ABS(Captura_NoFin!L58),""))</f>
        <v/>
      </c>
      <c r="L58" s="54">
        <f>IF(COUNT(Captura_NoFin!K58,Captura_NoFin!H58)&lt;2,"",IFERROR(Captura_NoFin!K58/Captura_NoFin!H58,""))</f>
        <v/>
      </c>
      <c r="M58" s="55">
        <f>IF(COUNT(Captura_NoFin!R58)&lt;1,"",IFERROR(IF(D58=2017,Captura_NoFin!R58/INDEX(Empresas!$I$2:$I$23,MATCH($A58,Empresas!$B$2:$B$23,0))-1,IF(COUNT(Captura_NoFin!R57)&lt;1,"",Captura_NoFin!R58/Captura_NoFin!R57-1)),""))</f>
        <v/>
      </c>
      <c r="N58" s="55">
        <f>IF(COUNT(Captura_NoFin!P58,Captura_NoFin!O58)&lt;2,"",IF(Captura_NoFin!O58&lt;=0,"",Captura_NoFin!P58/Captura_NoFin!O58))</f>
        <v/>
      </c>
      <c r="O58" s="56">
        <f>COUNT(F58:M58)</f>
        <v/>
      </c>
      <c r="P58" s="57">
        <f>IF(COUNT(Captura_NoFin!H58,Captura_NoFin!I58,Captura_NoFin!J58)&lt;3,"",IF(ABS(Captura_NoFin!H58-Captura_NoFin!I58-Captura_NoFin!J58)&lt;=0.005*ABS(Captura_NoFin!H58),"OK","REVISAR"))</f>
        <v/>
      </c>
    </row>
    <row r="59" ht="15" customHeight="1" s="31">
      <c r="A59" s="51">
        <f>Captura_NoFin!A59</f>
        <v/>
      </c>
      <c r="B59" s="51">
        <f>Captura_NoFin!B59</f>
        <v/>
      </c>
      <c r="C59" s="51">
        <f>Captura_NoFin!C59</f>
        <v/>
      </c>
      <c r="D59" s="52">
        <f>Captura_NoFin!D59</f>
        <v/>
      </c>
      <c r="E59" s="53">
        <f>IF(COUNT(Captura_NoFin!M59,Captura_NoFin!L59)&lt;2,"",Captura_NoFin!M59+ABS(Captura_NoFin!L59))</f>
        <v/>
      </c>
      <c r="F59" s="54">
        <f>IF(COUNT(Captura_NoFin!F59,Captura_NoFin!G59)&lt;2,"",IFERROR(Captura_NoFin!F59/Captura_NoFin!G59,""))</f>
        <v/>
      </c>
      <c r="G59" s="55">
        <f>IF(COUNT(Captura_NoFin!F59,Captura_NoFin!G59,Captura_NoFin!H59)&lt;3,"",IFERROR((Captura_NoFin!F59-Captura_NoFin!G59)/Captura_NoFin!H59,""))</f>
        <v/>
      </c>
      <c r="H59" s="55">
        <f>IF(OR(E59="",COUNT(Captura_NoFin!K59)&lt;1),"",IFERROR(E59/Captura_NoFin!K59,""))</f>
        <v/>
      </c>
      <c r="I59" s="55">
        <f>IF(COUNT(Captura_NoFin!N59,Captura_NoFin!H59)&lt;2,"",IFERROR(Captura_NoFin!N59/Captura_NoFin!H59,""))</f>
        <v/>
      </c>
      <c r="J59" s="55">
        <f>IF(COUNT(Captura_NoFin!I59,Captura_NoFin!H59)&lt;2,"",IFERROR(Captura_NoFin!I59/Captura_NoFin!H59,""))</f>
        <v/>
      </c>
      <c r="K59" s="54">
        <f>IF(OR(E59="",COUNT(Captura_NoFin!L59)&lt;1),"",IFERROR(E59/ABS(Captura_NoFin!L59),""))</f>
        <v/>
      </c>
      <c r="L59" s="54">
        <f>IF(COUNT(Captura_NoFin!K59,Captura_NoFin!H59)&lt;2,"",IFERROR(Captura_NoFin!K59/Captura_NoFin!H59,""))</f>
        <v/>
      </c>
      <c r="M59" s="55">
        <f>IF(COUNT(Captura_NoFin!R59)&lt;1,"",IFERROR(IF(D59=2017,Captura_NoFin!R59/INDEX(Empresas!$I$2:$I$23,MATCH($A59,Empresas!$B$2:$B$23,0))-1,IF(COUNT(Captura_NoFin!R58)&lt;1,"",Captura_NoFin!R59/Captura_NoFin!R58-1)),""))</f>
        <v/>
      </c>
      <c r="N59" s="55">
        <f>IF(COUNT(Captura_NoFin!P59,Captura_NoFin!O59)&lt;2,"",IF(Captura_NoFin!O59&lt;=0,"",Captura_NoFin!P59/Captura_NoFin!O59))</f>
        <v/>
      </c>
      <c r="O59" s="56">
        <f>COUNT(F59:M59)</f>
        <v/>
      </c>
      <c r="P59" s="57">
        <f>IF(COUNT(Captura_NoFin!H59,Captura_NoFin!I59,Captura_NoFin!J59)&lt;3,"",IF(ABS(Captura_NoFin!H59-Captura_NoFin!I59-Captura_NoFin!J59)&lt;=0.005*ABS(Captura_NoFin!H59),"OK","REVISAR"))</f>
        <v/>
      </c>
    </row>
    <row r="60" ht="15" customHeight="1" s="31">
      <c r="A60" s="51">
        <f>Captura_NoFin!A60</f>
        <v/>
      </c>
      <c r="B60" s="51">
        <f>Captura_NoFin!B60</f>
        <v/>
      </c>
      <c r="C60" s="51">
        <f>Captura_NoFin!C60</f>
        <v/>
      </c>
      <c r="D60" s="52">
        <f>Captura_NoFin!D60</f>
        <v/>
      </c>
      <c r="E60" s="53">
        <f>IF(COUNT(Captura_NoFin!M60,Captura_NoFin!L60)&lt;2,"",Captura_NoFin!M60+ABS(Captura_NoFin!L60))</f>
        <v/>
      </c>
      <c r="F60" s="54">
        <f>IF(COUNT(Captura_NoFin!F60,Captura_NoFin!G60)&lt;2,"",IFERROR(Captura_NoFin!F60/Captura_NoFin!G60,""))</f>
        <v/>
      </c>
      <c r="G60" s="55">
        <f>IF(COUNT(Captura_NoFin!F60,Captura_NoFin!G60,Captura_NoFin!H60)&lt;3,"",IFERROR((Captura_NoFin!F60-Captura_NoFin!G60)/Captura_NoFin!H60,""))</f>
        <v/>
      </c>
      <c r="H60" s="55">
        <f>IF(OR(E60="",COUNT(Captura_NoFin!K60)&lt;1),"",IFERROR(E60/Captura_NoFin!K60,""))</f>
        <v/>
      </c>
      <c r="I60" s="55">
        <f>IF(COUNT(Captura_NoFin!N60,Captura_NoFin!H60)&lt;2,"",IFERROR(Captura_NoFin!N60/Captura_NoFin!H60,""))</f>
        <v/>
      </c>
      <c r="J60" s="55">
        <f>IF(COUNT(Captura_NoFin!I60,Captura_NoFin!H60)&lt;2,"",IFERROR(Captura_NoFin!I60/Captura_NoFin!H60,""))</f>
        <v/>
      </c>
      <c r="K60" s="54">
        <f>IF(OR(E60="",COUNT(Captura_NoFin!L60)&lt;1),"",IFERROR(E60/ABS(Captura_NoFin!L60),""))</f>
        <v/>
      </c>
      <c r="L60" s="54">
        <f>IF(COUNT(Captura_NoFin!K60,Captura_NoFin!H60)&lt;2,"",IFERROR(Captura_NoFin!K60/Captura_NoFin!H60,""))</f>
        <v/>
      </c>
      <c r="M60" s="55">
        <f>IF(COUNT(Captura_NoFin!R60)&lt;1,"",IFERROR(IF(D60=2017,Captura_NoFin!R60/INDEX(Empresas!$I$2:$I$23,MATCH($A60,Empresas!$B$2:$B$23,0))-1,IF(COUNT(Captura_NoFin!R59)&lt;1,"",Captura_NoFin!R60/Captura_NoFin!R59-1)),""))</f>
        <v/>
      </c>
      <c r="N60" s="55">
        <f>IF(COUNT(Captura_NoFin!P60,Captura_NoFin!O60)&lt;2,"",IF(Captura_NoFin!O60&lt;=0,"",Captura_NoFin!P60/Captura_NoFin!O60))</f>
        <v/>
      </c>
      <c r="O60" s="56">
        <f>COUNT(F60:M60)</f>
        <v/>
      </c>
      <c r="P60" s="57">
        <f>IF(COUNT(Captura_NoFin!H60,Captura_NoFin!I60,Captura_NoFin!J60)&lt;3,"",IF(ABS(Captura_NoFin!H60-Captura_NoFin!I60-Captura_NoFin!J60)&lt;=0.005*ABS(Captura_NoFin!H60),"OK","REVISAR"))</f>
        <v/>
      </c>
    </row>
    <row r="61" ht="15" customHeight="1" s="31">
      <c r="A61" s="51">
        <f>Captura_NoFin!A61</f>
        <v/>
      </c>
      <c r="B61" s="51">
        <f>Captura_NoFin!B61</f>
        <v/>
      </c>
      <c r="C61" s="51">
        <f>Captura_NoFin!C61</f>
        <v/>
      </c>
      <c r="D61" s="52">
        <f>Captura_NoFin!D61</f>
        <v/>
      </c>
      <c r="E61" s="53">
        <f>IF(COUNT(Captura_NoFin!M61,Captura_NoFin!L61)&lt;2,"",Captura_NoFin!M61+ABS(Captura_NoFin!L61))</f>
        <v/>
      </c>
      <c r="F61" s="54">
        <f>IF(COUNT(Captura_NoFin!F61,Captura_NoFin!G61)&lt;2,"",IFERROR(Captura_NoFin!F61/Captura_NoFin!G61,""))</f>
        <v/>
      </c>
      <c r="G61" s="55">
        <f>IF(COUNT(Captura_NoFin!F61,Captura_NoFin!G61,Captura_NoFin!H61)&lt;3,"",IFERROR((Captura_NoFin!F61-Captura_NoFin!G61)/Captura_NoFin!H61,""))</f>
        <v/>
      </c>
      <c r="H61" s="55">
        <f>IF(OR(E61="",COUNT(Captura_NoFin!K61)&lt;1),"",IFERROR(E61/Captura_NoFin!K61,""))</f>
        <v/>
      </c>
      <c r="I61" s="55">
        <f>IF(COUNT(Captura_NoFin!N61,Captura_NoFin!H61)&lt;2,"",IFERROR(Captura_NoFin!N61/Captura_NoFin!H61,""))</f>
        <v/>
      </c>
      <c r="J61" s="55">
        <f>IF(COUNT(Captura_NoFin!I61,Captura_NoFin!H61)&lt;2,"",IFERROR(Captura_NoFin!I61/Captura_NoFin!H61,""))</f>
        <v/>
      </c>
      <c r="K61" s="54">
        <f>IF(OR(E61="",COUNT(Captura_NoFin!L61)&lt;1),"",IFERROR(E61/ABS(Captura_NoFin!L61),""))</f>
        <v/>
      </c>
      <c r="L61" s="54">
        <f>IF(COUNT(Captura_NoFin!K61,Captura_NoFin!H61)&lt;2,"",IFERROR(Captura_NoFin!K61/Captura_NoFin!H61,""))</f>
        <v/>
      </c>
      <c r="M61" s="55">
        <f>IF(COUNT(Captura_NoFin!R61)&lt;1,"",IFERROR(IF(D61=2017,Captura_NoFin!R61/INDEX(Empresas!$I$2:$I$23,MATCH($A61,Empresas!$B$2:$B$23,0))-1,IF(COUNT(Captura_NoFin!R60)&lt;1,"",Captura_NoFin!R61/Captura_NoFin!R60-1)),""))</f>
        <v/>
      </c>
      <c r="N61" s="55">
        <f>IF(COUNT(Captura_NoFin!P61,Captura_NoFin!O61)&lt;2,"",IF(Captura_NoFin!O61&lt;=0,"",Captura_NoFin!P61/Captura_NoFin!O61))</f>
        <v/>
      </c>
      <c r="O61" s="56">
        <f>COUNT(F61:M61)</f>
        <v/>
      </c>
      <c r="P61" s="57">
        <f>IF(COUNT(Captura_NoFin!H61,Captura_NoFin!I61,Captura_NoFin!J61)&lt;3,"",IF(ABS(Captura_NoFin!H61-Captura_NoFin!I61-Captura_NoFin!J61)&lt;=0.005*ABS(Captura_NoFin!H61),"OK","REVISAR"))</f>
        <v/>
      </c>
    </row>
    <row r="62" ht="15" customHeight="1" s="31">
      <c r="A62" s="51">
        <f>Captura_NoFin!A62</f>
        <v/>
      </c>
      <c r="B62" s="51">
        <f>Captura_NoFin!B62</f>
        <v/>
      </c>
      <c r="C62" s="51">
        <f>Captura_NoFin!C62</f>
        <v/>
      </c>
      <c r="D62" s="52">
        <f>Captura_NoFin!D62</f>
        <v/>
      </c>
      <c r="E62" s="53">
        <f>IF(COUNT(Captura_NoFin!M62,Captura_NoFin!L62)&lt;2,"",Captura_NoFin!M62+ABS(Captura_NoFin!L62))</f>
        <v/>
      </c>
      <c r="F62" s="54">
        <f>IF(COUNT(Captura_NoFin!F62,Captura_NoFin!G62)&lt;2,"",IFERROR(Captura_NoFin!F62/Captura_NoFin!G62,""))</f>
        <v/>
      </c>
      <c r="G62" s="55">
        <f>IF(COUNT(Captura_NoFin!F62,Captura_NoFin!G62,Captura_NoFin!H62)&lt;3,"",IFERROR((Captura_NoFin!F62-Captura_NoFin!G62)/Captura_NoFin!H62,""))</f>
        <v/>
      </c>
      <c r="H62" s="55">
        <f>IF(OR(E62="",COUNT(Captura_NoFin!K62)&lt;1),"",IFERROR(E62/Captura_NoFin!K62,""))</f>
        <v/>
      </c>
      <c r="I62" s="55">
        <f>IF(COUNT(Captura_NoFin!N62,Captura_NoFin!H62)&lt;2,"",IFERROR(Captura_NoFin!N62/Captura_NoFin!H62,""))</f>
        <v/>
      </c>
      <c r="J62" s="55">
        <f>IF(COUNT(Captura_NoFin!I62,Captura_NoFin!H62)&lt;2,"",IFERROR(Captura_NoFin!I62/Captura_NoFin!H62,""))</f>
        <v/>
      </c>
      <c r="K62" s="54">
        <f>IF(OR(E62="",COUNT(Captura_NoFin!L62)&lt;1),"",IFERROR(E62/ABS(Captura_NoFin!L62),""))</f>
        <v/>
      </c>
      <c r="L62" s="54">
        <f>IF(COUNT(Captura_NoFin!K62,Captura_NoFin!H62)&lt;2,"",IFERROR(Captura_NoFin!K62/Captura_NoFin!H62,""))</f>
        <v/>
      </c>
      <c r="M62" s="55">
        <f>IF(COUNT(Captura_NoFin!R62)&lt;1,"",IFERROR(IF(D62=2017,Captura_NoFin!R62/INDEX(Empresas!$I$2:$I$23,MATCH($A62,Empresas!$B$2:$B$23,0))-1,IF(COUNT(Captura_NoFin!R61)&lt;1,"",Captura_NoFin!R62/Captura_NoFin!R61-1)),""))</f>
        <v/>
      </c>
      <c r="N62" s="55">
        <f>IF(COUNT(Captura_NoFin!P62,Captura_NoFin!O62)&lt;2,"",IF(Captura_NoFin!O62&lt;=0,"",Captura_NoFin!P62/Captura_NoFin!O62))</f>
        <v/>
      </c>
      <c r="O62" s="56">
        <f>COUNT(F62:M62)</f>
        <v/>
      </c>
      <c r="P62" s="57">
        <f>IF(COUNT(Captura_NoFin!H62,Captura_NoFin!I62,Captura_NoFin!J62)&lt;3,"",IF(ABS(Captura_NoFin!H62-Captura_NoFin!I62-Captura_NoFin!J62)&lt;=0.005*ABS(Captura_NoFin!H62),"OK","REVISAR"))</f>
        <v/>
      </c>
    </row>
    <row r="63" ht="15" customHeight="1" s="31">
      <c r="A63" s="51">
        <f>Captura_NoFin!A63</f>
        <v/>
      </c>
      <c r="B63" s="51">
        <f>Captura_NoFin!B63</f>
        <v/>
      </c>
      <c r="C63" s="51">
        <f>Captura_NoFin!C63</f>
        <v/>
      </c>
      <c r="D63" s="52">
        <f>Captura_NoFin!D63</f>
        <v/>
      </c>
      <c r="E63" s="53">
        <f>IF(COUNT(Captura_NoFin!M63,Captura_NoFin!L63)&lt;2,"",Captura_NoFin!M63+ABS(Captura_NoFin!L63))</f>
        <v/>
      </c>
      <c r="F63" s="54">
        <f>IF(COUNT(Captura_NoFin!F63,Captura_NoFin!G63)&lt;2,"",IFERROR(Captura_NoFin!F63/Captura_NoFin!G63,""))</f>
        <v/>
      </c>
      <c r="G63" s="55">
        <f>IF(COUNT(Captura_NoFin!F63,Captura_NoFin!G63,Captura_NoFin!H63)&lt;3,"",IFERROR((Captura_NoFin!F63-Captura_NoFin!G63)/Captura_NoFin!H63,""))</f>
        <v/>
      </c>
      <c r="H63" s="55">
        <f>IF(OR(E63="",COUNT(Captura_NoFin!K63)&lt;1),"",IFERROR(E63/Captura_NoFin!K63,""))</f>
        <v/>
      </c>
      <c r="I63" s="55">
        <f>IF(COUNT(Captura_NoFin!N63,Captura_NoFin!H63)&lt;2,"",IFERROR(Captura_NoFin!N63/Captura_NoFin!H63,""))</f>
        <v/>
      </c>
      <c r="J63" s="55">
        <f>IF(COUNT(Captura_NoFin!I63,Captura_NoFin!H63)&lt;2,"",IFERROR(Captura_NoFin!I63/Captura_NoFin!H63,""))</f>
        <v/>
      </c>
      <c r="K63" s="54">
        <f>IF(OR(E63="",COUNT(Captura_NoFin!L63)&lt;1),"",IFERROR(E63/ABS(Captura_NoFin!L63),""))</f>
        <v/>
      </c>
      <c r="L63" s="54">
        <f>IF(COUNT(Captura_NoFin!K63,Captura_NoFin!H63)&lt;2,"",IFERROR(Captura_NoFin!K63/Captura_NoFin!H63,""))</f>
        <v/>
      </c>
      <c r="M63" s="55">
        <f>IF(COUNT(Captura_NoFin!R63)&lt;1,"",IFERROR(IF(D63=2017,Captura_NoFin!R63/INDEX(Empresas!$I$2:$I$23,MATCH($A63,Empresas!$B$2:$B$23,0))-1,IF(COUNT(Captura_NoFin!R62)&lt;1,"",Captura_NoFin!R63/Captura_NoFin!R62-1)),""))</f>
        <v/>
      </c>
      <c r="N63" s="55">
        <f>IF(COUNT(Captura_NoFin!P63,Captura_NoFin!O63)&lt;2,"",IF(Captura_NoFin!O63&lt;=0,"",Captura_NoFin!P63/Captura_NoFin!O63))</f>
        <v/>
      </c>
      <c r="O63" s="56">
        <f>COUNT(F63:M63)</f>
        <v/>
      </c>
      <c r="P63" s="57">
        <f>IF(COUNT(Captura_NoFin!H63,Captura_NoFin!I63,Captura_NoFin!J63)&lt;3,"",IF(ABS(Captura_NoFin!H63-Captura_NoFin!I63-Captura_NoFin!J63)&lt;=0.005*ABS(Captura_NoFin!H63),"OK","REVISAR"))</f>
        <v/>
      </c>
    </row>
    <row r="64" ht="15" customHeight="1" s="31">
      <c r="A64" s="51">
        <f>Captura_NoFin!A64</f>
        <v/>
      </c>
      <c r="B64" s="51">
        <f>Captura_NoFin!B64</f>
        <v/>
      </c>
      <c r="C64" s="51">
        <f>Captura_NoFin!C64</f>
        <v/>
      </c>
      <c r="D64" s="52">
        <f>Captura_NoFin!D64</f>
        <v/>
      </c>
      <c r="E64" s="53">
        <f>IF(COUNT(Captura_NoFin!M64,Captura_NoFin!L64)&lt;2,"",Captura_NoFin!M64+ABS(Captura_NoFin!L64))</f>
        <v/>
      </c>
      <c r="F64" s="54">
        <f>IF(COUNT(Captura_NoFin!F64,Captura_NoFin!G64)&lt;2,"",IFERROR(Captura_NoFin!F64/Captura_NoFin!G64,""))</f>
        <v/>
      </c>
      <c r="G64" s="55">
        <f>IF(COUNT(Captura_NoFin!F64,Captura_NoFin!G64,Captura_NoFin!H64)&lt;3,"",IFERROR((Captura_NoFin!F64-Captura_NoFin!G64)/Captura_NoFin!H64,""))</f>
        <v/>
      </c>
      <c r="H64" s="55">
        <f>IF(OR(E64="",COUNT(Captura_NoFin!K64)&lt;1),"",IFERROR(E64/Captura_NoFin!K64,""))</f>
        <v/>
      </c>
      <c r="I64" s="55">
        <f>IF(COUNT(Captura_NoFin!N64,Captura_NoFin!H64)&lt;2,"",IFERROR(Captura_NoFin!N64/Captura_NoFin!H64,""))</f>
        <v/>
      </c>
      <c r="J64" s="55">
        <f>IF(COUNT(Captura_NoFin!I64,Captura_NoFin!H64)&lt;2,"",IFERROR(Captura_NoFin!I64/Captura_NoFin!H64,""))</f>
        <v/>
      </c>
      <c r="K64" s="54">
        <f>IF(OR(E64="",COUNT(Captura_NoFin!L64)&lt;1),"",IFERROR(E64/ABS(Captura_NoFin!L64),""))</f>
        <v/>
      </c>
      <c r="L64" s="54">
        <f>IF(COUNT(Captura_NoFin!K64,Captura_NoFin!H64)&lt;2,"",IFERROR(Captura_NoFin!K64/Captura_NoFin!H64,""))</f>
        <v/>
      </c>
      <c r="M64" s="55">
        <f>IF(COUNT(Captura_NoFin!R64)&lt;1,"",IFERROR(IF(D64=2017,Captura_NoFin!R64/INDEX(Empresas!$I$2:$I$23,MATCH($A64,Empresas!$B$2:$B$23,0))-1,IF(COUNT(Captura_NoFin!R63)&lt;1,"",Captura_NoFin!R64/Captura_NoFin!R63-1)),""))</f>
        <v/>
      </c>
      <c r="N64" s="55">
        <f>IF(COUNT(Captura_NoFin!P64,Captura_NoFin!O64)&lt;2,"",IF(Captura_NoFin!O64&lt;=0,"",Captura_NoFin!P64/Captura_NoFin!O64))</f>
        <v/>
      </c>
      <c r="O64" s="56">
        <f>COUNT(F64:M64)</f>
        <v/>
      </c>
      <c r="P64" s="57">
        <f>IF(COUNT(Captura_NoFin!H64,Captura_NoFin!I64,Captura_NoFin!J64)&lt;3,"",IF(ABS(Captura_NoFin!H64-Captura_NoFin!I64-Captura_NoFin!J64)&lt;=0.005*ABS(Captura_NoFin!H64),"OK","REVISAR"))</f>
        <v/>
      </c>
    </row>
    <row r="65" ht="15" customHeight="1" s="31">
      <c r="A65" s="51">
        <f>Captura_NoFin!A65</f>
        <v/>
      </c>
      <c r="B65" s="51">
        <f>Captura_NoFin!B65</f>
        <v/>
      </c>
      <c r="C65" s="51">
        <f>Captura_NoFin!C65</f>
        <v/>
      </c>
      <c r="D65" s="52">
        <f>Captura_NoFin!D65</f>
        <v/>
      </c>
      <c r="E65" s="53">
        <f>IF(COUNT(Captura_NoFin!M65,Captura_NoFin!L65)&lt;2,"",Captura_NoFin!M65+ABS(Captura_NoFin!L65))</f>
        <v/>
      </c>
      <c r="F65" s="54">
        <f>IF(COUNT(Captura_NoFin!F65,Captura_NoFin!G65)&lt;2,"",IFERROR(Captura_NoFin!F65/Captura_NoFin!G65,""))</f>
        <v/>
      </c>
      <c r="G65" s="55">
        <f>IF(COUNT(Captura_NoFin!F65,Captura_NoFin!G65,Captura_NoFin!H65)&lt;3,"",IFERROR((Captura_NoFin!F65-Captura_NoFin!G65)/Captura_NoFin!H65,""))</f>
        <v/>
      </c>
      <c r="H65" s="55">
        <f>IF(OR(E65="",COUNT(Captura_NoFin!K65)&lt;1),"",IFERROR(E65/Captura_NoFin!K65,""))</f>
        <v/>
      </c>
      <c r="I65" s="55">
        <f>IF(COUNT(Captura_NoFin!N65,Captura_NoFin!H65)&lt;2,"",IFERROR(Captura_NoFin!N65/Captura_NoFin!H65,""))</f>
        <v/>
      </c>
      <c r="J65" s="55">
        <f>IF(COUNT(Captura_NoFin!I65,Captura_NoFin!H65)&lt;2,"",IFERROR(Captura_NoFin!I65/Captura_NoFin!H65,""))</f>
        <v/>
      </c>
      <c r="K65" s="54">
        <f>IF(OR(E65="",COUNT(Captura_NoFin!L65)&lt;1),"",IFERROR(E65/ABS(Captura_NoFin!L65),""))</f>
        <v/>
      </c>
      <c r="L65" s="54">
        <f>IF(COUNT(Captura_NoFin!K65,Captura_NoFin!H65)&lt;2,"",IFERROR(Captura_NoFin!K65/Captura_NoFin!H65,""))</f>
        <v/>
      </c>
      <c r="M65" s="55">
        <f>IF(COUNT(Captura_NoFin!R65)&lt;1,"",IFERROR(IF(D65=2017,Captura_NoFin!R65/INDEX(Empresas!$I$2:$I$23,MATCH($A65,Empresas!$B$2:$B$23,0))-1,IF(COUNT(Captura_NoFin!R64)&lt;1,"",Captura_NoFin!R65/Captura_NoFin!R64-1)),""))</f>
        <v/>
      </c>
      <c r="N65" s="55">
        <f>IF(COUNT(Captura_NoFin!P65,Captura_NoFin!O65)&lt;2,"",IF(Captura_NoFin!O65&lt;=0,"",Captura_NoFin!P65/Captura_NoFin!O65))</f>
        <v/>
      </c>
      <c r="O65" s="56">
        <f>COUNT(F65:M65)</f>
        <v/>
      </c>
      <c r="P65" s="57">
        <f>IF(COUNT(Captura_NoFin!H65,Captura_NoFin!I65,Captura_NoFin!J65)&lt;3,"",IF(ABS(Captura_NoFin!H65-Captura_NoFin!I65-Captura_NoFin!J65)&lt;=0.005*ABS(Captura_NoFin!H65),"OK","REVISAR"))</f>
        <v/>
      </c>
    </row>
    <row r="66" ht="15" customHeight="1" s="31">
      <c r="A66" s="51">
        <f>Captura_NoFin!A66</f>
        <v/>
      </c>
      <c r="B66" s="51">
        <f>Captura_NoFin!B66</f>
        <v/>
      </c>
      <c r="C66" s="51">
        <f>Captura_NoFin!C66</f>
        <v/>
      </c>
      <c r="D66" s="52">
        <f>Captura_NoFin!D66</f>
        <v/>
      </c>
      <c r="E66" s="53">
        <f>IF(COUNT(Captura_NoFin!M66,Captura_NoFin!L66)&lt;2,"",Captura_NoFin!M66+ABS(Captura_NoFin!L66))</f>
        <v/>
      </c>
      <c r="F66" s="54">
        <f>IF(COUNT(Captura_NoFin!F66,Captura_NoFin!G66)&lt;2,"",IFERROR(Captura_NoFin!F66/Captura_NoFin!G66,""))</f>
        <v/>
      </c>
      <c r="G66" s="55">
        <f>IF(COUNT(Captura_NoFin!F66,Captura_NoFin!G66,Captura_NoFin!H66)&lt;3,"",IFERROR((Captura_NoFin!F66-Captura_NoFin!G66)/Captura_NoFin!H66,""))</f>
        <v/>
      </c>
      <c r="H66" s="55">
        <f>IF(OR(E66="",COUNT(Captura_NoFin!K66)&lt;1),"",IFERROR(E66/Captura_NoFin!K66,""))</f>
        <v/>
      </c>
      <c r="I66" s="55">
        <f>IF(COUNT(Captura_NoFin!N66,Captura_NoFin!H66)&lt;2,"",IFERROR(Captura_NoFin!N66/Captura_NoFin!H66,""))</f>
        <v/>
      </c>
      <c r="J66" s="55">
        <f>IF(COUNT(Captura_NoFin!I66,Captura_NoFin!H66)&lt;2,"",IFERROR(Captura_NoFin!I66/Captura_NoFin!H66,""))</f>
        <v/>
      </c>
      <c r="K66" s="54">
        <f>IF(OR(E66="",COUNT(Captura_NoFin!L66)&lt;1),"",IFERROR(E66/ABS(Captura_NoFin!L66),""))</f>
        <v/>
      </c>
      <c r="L66" s="54">
        <f>IF(COUNT(Captura_NoFin!K66,Captura_NoFin!H66)&lt;2,"",IFERROR(Captura_NoFin!K66/Captura_NoFin!H66,""))</f>
        <v/>
      </c>
      <c r="M66" s="55">
        <f>IF(COUNT(Captura_NoFin!R66)&lt;1,"",IFERROR(IF(D66=2017,Captura_NoFin!R66/INDEX(Empresas!$I$2:$I$23,MATCH($A66,Empresas!$B$2:$B$23,0))-1,IF(COUNT(Captura_NoFin!R65)&lt;1,"",Captura_NoFin!R66/Captura_NoFin!R65-1)),""))</f>
        <v/>
      </c>
      <c r="N66" s="55">
        <f>IF(COUNT(Captura_NoFin!P66,Captura_NoFin!O66)&lt;2,"",IF(Captura_NoFin!O66&lt;=0,"",Captura_NoFin!P66/Captura_NoFin!O66))</f>
        <v/>
      </c>
      <c r="O66" s="56">
        <f>COUNT(F66:M66)</f>
        <v/>
      </c>
      <c r="P66" s="57">
        <f>IF(COUNT(Captura_NoFin!H66,Captura_NoFin!I66,Captura_NoFin!J66)&lt;3,"",IF(ABS(Captura_NoFin!H66-Captura_NoFin!I66-Captura_NoFin!J66)&lt;=0.005*ABS(Captura_NoFin!H66),"OK","REVISAR"))</f>
        <v/>
      </c>
    </row>
    <row r="67" ht="15" customHeight="1" s="31">
      <c r="A67" s="51">
        <f>Captura_NoFin!A67</f>
        <v/>
      </c>
      <c r="B67" s="51">
        <f>Captura_NoFin!B67</f>
        <v/>
      </c>
      <c r="C67" s="51">
        <f>Captura_NoFin!C67</f>
        <v/>
      </c>
      <c r="D67" s="52">
        <f>Captura_NoFin!D67</f>
        <v/>
      </c>
      <c r="E67" s="53">
        <f>IF(COUNT(Captura_NoFin!M67,Captura_NoFin!L67)&lt;2,"",Captura_NoFin!M67+ABS(Captura_NoFin!L67))</f>
        <v/>
      </c>
      <c r="F67" s="54">
        <f>IF(COUNT(Captura_NoFin!F67,Captura_NoFin!G67)&lt;2,"",IFERROR(Captura_NoFin!F67/Captura_NoFin!G67,""))</f>
        <v/>
      </c>
      <c r="G67" s="55">
        <f>IF(COUNT(Captura_NoFin!F67,Captura_NoFin!G67,Captura_NoFin!H67)&lt;3,"",IFERROR((Captura_NoFin!F67-Captura_NoFin!G67)/Captura_NoFin!H67,""))</f>
        <v/>
      </c>
      <c r="H67" s="55">
        <f>IF(OR(E67="",COUNT(Captura_NoFin!K67)&lt;1),"",IFERROR(E67/Captura_NoFin!K67,""))</f>
        <v/>
      </c>
      <c r="I67" s="55">
        <f>IF(COUNT(Captura_NoFin!N67,Captura_NoFin!H67)&lt;2,"",IFERROR(Captura_NoFin!N67/Captura_NoFin!H67,""))</f>
        <v/>
      </c>
      <c r="J67" s="55">
        <f>IF(COUNT(Captura_NoFin!I67,Captura_NoFin!H67)&lt;2,"",IFERROR(Captura_NoFin!I67/Captura_NoFin!H67,""))</f>
        <v/>
      </c>
      <c r="K67" s="54">
        <f>IF(OR(E67="",COUNT(Captura_NoFin!L67)&lt;1),"",IFERROR(E67/ABS(Captura_NoFin!L67),""))</f>
        <v/>
      </c>
      <c r="L67" s="54">
        <f>IF(COUNT(Captura_NoFin!K67,Captura_NoFin!H67)&lt;2,"",IFERROR(Captura_NoFin!K67/Captura_NoFin!H67,""))</f>
        <v/>
      </c>
      <c r="M67" s="55">
        <f>IF(COUNT(Captura_NoFin!R67)&lt;1,"",IFERROR(IF(D67=2017,Captura_NoFin!R67/INDEX(Empresas!$I$2:$I$23,MATCH($A67,Empresas!$B$2:$B$23,0))-1,IF(COUNT(Captura_NoFin!R66)&lt;1,"",Captura_NoFin!R67/Captura_NoFin!R66-1)),""))</f>
        <v/>
      </c>
      <c r="N67" s="55">
        <f>IF(COUNT(Captura_NoFin!P67,Captura_NoFin!O67)&lt;2,"",IF(Captura_NoFin!O67&lt;=0,"",Captura_NoFin!P67/Captura_NoFin!O67))</f>
        <v/>
      </c>
      <c r="O67" s="56">
        <f>COUNT(F67:M67)</f>
        <v/>
      </c>
      <c r="P67" s="57">
        <f>IF(COUNT(Captura_NoFin!H67,Captura_NoFin!I67,Captura_NoFin!J67)&lt;3,"",IF(ABS(Captura_NoFin!H67-Captura_NoFin!I67-Captura_NoFin!J67)&lt;=0.005*ABS(Captura_NoFin!H67),"OK","REVISAR"))</f>
        <v/>
      </c>
    </row>
    <row r="68" ht="15" customHeight="1" s="31">
      <c r="A68" s="51">
        <f>Captura_NoFin!A68</f>
        <v/>
      </c>
      <c r="B68" s="51">
        <f>Captura_NoFin!B68</f>
        <v/>
      </c>
      <c r="C68" s="51">
        <f>Captura_NoFin!C68</f>
        <v/>
      </c>
      <c r="D68" s="52">
        <f>Captura_NoFin!D68</f>
        <v/>
      </c>
      <c r="E68" s="53">
        <f>IF(COUNT(Captura_NoFin!M68,Captura_NoFin!L68)&lt;2,"",Captura_NoFin!M68+ABS(Captura_NoFin!L68))</f>
        <v/>
      </c>
      <c r="F68" s="54">
        <f>IF(COUNT(Captura_NoFin!F68,Captura_NoFin!G68)&lt;2,"",IFERROR(Captura_NoFin!F68/Captura_NoFin!G68,""))</f>
        <v/>
      </c>
      <c r="G68" s="55">
        <f>IF(COUNT(Captura_NoFin!F68,Captura_NoFin!G68,Captura_NoFin!H68)&lt;3,"",IFERROR((Captura_NoFin!F68-Captura_NoFin!G68)/Captura_NoFin!H68,""))</f>
        <v/>
      </c>
      <c r="H68" s="55">
        <f>IF(OR(E68="",COUNT(Captura_NoFin!K68)&lt;1),"",IFERROR(E68/Captura_NoFin!K68,""))</f>
        <v/>
      </c>
      <c r="I68" s="55">
        <f>IF(COUNT(Captura_NoFin!N68,Captura_NoFin!H68)&lt;2,"",IFERROR(Captura_NoFin!N68/Captura_NoFin!H68,""))</f>
        <v/>
      </c>
      <c r="J68" s="55">
        <f>IF(COUNT(Captura_NoFin!I68,Captura_NoFin!H68)&lt;2,"",IFERROR(Captura_NoFin!I68/Captura_NoFin!H68,""))</f>
        <v/>
      </c>
      <c r="K68" s="54">
        <f>IF(OR(E68="",COUNT(Captura_NoFin!L68)&lt;1),"",IFERROR(E68/ABS(Captura_NoFin!L68),""))</f>
        <v/>
      </c>
      <c r="L68" s="54">
        <f>IF(COUNT(Captura_NoFin!K68,Captura_NoFin!H68)&lt;2,"",IFERROR(Captura_NoFin!K68/Captura_NoFin!H68,""))</f>
        <v/>
      </c>
      <c r="M68" s="55">
        <f>IF(COUNT(Captura_NoFin!R68)&lt;1,"",IFERROR(IF(D68=2017,Captura_NoFin!R68/INDEX(Empresas!$I$2:$I$23,MATCH($A68,Empresas!$B$2:$B$23,0))-1,IF(COUNT(Captura_NoFin!R67)&lt;1,"",Captura_NoFin!R68/Captura_NoFin!R67-1)),""))</f>
        <v/>
      </c>
      <c r="N68" s="55">
        <f>IF(COUNT(Captura_NoFin!P68,Captura_NoFin!O68)&lt;2,"",IF(Captura_NoFin!O68&lt;=0,"",Captura_NoFin!P68/Captura_NoFin!O68))</f>
        <v/>
      </c>
      <c r="O68" s="56">
        <f>COUNT(F68:M68)</f>
        <v/>
      </c>
      <c r="P68" s="57">
        <f>IF(COUNT(Captura_NoFin!H68,Captura_NoFin!I68,Captura_NoFin!J68)&lt;3,"",IF(ABS(Captura_NoFin!H68-Captura_NoFin!I68-Captura_NoFin!J68)&lt;=0.005*ABS(Captura_NoFin!H68),"OK","REVISAR"))</f>
        <v/>
      </c>
    </row>
    <row r="69" ht="15" customHeight="1" s="31">
      <c r="A69" s="51">
        <f>Captura_NoFin!A69</f>
        <v/>
      </c>
      <c r="B69" s="51">
        <f>Captura_NoFin!B69</f>
        <v/>
      </c>
      <c r="C69" s="51">
        <f>Captura_NoFin!C69</f>
        <v/>
      </c>
      <c r="D69" s="52">
        <f>Captura_NoFin!D69</f>
        <v/>
      </c>
      <c r="E69" s="53">
        <f>IF(COUNT(Captura_NoFin!M69,Captura_NoFin!L69)&lt;2,"",Captura_NoFin!M69+ABS(Captura_NoFin!L69))</f>
        <v/>
      </c>
      <c r="F69" s="54">
        <f>IF(COUNT(Captura_NoFin!F69,Captura_NoFin!G69)&lt;2,"",IFERROR(Captura_NoFin!F69/Captura_NoFin!G69,""))</f>
        <v/>
      </c>
      <c r="G69" s="55">
        <f>IF(COUNT(Captura_NoFin!F69,Captura_NoFin!G69,Captura_NoFin!H69)&lt;3,"",IFERROR((Captura_NoFin!F69-Captura_NoFin!G69)/Captura_NoFin!H69,""))</f>
        <v/>
      </c>
      <c r="H69" s="55">
        <f>IF(OR(E69="",COUNT(Captura_NoFin!K69)&lt;1),"",IFERROR(E69/Captura_NoFin!K69,""))</f>
        <v/>
      </c>
      <c r="I69" s="55">
        <f>IF(COUNT(Captura_NoFin!N69,Captura_NoFin!H69)&lt;2,"",IFERROR(Captura_NoFin!N69/Captura_NoFin!H69,""))</f>
        <v/>
      </c>
      <c r="J69" s="55">
        <f>IF(COUNT(Captura_NoFin!I69,Captura_NoFin!H69)&lt;2,"",IFERROR(Captura_NoFin!I69/Captura_NoFin!H69,""))</f>
        <v/>
      </c>
      <c r="K69" s="54">
        <f>IF(OR(E69="",COUNT(Captura_NoFin!L69)&lt;1),"",IFERROR(E69/ABS(Captura_NoFin!L69),""))</f>
        <v/>
      </c>
      <c r="L69" s="54">
        <f>IF(COUNT(Captura_NoFin!K69,Captura_NoFin!H69)&lt;2,"",IFERROR(Captura_NoFin!K69/Captura_NoFin!H69,""))</f>
        <v/>
      </c>
      <c r="M69" s="55">
        <f>IF(COUNT(Captura_NoFin!R69)&lt;1,"",IFERROR(IF(D69=2017,Captura_NoFin!R69/INDEX(Empresas!$I$2:$I$23,MATCH($A69,Empresas!$B$2:$B$23,0))-1,IF(COUNT(Captura_NoFin!R68)&lt;1,"",Captura_NoFin!R69/Captura_NoFin!R68-1)),""))</f>
        <v/>
      </c>
      <c r="N69" s="55">
        <f>IF(COUNT(Captura_NoFin!P69,Captura_NoFin!O69)&lt;2,"",IF(Captura_NoFin!O69&lt;=0,"",Captura_NoFin!P69/Captura_NoFin!O69))</f>
        <v/>
      </c>
      <c r="O69" s="56">
        <f>COUNT(F69:M69)</f>
        <v/>
      </c>
      <c r="P69" s="57">
        <f>IF(COUNT(Captura_NoFin!H69,Captura_NoFin!I69,Captura_NoFin!J69)&lt;3,"",IF(ABS(Captura_NoFin!H69-Captura_NoFin!I69-Captura_NoFin!J69)&lt;=0.005*ABS(Captura_NoFin!H69),"OK","REVISAR"))</f>
        <v/>
      </c>
    </row>
    <row r="70" ht="15" customHeight="1" s="31">
      <c r="A70" s="51">
        <f>Captura_NoFin!A70</f>
        <v/>
      </c>
      <c r="B70" s="51">
        <f>Captura_NoFin!B70</f>
        <v/>
      </c>
      <c r="C70" s="51">
        <f>Captura_NoFin!C70</f>
        <v/>
      </c>
      <c r="D70" s="52">
        <f>Captura_NoFin!D70</f>
        <v/>
      </c>
      <c r="E70" s="53">
        <f>IF(COUNT(Captura_NoFin!M70,Captura_NoFin!L70)&lt;2,"",Captura_NoFin!M70+ABS(Captura_NoFin!L70))</f>
        <v/>
      </c>
      <c r="F70" s="54">
        <f>IF(COUNT(Captura_NoFin!F70,Captura_NoFin!G70)&lt;2,"",IFERROR(Captura_NoFin!F70/Captura_NoFin!G70,""))</f>
        <v/>
      </c>
      <c r="G70" s="55">
        <f>IF(COUNT(Captura_NoFin!F70,Captura_NoFin!G70,Captura_NoFin!H70)&lt;3,"",IFERROR((Captura_NoFin!F70-Captura_NoFin!G70)/Captura_NoFin!H70,""))</f>
        <v/>
      </c>
      <c r="H70" s="55">
        <f>IF(OR(E70="",COUNT(Captura_NoFin!K70)&lt;1),"",IFERROR(E70/Captura_NoFin!K70,""))</f>
        <v/>
      </c>
      <c r="I70" s="55">
        <f>IF(COUNT(Captura_NoFin!N70,Captura_NoFin!H70)&lt;2,"",IFERROR(Captura_NoFin!N70/Captura_NoFin!H70,""))</f>
        <v/>
      </c>
      <c r="J70" s="55">
        <f>IF(COUNT(Captura_NoFin!I70,Captura_NoFin!H70)&lt;2,"",IFERROR(Captura_NoFin!I70/Captura_NoFin!H70,""))</f>
        <v/>
      </c>
      <c r="K70" s="54">
        <f>IF(OR(E70="",COUNT(Captura_NoFin!L70)&lt;1),"",IFERROR(E70/ABS(Captura_NoFin!L70),""))</f>
        <v/>
      </c>
      <c r="L70" s="54">
        <f>IF(COUNT(Captura_NoFin!K70,Captura_NoFin!H70)&lt;2,"",IFERROR(Captura_NoFin!K70/Captura_NoFin!H70,""))</f>
        <v/>
      </c>
      <c r="M70" s="55">
        <f>IF(COUNT(Captura_NoFin!R70)&lt;1,"",IFERROR(IF(D70=2017,Captura_NoFin!R70/INDEX(Empresas!$I$2:$I$23,MATCH($A70,Empresas!$B$2:$B$23,0))-1,IF(COUNT(Captura_NoFin!R69)&lt;1,"",Captura_NoFin!R70/Captura_NoFin!R69-1)),""))</f>
        <v/>
      </c>
      <c r="N70" s="55">
        <f>IF(COUNT(Captura_NoFin!P70,Captura_NoFin!O70)&lt;2,"",IF(Captura_NoFin!O70&lt;=0,"",Captura_NoFin!P70/Captura_NoFin!O70))</f>
        <v/>
      </c>
      <c r="O70" s="56">
        <f>COUNT(F70:M70)</f>
        <v/>
      </c>
      <c r="P70" s="57">
        <f>IF(COUNT(Captura_NoFin!H70,Captura_NoFin!I70,Captura_NoFin!J70)&lt;3,"",IF(ABS(Captura_NoFin!H70-Captura_NoFin!I70-Captura_NoFin!J70)&lt;=0.005*ABS(Captura_NoFin!H70),"OK","REVISAR"))</f>
        <v/>
      </c>
    </row>
    <row r="71" ht="15" customHeight="1" s="31">
      <c r="A71" s="51">
        <f>Captura_NoFin!A71</f>
        <v/>
      </c>
      <c r="B71" s="51">
        <f>Captura_NoFin!B71</f>
        <v/>
      </c>
      <c r="C71" s="51">
        <f>Captura_NoFin!C71</f>
        <v/>
      </c>
      <c r="D71" s="52">
        <f>Captura_NoFin!D71</f>
        <v/>
      </c>
      <c r="E71" s="53">
        <f>IF(COUNT(Captura_NoFin!M71,Captura_NoFin!L71)&lt;2,"",Captura_NoFin!M71+ABS(Captura_NoFin!L71))</f>
        <v/>
      </c>
      <c r="F71" s="54">
        <f>IF(COUNT(Captura_NoFin!F71,Captura_NoFin!G71)&lt;2,"",IFERROR(Captura_NoFin!F71/Captura_NoFin!G71,""))</f>
        <v/>
      </c>
      <c r="G71" s="55">
        <f>IF(COUNT(Captura_NoFin!F71,Captura_NoFin!G71,Captura_NoFin!H71)&lt;3,"",IFERROR((Captura_NoFin!F71-Captura_NoFin!G71)/Captura_NoFin!H71,""))</f>
        <v/>
      </c>
      <c r="H71" s="55">
        <f>IF(OR(E71="",COUNT(Captura_NoFin!K71)&lt;1),"",IFERROR(E71/Captura_NoFin!K71,""))</f>
        <v/>
      </c>
      <c r="I71" s="55">
        <f>IF(COUNT(Captura_NoFin!N71,Captura_NoFin!H71)&lt;2,"",IFERROR(Captura_NoFin!N71/Captura_NoFin!H71,""))</f>
        <v/>
      </c>
      <c r="J71" s="55">
        <f>IF(COUNT(Captura_NoFin!I71,Captura_NoFin!H71)&lt;2,"",IFERROR(Captura_NoFin!I71/Captura_NoFin!H71,""))</f>
        <v/>
      </c>
      <c r="K71" s="54">
        <f>IF(OR(E71="",COUNT(Captura_NoFin!L71)&lt;1),"",IFERROR(E71/ABS(Captura_NoFin!L71),""))</f>
        <v/>
      </c>
      <c r="L71" s="54">
        <f>IF(COUNT(Captura_NoFin!K71,Captura_NoFin!H71)&lt;2,"",IFERROR(Captura_NoFin!K71/Captura_NoFin!H71,""))</f>
        <v/>
      </c>
      <c r="M71" s="55">
        <f>IF(COUNT(Captura_NoFin!R71)&lt;1,"",IFERROR(IF(D71=2017,Captura_NoFin!R71/INDEX(Empresas!$I$2:$I$23,MATCH($A71,Empresas!$B$2:$B$23,0))-1,IF(COUNT(Captura_NoFin!R70)&lt;1,"",Captura_NoFin!R71/Captura_NoFin!R70-1)),""))</f>
        <v/>
      </c>
      <c r="N71" s="55">
        <f>IF(COUNT(Captura_NoFin!P71,Captura_NoFin!O71)&lt;2,"",IF(Captura_NoFin!O71&lt;=0,"",Captura_NoFin!P71/Captura_NoFin!O71))</f>
        <v/>
      </c>
      <c r="O71" s="56">
        <f>COUNT(F71:M71)</f>
        <v/>
      </c>
      <c r="P71" s="57">
        <f>IF(COUNT(Captura_NoFin!H71,Captura_NoFin!I71,Captura_NoFin!J71)&lt;3,"",IF(ABS(Captura_NoFin!H71-Captura_NoFin!I71-Captura_NoFin!J71)&lt;=0.005*ABS(Captura_NoFin!H71),"OK","REVISAR"))</f>
        <v/>
      </c>
    </row>
    <row r="72" ht="15" customHeight="1" s="31">
      <c r="A72" s="51">
        <f>Captura_NoFin!A72</f>
        <v/>
      </c>
      <c r="B72" s="51">
        <f>Captura_NoFin!B72</f>
        <v/>
      </c>
      <c r="C72" s="51">
        <f>Captura_NoFin!C72</f>
        <v/>
      </c>
      <c r="D72" s="52">
        <f>Captura_NoFin!D72</f>
        <v/>
      </c>
      <c r="E72" s="53">
        <f>IF(COUNT(Captura_NoFin!M72,Captura_NoFin!L72)&lt;2,"",Captura_NoFin!M72+ABS(Captura_NoFin!L72))</f>
        <v/>
      </c>
      <c r="F72" s="54">
        <f>IF(COUNT(Captura_NoFin!F72,Captura_NoFin!G72)&lt;2,"",IFERROR(Captura_NoFin!F72/Captura_NoFin!G72,""))</f>
        <v/>
      </c>
      <c r="G72" s="55">
        <f>IF(COUNT(Captura_NoFin!F72,Captura_NoFin!G72,Captura_NoFin!H72)&lt;3,"",IFERROR((Captura_NoFin!F72-Captura_NoFin!G72)/Captura_NoFin!H72,""))</f>
        <v/>
      </c>
      <c r="H72" s="55">
        <f>IF(OR(E72="",COUNT(Captura_NoFin!K72)&lt;1),"",IFERROR(E72/Captura_NoFin!K72,""))</f>
        <v/>
      </c>
      <c r="I72" s="55">
        <f>IF(COUNT(Captura_NoFin!N72,Captura_NoFin!H72)&lt;2,"",IFERROR(Captura_NoFin!N72/Captura_NoFin!H72,""))</f>
        <v/>
      </c>
      <c r="J72" s="55">
        <f>IF(COUNT(Captura_NoFin!I72,Captura_NoFin!H72)&lt;2,"",IFERROR(Captura_NoFin!I72/Captura_NoFin!H72,""))</f>
        <v/>
      </c>
      <c r="K72" s="54">
        <f>IF(OR(E72="",COUNT(Captura_NoFin!L72)&lt;1),"",IFERROR(E72/ABS(Captura_NoFin!L72),""))</f>
        <v/>
      </c>
      <c r="L72" s="54">
        <f>IF(COUNT(Captura_NoFin!K72,Captura_NoFin!H72)&lt;2,"",IFERROR(Captura_NoFin!K72/Captura_NoFin!H72,""))</f>
        <v/>
      </c>
      <c r="M72" s="55">
        <f>IF(COUNT(Captura_NoFin!R72)&lt;1,"",IFERROR(IF(D72=2017,Captura_NoFin!R72/INDEX(Empresas!$I$2:$I$23,MATCH($A72,Empresas!$B$2:$B$23,0))-1,IF(COUNT(Captura_NoFin!R71)&lt;1,"",Captura_NoFin!R72/Captura_NoFin!R71-1)),""))</f>
        <v/>
      </c>
      <c r="N72" s="55">
        <f>IF(COUNT(Captura_NoFin!P72,Captura_NoFin!O72)&lt;2,"",IF(Captura_NoFin!O72&lt;=0,"",Captura_NoFin!P72/Captura_NoFin!O72))</f>
        <v/>
      </c>
      <c r="O72" s="56">
        <f>COUNT(F72:M72)</f>
        <v/>
      </c>
      <c r="P72" s="57">
        <f>IF(COUNT(Captura_NoFin!H72,Captura_NoFin!I72,Captura_NoFin!J72)&lt;3,"",IF(ABS(Captura_NoFin!H72-Captura_NoFin!I72-Captura_NoFin!J72)&lt;=0.005*ABS(Captura_NoFin!H72),"OK","REVISAR"))</f>
        <v/>
      </c>
    </row>
    <row r="73" ht="15" customHeight="1" s="31">
      <c r="A73" s="51">
        <f>Captura_NoFin!A73</f>
        <v/>
      </c>
      <c r="B73" s="51">
        <f>Captura_NoFin!B73</f>
        <v/>
      </c>
      <c r="C73" s="51">
        <f>Captura_NoFin!C73</f>
        <v/>
      </c>
      <c r="D73" s="52">
        <f>Captura_NoFin!D73</f>
        <v/>
      </c>
      <c r="E73" s="53">
        <f>IF(COUNT(Captura_NoFin!M73,Captura_NoFin!L73)&lt;2,"",Captura_NoFin!M73+ABS(Captura_NoFin!L73))</f>
        <v/>
      </c>
      <c r="F73" s="54">
        <f>IF(COUNT(Captura_NoFin!F73,Captura_NoFin!G73)&lt;2,"",IFERROR(Captura_NoFin!F73/Captura_NoFin!G73,""))</f>
        <v/>
      </c>
      <c r="G73" s="55">
        <f>IF(COUNT(Captura_NoFin!F73,Captura_NoFin!G73,Captura_NoFin!H73)&lt;3,"",IFERROR((Captura_NoFin!F73-Captura_NoFin!G73)/Captura_NoFin!H73,""))</f>
        <v/>
      </c>
      <c r="H73" s="55">
        <f>IF(OR(E73="",COUNT(Captura_NoFin!K73)&lt;1),"",IFERROR(E73/Captura_NoFin!K73,""))</f>
        <v/>
      </c>
      <c r="I73" s="55">
        <f>IF(COUNT(Captura_NoFin!N73,Captura_NoFin!H73)&lt;2,"",IFERROR(Captura_NoFin!N73/Captura_NoFin!H73,""))</f>
        <v/>
      </c>
      <c r="J73" s="55">
        <f>IF(COUNT(Captura_NoFin!I73,Captura_NoFin!H73)&lt;2,"",IFERROR(Captura_NoFin!I73/Captura_NoFin!H73,""))</f>
        <v/>
      </c>
      <c r="K73" s="54">
        <f>IF(OR(E73="",COUNT(Captura_NoFin!L73)&lt;1),"",IFERROR(E73/ABS(Captura_NoFin!L73),""))</f>
        <v/>
      </c>
      <c r="L73" s="54">
        <f>IF(COUNT(Captura_NoFin!K73,Captura_NoFin!H73)&lt;2,"",IFERROR(Captura_NoFin!K73/Captura_NoFin!H73,""))</f>
        <v/>
      </c>
      <c r="M73" s="55">
        <f>IF(COUNT(Captura_NoFin!R73)&lt;1,"",IFERROR(IF(D73=2017,Captura_NoFin!R73/INDEX(Empresas!$I$2:$I$23,MATCH($A73,Empresas!$B$2:$B$23,0))-1,IF(COUNT(Captura_NoFin!R72)&lt;1,"",Captura_NoFin!R73/Captura_NoFin!R72-1)),""))</f>
        <v/>
      </c>
      <c r="N73" s="55">
        <f>IF(COUNT(Captura_NoFin!P73,Captura_NoFin!O73)&lt;2,"",IF(Captura_NoFin!O73&lt;=0,"",Captura_NoFin!P73/Captura_NoFin!O73))</f>
        <v/>
      </c>
      <c r="O73" s="56">
        <f>COUNT(F73:M73)</f>
        <v/>
      </c>
      <c r="P73" s="57">
        <f>IF(COUNT(Captura_NoFin!H73,Captura_NoFin!I73,Captura_NoFin!J73)&lt;3,"",IF(ABS(Captura_NoFin!H73-Captura_NoFin!I73-Captura_NoFin!J73)&lt;=0.005*ABS(Captura_NoFin!H73),"OK","REVISAR"))</f>
        <v/>
      </c>
    </row>
    <row r="74" ht="15" customHeight="1" s="31">
      <c r="A74" s="51">
        <f>Captura_NoFin!A74</f>
        <v/>
      </c>
      <c r="B74" s="51">
        <f>Captura_NoFin!B74</f>
        <v/>
      </c>
      <c r="C74" s="51">
        <f>Captura_NoFin!C74</f>
        <v/>
      </c>
      <c r="D74" s="52">
        <f>Captura_NoFin!D74</f>
        <v/>
      </c>
      <c r="E74" s="53">
        <f>IF(COUNT(Captura_NoFin!M74,Captura_NoFin!L74)&lt;2,"",Captura_NoFin!M74+ABS(Captura_NoFin!L74))</f>
        <v/>
      </c>
      <c r="F74" s="54">
        <f>IF(COUNT(Captura_NoFin!F74,Captura_NoFin!G74)&lt;2,"",IFERROR(Captura_NoFin!F74/Captura_NoFin!G74,""))</f>
        <v/>
      </c>
      <c r="G74" s="55">
        <f>IF(COUNT(Captura_NoFin!F74,Captura_NoFin!G74,Captura_NoFin!H74)&lt;3,"",IFERROR((Captura_NoFin!F74-Captura_NoFin!G74)/Captura_NoFin!H74,""))</f>
        <v/>
      </c>
      <c r="H74" s="55">
        <f>IF(OR(E74="",COUNT(Captura_NoFin!K74)&lt;1),"",IFERROR(E74/Captura_NoFin!K74,""))</f>
        <v/>
      </c>
      <c r="I74" s="55">
        <f>IF(COUNT(Captura_NoFin!N74,Captura_NoFin!H74)&lt;2,"",IFERROR(Captura_NoFin!N74/Captura_NoFin!H74,""))</f>
        <v/>
      </c>
      <c r="J74" s="55">
        <f>IF(COUNT(Captura_NoFin!I74,Captura_NoFin!H74)&lt;2,"",IFERROR(Captura_NoFin!I74/Captura_NoFin!H74,""))</f>
        <v/>
      </c>
      <c r="K74" s="54">
        <f>IF(OR(E74="",COUNT(Captura_NoFin!L74)&lt;1),"",IFERROR(E74/ABS(Captura_NoFin!L74),""))</f>
        <v/>
      </c>
      <c r="L74" s="54">
        <f>IF(COUNT(Captura_NoFin!K74,Captura_NoFin!H74)&lt;2,"",IFERROR(Captura_NoFin!K74/Captura_NoFin!H74,""))</f>
        <v/>
      </c>
      <c r="M74" s="55">
        <f>IF(COUNT(Captura_NoFin!R74)&lt;1,"",IFERROR(IF(D74=2017,Captura_NoFin!R74/INDEX(Empresas!$I$2:$I$23,MATCH($A74,Empresas!$B$2:$B$23,0))-1,IF(COUNT(Captura_NoFin!R73)&lt;1,"",Captura_NoFin!R74/Captura_NoFin!R73-1)),""))</f>
        <v/>
      </c>
      <c r="N74" s="55">
        <f>IF(COUNT(Captura_NoFin!P74,Captura_NoFin!O74)&lt;2,"",IF(Captura_NoFin!O74&lt;=0,"",Captura_NoFin!P74/Captura_NoFin!O74))</f>
        <v/>
      </c>
      <c r="O74" s="56">
        <f>COUNT(F74:M74)</f>
        <v/>
      </c>
      <c r="P74" s="57">
        <f>IF(COUNT(Captura_NoFin!H74,Captura_NoFin!I74,Captura_NoFin!J74)&lt;3,"",IF(ABS(Captura_NoFin!H74-Captura_NoFin!I74-Captura_NoFin!J74)&lt;=0.005*ABS(Captura_NoFin!H74),"OK","REVISAR"))</f>
        <v/>
      </c>
    </row>
    <row r="75" ht="15" customHeight="1" s="31">
      <c r="A75" s="51">
        <f>Captura_NoFin!A75</f>
        <v/>
      </c>
      <c r="B75" s="51">
        <f>Captura_NoFin!B75</f>
        <v/>
      </c>
      <c r="C75" s="51">
        <f>Captura_NoFin!C75</f>
        <v/>
      </c>
      <c r="D75" s="52">
        <f>Captura_NoFin!D75</f>
        <v/>
      </c>
      <c r="E75" s="53">
        <f>IF(COUNT(Captura_NoFin!M75,Captura_NoFin!L75)&lt;2,"",Captura_NoFin!M75+ABS(Captura_NoFin!L75))</f>
        <v/>
      </c>
      <c r="F75" s="54">
        <f>IF(COUNT(Captura_NoFin!F75,Captura_NoFin!G75)&lt;2,"",IFERROR(Captura_NoFin!F75/Captura_NoFin!G75,""))</f>
        <v/>
      </c>
      <c r="G75" s="55">
        <f>IF(COUNT(Captura_NoFin!F75,Captura_NoFin!G75,Captura_NoFin!H75)&lt;3,"",IFERROR((Captura_NoFin!F75-Captura_NoFin!G75)/Captura_NoFin!H75,""))</f>
        <v/>
      </c>
      <c r="H75" s="55">
        <f>IF(OR(E75="",COUNT(Captura_NoFin!K75)&lt;1),"",IFERROR(E75/Captura_NoFin!K75,""))</f>
        <v/>
      </c>
      <c r="I75" s="55">
        <f>IF(COUNT(Captura_NoFin!N75,Captura_NoFin!H75)&lt;2,"",IFERROR(Captura_NoFin!N75/Captura_NoFin!H75,""))</f>
        <v/>
      </c>
      <c r="J75" s="55">
        <f>IF(COUNT(Captura_NoFin!I75,Captura_NoFin!H75)&lt;2,"",IFERROR(Captura_NoFin!I75/Captura_NoFin!H75,""))</f>
        <v/>
      </c>
      <c r="K75" s="54">
        <f>IF(OR(E75="",COUNT(Captura_NoFin!L75)&lt;1),"",IFERROR(E75/ABS(Captura_NoFin!L75),""))</f>
        <v/>
      </c>
      <c r="L75" s="54">
        <f>IF(COUNT(Captura_NoFin!K75,Captura_NoFin!H75)&lt;2,"",IFERROR(Captura_NoFin!K75/Captura_NoFin!H75,""))</f>
        <v/>
      </c>
      <c r="M75" s="55">
        <f>IF(COUNT(Captura_NoFin!R75)&lt;1,"",IFERROR(IF(D75=2017,Captura_NoFin!R75/INDEX(Empresas!$I$2:$I$23,MATCH($A75,Empresas!$B$2:$B$23,0))-1,IF(COUNT(Captura_NoFin!R74)&lt;1,"",Captura_NoFin!R75/Captura_NoFin!R74-1)),""))</f>
        <v/>
      </c>
      <c r="N75" s="55">
        <f>IF(COUNT(Captura_NoFin!P75,Captura_NoFin!O75)&lt;2,"",IF(Captura_NoFin!O75&lt;=0,"",Captura_NoFin!P75/Captura_NoFin!O75))</f>
        <v/>
      </c>
      <c r="O75" s="56">
        <f>COUNT(F75:M75)</f>
        <v/>
      </c>
      <c r="P75" s="57">
        <f>IF(COUNT(Captura_NoFin!H75,Captura_NoFin!I75,Captura_NoFin!J75)&lt;3,"",IF(ABS(Captura_NoFin!H75-Captura_NoFin!I75-Captura_NoFin!J75)&lt;=0.005*ABS(Captura_NoFin!H75),"OK","REVISAR"))</f>
        <v/>
      </c>
    </row>
    <row r="76" ht="15" customHeight="1" s="31">
      <c r="A76" s="51">
        <f>Captura_NoFin!A76</f>
        <v/>
      </c>
      <c r="B76" s="51">
        <f>Captura_NoFin!B76</f>
        <v/>
      </c>
      <c r="C76" s="51">
        <f>Captura_NoFin!C76</f>
        <v/>
      </c>
      <c r="D76" s="52">
        <f>Captura_NoFin!D76</f>
        <v/>
      </c>
      <c r="E76" s="53">
        <f>IF(COUNT(Captura_NoFin!M76,Captura_NoFin!L76)&lt;2,"",Captura_NoFin!M76+ABS(Captura_NoFin!L76))</f>
        <v/>
      </c>
      <c r="F76" s="54">
        <f>IF(COUNT(Captura_NoFin!F76,Captura_NoFin!G76)&lt;2,"",IFERROR(Captura_NoFin!F76/Captura_NoFin!G76,""))</f>
        <v/>
      </c>
      <c r="G76" s="55">
        <f>IF(COUNT(Captura_NoFin!F76,Captura_NoFin!G76,Captura_NoFin!H76)&lt;3,"",IFERROR((Captura_NoFin!F76-Captura_NoFin!G76)/Captura_NoFin!H76,""))</f>
        <v/>
      </c>
      <c r="H76" s="55">
        <f>IF(OR(E76="",COUNT(Captura_NoFin!K76)&lt;1),"",IFERROR(E76/Captura_NoFin!K76,""))</f>
        <v/>
      </c>
      <c r="I76" s="55">
        <f>IF(COUNT(Captura_NoFin!N76,Captura_NoFin!H76)&lt;2,"",IFERROR(Captura_NoFin!N76/Captura_NoFin!H76,""))</f>
        <v/>
      </c>
      <c r="J76" s="55">
        <f>IF(COUNT(Captura_NoFin!I76,Captura_NoFin!H76)&lt;2,"",IFERROR(Captura_NoFin!I76/Captura_NoFin!H76,""))</f>
        <v/>
      </c>
      <c r="K76" s="54">
        <f>IF(OR(E76="",COUNT(Captura_NoFin!L76)&lt;1),"",IFERROR(E76/ABS(Captura_NoFin!L76),""))</f>
        <v/>
      </c>
      <c r="L76" s="54">
        <f>IF(COUNT(Captura_NoFin!K76,Captura_NoFin!H76)&lt;2,"",IFERROR(Captura_NoFin!K76/Captura_NoFin!H76,""))</f>
        <v/>
      </c>
      <c r="M76" s="55">
        <f>IF(COUNT(Captura_NoFin!R76)&lt;1,"",IFERROR(IF(D76=2017,Captura_NoFin!R76/INDEX(Empresas!$I$2:$I$23,MATCH($A76,Empresas!$B$2:$B$23,0))-1,IF(COUNT(Captura_NoFin!R75)&lt;1,"",Captura_NoFin!R76/Captura_NoFin!R75-1)),""))</f>
        <v/>
      </c>
      <c r="N76" s="55">
        <f>IF(COUNT(Captura_NoFin!P76,Captura_NoFin!O76)&lt;2,"",IF(Captura_NoFin!O76&lt;=0,"",Captura_NoFin!P76/Captura_NoFin!O76))</f>
        <v/>
      </c>
      <c r="O76" s="56">
        <f>COUNT(F76:M76)</f>
        <v/>
      </c>
      <c r="P76" s="57">
        <f>IF(COUNT(Captura_NoFin!H76,Captura_NoFin!I76,Captura_NoFin!J76)&lt;3,"",IF(ABS(Captura_NoFin!H76-Captura_NoFin!I76-Captura_NoFin!J76)&lt;=0.005*ABS(Captura_NoFin!H76),"OK","REVISAR"))</f>
        <v/>
      </c>
    </row>
    <row r="77" ht="15" customHeight="1" s="31">
      <c r="A77" s="51">
        <f>Captura_NoFin!A77</f>
        <v/>
      </c>
      <c r="B77" s="51">
        <f>Captura_NoFin!B77</f>
        <v/>
      </c>
      <c r="C77" s="51">
        <f>Captura_NoFin!C77</f>
        <v/>
      </c>
      <c r="D77" s="52">
        <f>Captura_NoFin!D77</f>
        <v/>
      </c>
      <c r="E77" s="53">
        <f>IF(COUNT(Captura_NoFin!M77,Captura_NoFin!L77)&lt;2,"",Captura_NoFin!M77+ABS(Captura_NoFin!L77))</f>
        <v/>
      </c>
      <c r="F77" s="54">
        <f>IF(COUNT(Captura_NoFin!F77,Captura_NoFin!G77)&lt;2,"",IFERROR(Captura_NoFin!F77/Captura_NoFin!G77,""))</f>
        <v/>
      </c>
      <c r="G77" s="55">
        <f>IF(COUNT(Captura_NoFin!F77,Captura_NoFin!G77,Captura_NoFin!H77)&lt;3,"",IFERROR((Captura_NoFin!F77-Captura_NoFin!G77)/Captura_NoFin!H77,""))</f>
        <v/>
      </c>
      <c r="H77" s="55">
        <f>IF(OR(E77="",COUNT(Captura_NoFin!K77)&lt;1),"",IFERROR(E77/Captura_NoFin!K77,""))</f>
        <v/>
      </c>
      <c r="I77" s="55">
        <f>IF(COUNT(Captura_NoFin!N77,Captura_NoFin!H77)&lt;2,"",IFERROR(Captura_NoFin!N77/Captura_NoFin!H77,""))</f>
        <v/>
      </c>
      <c r="J77" s="55">
        <f>IF(COUNT(Captura_NoFin!I77,Captura_NoFin!H77)&lt;2,"",IFERROR(Captura_NoFin!I77/Captura_NoFin!H77,""))</f>
        <v/>
      </c>
      <c r="K77" s="54">
        <f>IF(OR(E77="",COUNT(Captura_NoFin!L77)&lt;1),"",IFERROR(E77/ABS(Captura_NoFin!L77),""))</f>
        <v/>
      </c>
      <c r="L77" s="54">
        <f>IF(COUNT(Captura_NoFin!K77,Captura_NoFin!H77)&lt;2,"",IFERROR(Captura_NoFin!K77/Captura_NoFin!H77,""))</f>
        <v/>
      </c>
      <c r="M77" s="55">
        <f>IF(COUNT(Captura_NoFin!R77)&lt;1,"",IFERROR(IF(D77=2017,Captura_NoFin!R77/INDEX(Empresas!$I$2:$I$23,MATCH($A77,Empresas!$B$2:$B$23,0))-1,IF(COUNT(Captura_NoFin!R76)&lt;1,"",Captura_NoFin!R77/Captura_NoFin!R76-1)),""))</f>
        <v/>
      </c>
      <c r="N77" s="55">
        <f>IF(COUNT(Captura_NoFin!P77,Captura_NoFin!O77)&lt;2,"",IF(Captura_NoFin!O77&lt;=0,"",Captura_NoFin!P77/Captura_NoFin!O77))</f>
        <v/>
      </c>
      <c r="O77" s="56">
        <f>COUNT(F77:M77)</f>
        <v/>
      </c>
      <c r="P77" s="57">
        <f>IF(COUNT(Captura_NoFin!H77,Captura_NoFin!I77,Captura_NoFin!J77)&lt;3,"",IF(ABS(Captura_NoFin!H77-Captura_NoFin!I77-Captura_NoFin!J77)&lt;=0.005*ABS(Captura_NoFin!H77),"OK","REVISAR"))</f>
        <v/>
      </c>
    </row>
    <row r="78" ht="15" customHeight="1" s="31">
      <c r="A78" s="51">
        <f>Captura_NoFin!A78</f>
        <v/>
      </c>
      <c r="B78" s="51">
        <f>Captura_NoFin!B78</f>
        <v/>
      </c>
      <c r="C78" s="51">
        <f>Captura_NoFin!C78</f>
        <v/>
      </c>
      <c r="D78" s="52">
        <f>Captura_NoFin!D78</f>
        <v/>
      </c>
      <c r="E78" s="53">
        <f>IF(COUNT(Captura_NoFin!M78,Captura_NoFin!L78)&lt;2,"",Captura_NoFin!M78+ABS(Captura_NoFin!L78))</f>
        <v/>
      </c>
      <c r="F78" s="54">
        <f>IF(COUNT(Captura_NoFin!F78,Captura_NoFin!G78)&lt;2,"",IFERROR(Captura_NoFin!F78/Captura_NoFin!G78,""))</f>
        <v/>
      </c>
      <c r="G78" s="55">
        <f>IF(COUNT(Captura_NoFin!F78,Captura_NoFin!G78,Captura_NoFin!H78)&lt;3,"",IFERROR((Captura_NoFin!F78-Captura_NoFin!G78)/Captura_NoFin!H78,""))</f>
        <v/>
      </c>
      <c r="H78" s="55">
        <f>IF(OR(E78="",COUNT(Captura_NoFin!K78)&lt;1),"",IFERROR(E78/Captura_NoFin!K78,""))</f>
        <v/>
      </c>
      <c r="I78" s="55">
        <f>IF(COUNT(Captura_NoFin!N78,Captura_NoFin!H78)&lt;2,"",IFERROR(Captura_NoFin!N78/Captura_NoFin!H78,""))</f>
        <v/>
      </c>
      <c r="J78" s="55">
        <f>IF(COUNT(Captura_NoFin!I78,Captura_NoFin!H78)&lt;2,"",IFERROR(Captura_NoFin!I78/Captura_NoFin!H78,""))</f>
        <v/>
      </c>
      <c r="K78" s="54">
        <f>IF(OR(E78="",COUNT(Captura_NoFin!L78)&lt;1),"",IFERROR(E78/ABS(Captura_NoFin!L78),""))</f>
        <v/>
      </c>
      <c r="L78" s="54">
        <f>IF(COUNT(Captura_NoFin!K78,Captura_NoFin!H78)&lt;2,"",IFERROR(Captura_NoFin!K78/Captura_NoFin!H78,""))</f>
        <v/>
      </c>
      <c r="M78" s="55">
        <f>IF(COUNT(Captura_NoFin!R78)&lt;1,"",IFERROR(IF(D78=2017,Captura_NoFin!R78/INDEX(Empresas!$I$2:$I$23,MATCH($A78,Empresas!$B$2:$B$23,0))-1,IF(COUNT(Captura_NoFin!R77)&lt;1,"",Captura_NoFin!R78/Captura_NoFin!R77-1)),""))</f>
        <v/>
      </c>
      <c r="N78" s="55">
        <f>IF(COUNT(Captura_NoFin!P78,Captura_NoFin!O78)&lt;2,"",IF(Captura_NoFin!O78&lt;=0,"",Captura_NoFin!P78/Captura_NoFin!O78))</f>
        <v/>
      </c>
      <c r="O78" s="56">
        <f>COUNT(F78:M78)</f>
        <v/>
      </c>
      <c r="P78" s="57">
        <f>IF(COUNT(Captura_NoFin!H78,Captura_NoFin!I78,Captura_NoFin!J78)&lt;3,"",IF(ABS(Captura_NoFin!H78-Captura_NoFin!I78-Captura_NoFin!J78)&lt;=0.005*ABS(Captura_NoFin!H78),"OK","REVISAR"))</f>
        <v/>
      </c>
    </row>
    <row r="79" ht="15" customHeight="1" s="31">
      <c r="A79" s="51">
        <f>Captura_NoFin!A79</f>
        <v/>
      </c>
      <c r="B79" s="51">
        <f>Captura_NoFin!B79</f>
        <v/>
      </c>
      <c r="C79" s="51">
        <f>Captura_NoFin!C79</f>
        <v/>
      </c>
      <c r="D79" s="52">
        <f>Captura_NoFin!D79</f>
        <v/>
      </c>
      <c r="E79" s="53">
        <f>IF(COUNT(Captura_NoFin!M79,Captura_NoFin!L79)&lt;2,"",Captura_NoFin!M79+ABS(Captura_NoFin!L79))</f>
        <v/>
      </c>
      <c r="F79" s="54">
        <f>IF(COUNT(Captura_NoFin!F79,Captura_NoFin!G79)&lt;2,"",IFERROR(Captura_NoFin!F79/Captura_NoFin!G79,""))</f>
        <v/>
      </c>
      <c r="G79" s="55">
        <f>IF(COUNT(Captura_NoFin!F79,Captura_NoFin!G79,Captura_NoFin!H79)&lt;3,"",IFERROR((Captura_NoFin!F79-Captura_NoFin!G79)/Captura_NoFin!H79,""))</f>
        <v/>
      </c>
      <c r="H79" s="55">
        <f>IF(OR(E79="",COUNT(Captura_NoFin!K79)&lt;1),"",IFERROR(E79/Captura_NoFin!K79,""))</f>
        <v/>
      </c>
      <c r="I79" s="55">
        <f>IF(COUNT(Captura_NoFin!N79,Captura_NoFin!H79)&lt;2,"",IFERROR(Captura_NoFin!N79/Captura_NoFin!H79,""))</f>
        <v/>
      </c>
      <c r="J79" s="55">
        <f>IF(COUNT(Captura_NoFin!I79,Captura_NoFin!H79)&lt;2,"",IFERROR(Captura_NoFin!I79/Captura_NoFin!H79,""))</f>
        <v/>
      </c>
      <c r="K79" s="54">
        <f>IF(OR(E79="",COUNT(Captura_NoFin!L79)&lt;1),"",IFERROR(E79/ABS(Captura_NoFin!L79),""))</f>
        <v/>
      </c>
      <c r="L79" s="54">
        <f>IF(COUNT(Captura_NoFin!K79,Captura_NoFin!H79)&lt;2,"",IFERROR(Captura_NoFin!K79/Captura_NoFin!H79,""))</f>
        <v/>
      </c>
      <c r="M79" s="55">
        <f>IF(COUNT(Captura_NoFin!R79)&lt;1,"",IFERROR(IF(D79=2017,Captura_NoFin!R79/INDEX(Empresas!$I$2:$I$23,MATCH($A79,Empresas!$B$2:$B$23,0))-1,IF(COUNT(Captura_NoFin!R78)&lt;1,"",Captura_NoFin!R79/Captura_NoFin!R78-1)),""))</f>
        <v/>
      </c>
      <c r="N79" s="55">
        <f>IF(COUNT(Captura_NoFin!P79,Captura_NoFin!O79)&lt;2,"",IF(Captura_NoFin!O79&lt;=0,"",Captura_NoFin!P79/Captura_NoFin!O79))</f>
        <v/>
      </c>
      <c r="O79" s="56">
        <f>COUNT(F79:M79)</f>
        <v/>
      </c>
      <c r="P79" s="57">
        <f>IF(COUNT(Captura_NoFin!H79,Captura_NoFin!I79,Captura_NoFin!J79)&lt;3,"",IF(ABS(Captura_NoFin!H79-Captura_NoFin!I79-Captura_NoFin!J79)&lt;=0.005*ABS(Captura_NoFin!H79),"OK","REVISAR"))</f>
        <v/>
      </c>
    </row>
    <row r="80" ht="15" customHeight="1" s="31">
      <c r="A80" s="51">
        <f>Captura_NoFin!A80</f>
        <v/>
      </c>
      <c r="B80" s="51">
        <f>Captura_NoFin!B80</f>
        <v/>
      </c>
      <c r="C80" s="51">
        <f>Captura_NoFin!C80</f>
        <v/>
      </c>
      <c r="D80" s="52">
        <f>Captura_NoFin!D80</f>
        <v/>
      </c>
      <c r="E80" s="53">
        <f>IF(COUNT(Captura_NoFin!M80,Captura_NoFin!L80)&lt;2,"",Captura_NoFin!M80+ABS(Captura_NoFin!L80))</f>
        <v/>
      </c>
      <c r="F80" s="54">
        <f>IF(COUNT(Captura_NoFin!F80,Captura_NoFin!G80)&lt;2,"",IFERROR(Captura_NoFin!F80/Captura_NoFin!G80,""))</f>
        <v/>
      </c>
      <c r="G80" s="55">
        <f>IF(COUNT(Captura_NoFin!F80,Captura_NoFin!G80,Captura_NoFin!H80)&lt;3,"",IFERROR((Captura_NoFin!F80-Captura_NoFin!G80)/Captura_NoFin!H80,""))</f>
        <v/>
      </c>
      <c r="H80" s="55">
        <f>IF(OR(E80="",COUNT(Captura_NoFin!K80)&lt;1),"",IFERROR(E80/Captura_NoFin!K80,""))</f>
        <v/>
      </c>
      <c r="I80" s="55">
        <f>IF(COUNT(Captura_NoFin!N80,Captura_NoFin!H80)&lt;2,"",IFERROR(Captura_NoFin!N80/Captura_NoFin!H80,""))</f>
        <v/>
      </c>
      <c r="J80" s="55">
        <f>IF(COUNT(Captura_NoFin!I80,Captura_NoFin!H80)&lt;2,"",IFERROR(Captura_NoFin!I80/Captura_NoFin!H80,""))</f>
        <v/>
      </c>
      <c r="K80" s="54">
        <f>IF(OR(E80="",COUNT(Captura_NoFin!L80)&lt;1),"",IFERROR(E80/ABS(Captura_NoFin!L80),""))</f>
        <v/>
      </c>
      <c r="L80" s="54">
        <f>IF(COUNT(Captura_NoFin!K80,Captura_NoFin!H80)&lt;2,"",IFERROR(Captura_NoFin!K80/Captura_NoFin!H80,""))</f>
        <v/>
      </c>
      <c r="M80" s="55">
        <f>IF(COUNT(Captura_NoFin!R80)&lt;1,"",IFERROR(IF(D80=2017,Captura_NoFin!R80/INDEX(Empresas!$I$2:$I$23,MATCH($A80,Empresas!$B$2:$B$23,0))-1,IF(COUNT(Captura_NoFin!R79)&lt;1,"",Captura_NoFin!R80/Captura_NoFin!R79-1)),""))</f>
        <v/>
      </c>
      <c r="N80" s="55">
        <f>IF(COUNT(Captura_NoFin!P80,Captura_NoFin!O80)&lt;2,"",IF(Captura_NoFin!O80&lt;=0,"",Captura_NoFin!P80/Captura_NoFin!O80))</f>
        <v/>
      </c>
      <c r="O80" s="56">
        <f>COUNT(F80:M80)</f>
        <v/>
      </c>
      <c r="P80" s="57">
        <f>IF(COUNT(Captura_NoFin!H80,Captura_NoFin!I80,Captura_NoFin!J80)&lt;3,"",IF(ABS(Captura_NoFin!H80-Captura_NoFin!I80-Captura_NoFin!J80)&lt;=0.005*ABS(Captura_NoFin!H80),"OK","REVISAR"))</f>
        <v/>
      </c>
    </row>
    <row r="81" ht="15" customHeight="1" s="31">
      <c r="A81" s="51">
        <f>Captura_NoFin!A81</f>
        <v/>
      </c>
      <c r="B81" s="51">
        <f>Captura_NoFin!B81</f>
        <v/>
      </c>
      <c r="C81" s="51">
        <f>Captura_NoFin!C81</f>
        <v/>
      </c>
      <c r="D81" s="52">
        <f>Captura_NoFin!D81</f>
        <v/>
      </c>
      <c r="E81" s="53">
        <f>IF(COUNT(Captura_NoFin!M81,Captura_NoFin!L81)&lt;2,"",Captura_NoFin!M81+ABS(Captura_NoFin!L81))</f>
        <v/>
      </c>
      <c r="F81" s="54">
        <f>IF(COUNT(Captura_NoFin!F81,Captura_NoFin!G81)&lt;2,"",IFERROR(Captura_NoFin!F81/Captura_NoFin!G81,""))</f>
        <v/>
      </c>
      <c r="G81" s="55">
        <f>IF(COUNT(Captura_NoFin!F81,Captura_NoFin!G81,Captura_NoFin!H81)&lt;3,"",IFERROR((Captura_NoFin!F81-Captura_NoFin!G81)/Captura_NoFin!H81,""))</f>
        <v/>
      </c>
      <c r="H81" s="55">
        <f>IF(OR(E81="",COUNT(Captura_NoFin!K81)&lt;1),"",IFERROR(E81/Captura_NoFin!K81,""))</f>
        <v/>
      </c>
      <c r="I81" s="55">
        <f>IF(COUNT(Captura_NoFin!N81,Captura_NoFin!H81)&lt;2,"",IFERROR(Captura_NoFin!N81/Captura_NoFin!H81,""))</f>
        <v/>
      </c>
      <c r="J81" s="55">
        <f>IF(COUNT(Captura_NoFin!I81,Captura_NoFin!H81)&lt;2,"",IFERROR(Captura_NoFin!I81/Captura_NoFin!H81,""))</f>
        <v/>
      </c>
      <c r="K81" s="54">
        <f>IF(OR(E81="",COUNT(Captura_NoFin!L81)&lt;1),"",IFERROR(E81/ABS(Captura_NoFin!L81),""))</f>
        <v/>
      </c>
      <c r="L81" s="54">
        <f>IF(COUNT(Captura_NoFin!K81,Captura_NoFin!H81)&lt;2,"",IFERROR(Captura_NoFin!K81/Captura_NoFin!H81,""))</f>
        <v/>
      </c>
      <c r="M81" s="55">
        <f>IF(COUNT(Captura_NoFin!R81)&lt;1,"",IFERROR(IF(D81=2017,Captura_NoFin!R81/INDEX(Empresas!$I$2:$I$23,MATCH($A81,Empresas!$B$2:$B$23,0))-1,IF(COUNT(Captura_NoFin!R80)&lt;1,"",Captura_NoFin!R81/Captura_NoFin!R80-1)),""))</f>
        <v/>
      </c>
      <c r="N81" s="55">
        <f>IF(COUNT(Captura_NoFin!P81,Captura_NoFin!O81)&lt;2,"",IF(Captura_NoFin!O81&lt;=0,"",Captura_NoFin!P81/Captura_NoFin!O81))</f>
        <v/>
      </c>
      <c r="O81" s="56">
        <f>COUNT(F81:M81)</f>
        <v/>
      </c>
      <c r="P81" s="57">
        <f>IF(COUNT(Captura_NoFin!H81,Captura_NoFin!I81,Captura_NoFin!J81)&lt;3,"",IF(ABS(Captura_NoFin!H81-Captura_NoFin!I81-Captura_NoFin!J81)&lt;=0.005*ABS(Captura_NoFin!H81),"OK","REVISAR"))</f>
        <v/>
      </c>
    </row>
    <row r="82" ht="15" customHeight="1" s="31">
      <c r="A82" s="51">
        <f>Captura_NoFin!A82</f>
        <v/>
      </c>
      <c r="B82" s="51">
        <f>Captura_NoFin!B82</f>
        <v/>
      </c>
      <c r="C82" s="51">
        <f>Captura_NoFin!C82</f>
        <v/>
      </c>
      <c r="D82" s="52">
        <f>Captura_NoFin!D82</f>
        <v/>
      </c>
      <c r="E82" s="53">
        <f>IF(COUNT(Captura_NoFin!M82,Captura_NoFin!L82)&lt;2,"",Captura_NoFin!M82+ABS(Captura_NoFin!L82))</f>
        <v/>
      </c>
      <c r="F82" s="54">
        <f>IF(COUNT(Captura_NoFin!F82,Captura_NoFin!G82)&lt;2,"",IFERROR(Captura_NoFin!F82/Captura_NoFin!G82,""))</f>
        <v/>
      </c>
      <c r="G82" s="55">
        <f>IF(COUNT(Captura_NoFin!F82,Captura_NoFin!G82,Captura_NoFin!H82)&lt;3,"",IFERROR((Captura_NoFin!F82-Captura_NoFin!G82)/Captura_NoFin!H82,""))</f>
        <v/>
      </c>
      <c r="H82" s="55">
        <f>IF(OR(E82="",COUNT(Captura_NoFin!K82)&lt;1),"",IFERROR(E82/Captura_NoFin!K82,""))</f>
        <v/>
      </c>
      <c r="I82" s="55">
        <f>IF(COUNT(Captura_NoFin!N82,Captura_NoFin!H82)&lt;2,"",IFERROR(Captura_NoFin!N82/Captura_NoFin!H82,""))</f>
        <v/>
      </c>
      <c r="J82" s="55">
        <f>IF(COUNT(Captura_NoFin!I82,Captura_NoFin!H82)&lt;2,"",IFERROR(Captura_NoFin!I82/Captura_NoFin!H82,""))</f>
        <v/>
      </c>
      <c r="K82" s="54">
        <f>IF(OR(E82="",COUNT(Captura_NoFin!L82)&lt;1),"",IFERROR(E82/ABS(Captura_NoFin!L82),""))</f>
        <v/>
      </c>
      <c r="L82" s="54">
        <f>IF(COUNT(Captura_NoFin!K82,Captura_NoFin!H82)&lt;2,"",IFERROR(Captura_NoFin!K82/Captura_NoFin!H82,""))</f>
        <v/>
      </c>
      <c r="M82" s="55">
        <f>IF(COUNT(Captura_NoFin!R82)&lt;1,"",IFERROR(IF(D82=2017,Captura_NoFin!R82/INDEX(Empresas!$I$2:$I$23,MATCH($A82,Empresas!$B$2:$B$23,0))-1,IF(COUNT(Captura_NoFin!R81)&lt;1,"",Captura_NoFin!R82/Captura_NoFin!R81-1)),""))</f>
        <v/>
      </c>
      <c r="N82" s="55">
        <f>IF(COUNT(Captura_NoFin!P82,Captura_NoFin!O82)&lt;2,"",IF(Captura_NoFin!O82&lt;=0,"",Captura_NoFin!P82/Captura_NoFin!O82))</f>
        <v/>
      </c>
      <c r="O82" s="56">
        <f>COUNT(F82:M82)</f>
        <v/>
      </c>
      <c r="P82" s="57">
        <f>IF(COUNT(Captura_NoFin!H82,Captura_NoFin!I82,Captura_NoFin!J82)&lt;3,"",IF(ABS(Captura_NoFin!H82-Captura_NoFin!I82-Captura_NoFin!J82)&lt;=0.005*ABS(Captura_NoFin!H82),"OK","REVISAR"))</f>
        <v/>
      </c>
    </row>
    <row r="83" ht="15" customHeight="1" s="31">
      <c r="A83" s="51">
        <f>Captura_NoFin!A83</f>
        <v/>
      </c>
      <c r="B83" s="51">
        <f>Captura_NoFin!B83</f>
        <v/>
      </c>
      <c r="C83" s="51">
        <f>Captura_NoFin!C83</f>
        <v/>
      </c>
      <c r="D83" s="52">
        <f>Captura_NoFin!D83</f>
        <v/>
      </c>
      <c r="E83" s="53">
        <f>IF(COUNT(Captura_NoFin!M83,Captura_NoFin!L83)&lt;2,"",Captura_NoFin!M83+ABS(Captura_NoFin!L83))</f>
        <v/>
      </c>
      <c r="F83" s="54">
        <f>IF(COUNT(Captura_NoFin!F83,Captura_NoFin!G83)&lt;2,"",IFERROR(Captura_NoFin!F83/Captura_NoFin!G83,""))</f>
        <v/>
      </c>
      <c r="G83" s="55">
        <f>IF(COUNT(Captura_NoFin!F83,Captura_NoFin!G83,Captura_NoFin!H83)&lt;3,"",IFERROR((Captura_NoFin!F83-Captura_NoFin!G83)/Captura_NoFin!H83,""))</f>
        <v/>
      </c>
      <c r="H83" s="55">
        <f>IF(OR(E83="",COUNT(Captura_NoFin!K83)&lt;1),"",IFERROR(E83/Captura_NoFin!K83,""))</f>
        <v/>
      </c>
      <c r="I83" s="55">
        <f>IF(COUNT(Captura_NoFin!N83,Captura_NoFin!H83)&lt;2,"",IFERROR(Captura_NoFin!N83/Captura_NoFin!H83,""))</f>
        <v/>
      </c>
      <c r="J83" s="55">
        <f>IF(COUNT(Captura_NoFin!I83,Captura_NoFin!H83)&lt;2,"",IFERROR(Captura_NoFin!I83/Captura_NoFin!H83,""))</f>
        <v/>
      </c>
      <c r="K83" s="54">
        <f>IF(OR(E83="",COUNT(Captura_NoFin!L83)&lt;1),"",IFERROR(E83/ABS(Captura_NoFin!L83),""))</f>
        <v/>
      </c>
      <c r="L83" s="54">
        <f>IF(COUNT(Captura_NoFin!K83,Captura_NoFin!H83)&lt;2,"",IFERROR(Captura_NoFin!K83/Captura_NoFin!H83,""))</f>
        <v/>
      </c>
      <c r="M83" s="55">
        <f>IF(COUNT(Captura_NoFin!R83)&lt;1,"",IFERROR(IF(D83=2017,Captura_NoFin!R83/INDEX(Empresas!$I$2:$I$23,MATCH($A83,Empresas!$B$2:$B$23,0))-1,IF(COUNT(Captura_NoFin!R82)&lt;1,"",Captura_NoFin!R83/Captura_NoFin!R82-1)),""))</f>
        <v/>
      </c>
      <c r="N83" s="55">
        <f>IF(COUNT(Captura_NoFin!P83,Captura_NoFin!O83)&lt;2,"",IF(Captura_NoFin!O83&lt;=0,"",Captura_NoFin!P83/Captura_NoFin!O83))</f>
        <v/>
      </c>
      <c r="O83" s="56">
        <f>COUNT(F83:M83)</f>
        <v/>
      </c>
      <c r="P83" s="57">
        <f>IF(COUNT(Captura_NoFin!H83,Captura_NoFin!I83,Captura_NoFin!J83)&lt;3,"",IF(ABS(Captura_NoFin!H83-Captura_NoFin!I83-Captura_NoFin!J83)&lt;=0.005*ABS(Captura_NoFin!H83),"OK","REVISAR"))</f>
        <v/>
      </c>
    </row>
    <row r="84" ht="15" customHeight="1" s="31">
      <c r="A84" s="51">
        <f>Captura_NoFin!A84</f>
        <v/>
      </c>
      <c r="B84" s="51">
        <f>Captura_NoFin!B84</f>
        <v/>
      </c>
      <c r="C84" s="51">
        <f>Captura_NoFin!C84</f>
        <v/>
      </c>
      <c r="D84" s="52">
        <f>Captura_NoFin!D84</f>
        <v/>
      </c>
      <c r="E84" s="53">
        <f>IF(COUNT(Captura_NoFin!M84,Captura_NoFin!L84)&lt;2,"",Captura_NoFin!M84+ABS(Captura_NoFin!L84))</f>
        <v/>
      </c>
      <c r="F84" s="54">
        <f>IF(COUNT(Captura_NoFin!F84,Captura_NoFin!G84)&lt;2,"",IFERROR(Captura_NoFin!F84/Captura_NoFin!G84,""))</f>
        <v/>
      </c>
      <c r="G84" s="55">
        <f>IF(COUNT(Captura_NoFin!F84,Captura_NoFin!G84,Captura_NoFin!H84)&lt;3,"",IFERROR((Captura_NoFin!F84-Captura_NoFin!G84)/Captura_NoFin!H84,""))</f>
        <v/>
      </c>
      <c r="H84" s="55">
        <f>IF(OR(E84="",COUNT(Captura_NoFin!K84)&lt;1),"",IFERROR(E84/Captura_NoFin!K84,""))</f>
        <v/>
      </c>
      <c r="I84" s="55">
        <f>IF(COUNT(Captura_NoFin!N84,Captura_NoFin!H84)&lt;2,"",IFERROR(Captura_NoFin!N84/Captura_NoFin!H84,""))</f>
        <v/>
      </c>
      <c r="J84" s="55">
        <f>IF(COUNT(Captura_NoFin!I84,Captura_NoFin!H84)&lt;2,"",IFERROR(Captura_NoFin!I84/Captura_NoFin!H84,""))</f>
        <v/>
      </c>
      <c r="K84" s="54">
        <f>IF(OR(E84="",COUNT(Captura_NoFin!L84)&lt;1),"",IFERROR(E84/ABS(Captura_NoFin!L84),""))</f>
        <v/>
      </c>
      <c r="L84" s="54">
        <f>IF(COUNT(Captura_NoFin!K84,Captura_NoFin!H84)&lt;2,"",IFERROR(Captura_NoFin!K84/Captura_NoFin!H84,""))</f>
        <v/>
      </c>
      <c r="M84" s="55">
        <f>IF(COUNT(Captura_NoFin!R84)&lt;1,"",IFERROR(IF(D84=2017,Captura_NoFin!R84/INDEX(Empresas!$I$2:$I$23,MATCH($A84,Empresas!$B$2:$B$23,0))-1,IF(COUNT(Captura_NoFin!R83)&lt;1,"",Captura_NoFin!R84/Captura_NoFin!R83-1)),""))</f>
        <v/>
      </c>
      <c r="N84" s="55">
        <f>IF(COUNT(Captura_NoFin!P84,Captura_NoFin!O84)&lt;2,"",IF(Captura_NoFin!O84&lt;=0,"",Captura_NoFin!P84/Captura_NoFin!O84))</f>
        <v/>
      </c>
      <c r="O84" s="56">
        <f>COUNT(F84:M84)</f>
        <v/>
      </c>
      <c r="P84" s="57">
        <f>IF(COUNT(Captura_NoFin!H84,Captura_NoFin!I84,Captura_NoFin!J84)&lt;3,"",IF(ABS(Captura_NoFin!H84-Captura_NoFin!I84-Captura_NoFin!J84)&lt;=0.005*ABS(Captura_NoFin!H84),"OK","REVISAR"))</f>
        <v/>
      </c>
    </row>
    <row r="85" ht="15" customHeight="1" s="31">
      <c r="A85" s="51">
        <f>Captura_NoFin!A85</f>
        <v/>
      </c>
      <c r="B85" s="51">
        <f>Captura_NoFin!B85</f>
        <v/>
      </c>
      <c r="C85" s="51">
        <f>Captura_NoFin!C85</f>
        <v/>
      </c>
      <c r="D85" s="52">
        <f>Captura_NoFin!D85</f>
        <v/>
      </c>
      <c r="E85" s="53">
        <f>IF(COUNT(Captura_NoFin!M85,Captura_NoFin!L85)&lt;2,"",Captura_NoFin!M85+ABS(Captura_NoFin!L85))</f>
        <v/>
      </c>
      <c r="F85" s="54">
        <f>IF(COUNT(Captura_NoFin!F85,Captura_NoFin!G85)&lt;2,"",IFERROR(Captura_NoFin!F85/Captura_NoFin!G85,""))</f>
        <v/>
      </c>
      <c r="G85" s="55">
        <f>IF(COUNT(Captura_NoFin!F85,Captura_NoFin!G85,Captura_NoFin!H85)&lt;3,"",IFERROR((Captura_NoFin!F85-Captura_NoFin!G85)/Captura_NoFin!H85,""))</f>
        <v/>
      </c>
      <c r="H85" s="55">
        <f>IF(OR(E85="",COUNT(Captura_NoFin!K85)&lt;1),"",IFERROR(E85/Captura_NoFin!K85,""))</f>
        <v/>
      </c>
      <c r="I85" s="55">
        <f>IF(COUNT(Captura_NoFin!N85,Captura_NoFin!H85)&lt;2,"",IFERROR(Captura_NoFin!N85/Captura_NoFin!H85,""))</f>
        <v/>
      </c>
      <c r="J85" s="55">
        <f>IF(COUNT(Captura_NoFin!I85,Captura_NoFin!H85)&lt;2,"",IFERROR(Captura_NoFin!I85/Captura_NoFin!H85,""))</f>
        <v/>
      </c>
      <c r="K85" s="54">
        <f>IF(OR(E85="",COUNT(Captura_NoFin!L85)&lt;1),"",IFERROR(E85/ABS(Captura_NoFin!L85),""))</f>
        <v/>
      </c>
      <c r="L85" s="54">
        <f>IF(COUNT(Captura_NoFin!K85,Captura_NoFin!H85)&lt;2,"",IFERROR(Captura_NoFin!K85/Captura_NoFin!H85,""))</f>
        <v/>
      </c>
      <c r="M85" s="55">
        <f>IF(COUNT(Captura_NoFin!R85)&lt;1,"",IFERROR(IF(D85=2017,Captura_NoFin!R85/INDEX(Empresas!$I$2:$I$23,MATCH($A85,Empresas!$B$2:$B$23,0))-1,IF(COUNT(Captura_NoFin!R84)&lt;1,"",Captura_NoFin!R85/Captura_NoFin!R84-1)),""))</f>
        <v/>
      </c>
      <c r="N85" s="55">
        <f>IF(COUNT(Captura_NoFin!P85,Captura_NoFin!O85)&lt;2,"",IF(Captura_NoFin!O85&lt;=0,"",Captura_NoFin!P85/Captura_NoFin!O85))</f>
        <v/>
      </c>
      <c r="O85" s="56">
        <f>COUNT(F85:M85)</f>
        <v/>
      </c>
      <c r="P85" s="57">
        <f>IF(COUNT(Captura_NoFin!H85,Captura_NoFin!I85,Captura_NoFin!J85)&lt;3,"",IF(ABS(Captura_NoFin!H85-Captura_NoFin!I85-Captura_NoFin!J85)&lt;=0.005*ABS(Captura_NoFin!H85),"OK","REVISAR"))</f>
        <v/>
      </c>
    </row>
    <row r="86" ht="15" customHeight="1" s="31">
      <c r="A86" s="51">
        <f>Captura_NoFin!A86</f>
        <v/>
      </c>
      <c r="B86" s="51">
        <f>Captura_NoFin!B86</f>
        <v/>
      </c>
      <c r="C86" s="51">
        <f>Captura_NoFin!C86</f>
        <v/>
      </c>
      <c r="D86" s="52">
        <f>Captura_NoFin!D86</f>
        <v/>
      </c>
      <c r="E86" s="53">
        <f>IF(COUNT(Captura_NoFin!M86,Captura_NoFin!L86)&lt;2,"",Captura_NoFin!M86+ABS(Captura_NoFin!L86))</f>
        <v/>
      </c>
      <c r="F86" s="54">
        <f>IF(COUNT(Captura_NoFin!F86,Captura_NoFin!G86)&lt;2,"",IFERROR(Captura_NoFin!F86/Captura_NoFin!G86,""))</f>
        <v/>
      </c>
      <c r="G86" s="55">
        <f>IF(COUNT(Captura_NoFin!F86,Captura_NoFin!G86,Captura_NoFin!H86)&lt;3,"",IFERROR((Captura_NoFin!F86-Captura_NoFin!G86)/Captura_NoFin!H86,""))</f>
        <v/>
      </c>
      <c r="H86" s="55">
        <f>IF(OR(E86="",COUNT(Captura_NoFin!K86)&lt;1),"",IFERROR(E86/Captura_NoFin!K86,""))</f>
        <v/>
      </c>
      <c r="I86" s="55">
        <f>IF(COUNT(Captura_NoFin!N86,Captura_NoFin!H86)&lt;2,"",IFERROR(Captura_NoFin!N86/Captura_NoFin!H86,""))</f>
        <v/>
      </c>
      <c r="J86" s="55">
        <f>IF(COUNT(Captura_NoFin!I86,Captura_NoFin!H86)&lt;2,"",IFERROR(Captura_NoFin!I86/Captura_NoFin!H86,""))</f>
        <v/>
      </c>
      <c r="K86" s="54">
        <f>IF(OR(E86="",COUNT(Captura_NoFin!L86)&lt;1),"",IFERROR(E86/ABS(Captura_NoFin!L86),""))</f>
        <v/>
      </c>
      <c r="L86" s="54">
        <f>IF(COUNT(Captura_NoFin!K86,Captura_NoFin!H86)&lt;2,"",IFERROR(Captura_NoFin!K86/Captura_NoFin!H86,""))</f>
        <v/>
      </c>
      <c r="M86" s="55">
        <f>IF(COUNT(Captura_NoFin!R86)&lt;1,"",IFERROR(IF(D86=2017,Captura_NoFin!R86/INDEX(Empresas!$I$2:$I$23,MATCH($A86,Empresas!$B$2:$B$23,0))-1,IF(COUNT(Captura_NoFin!R85)&lt;1,"",Captura_NoFin!R86/Captura_NoFin!R85-1)),""))</f>
        <v/>
      </c>
      <c r="N86" s="55">
        <f>IF(COUNT(Captura_NoFin!P86,Captura_NoFin!O86)&lt;2,"",IF(Captura_NoFin!O86&lt;=0,"",Captura_NoFin!P86/Captura_NoFin!O86))</f>
        <v/>
      </c>
      <c r="O86" s="56">
        <f>COUNT(F86:M86)</f>
        <v/>
      </c>
      <c r="P86" s="57">
        <f>IF(COUNT(Captura_NoFin!H86,Captura_NoFin!I86,Captura_NoFin!J86)&lt;3,"",IF(ABS(Captura_NoFin!H86-Captura_NoFin!I86-Captura_NoFin!J86)&lt;=0.005*ABS(Captura_NoFin!H86),"OK","REVISAR"))</f>
        <v/>
      </c>
    </row>
    <row r="87" ht="15" customHeight="1" s="31">
      <c r="A87" s="51">
        <f>Captura_NoFin!A87</f>
        <v/>
      </c>
      <c r="B87" s="51">
        <f>Captura_NoFin!B87</f>
        <v/>
      </c>
      <c r="C87" s="51">
        <f>Captura_NoFin!C87</f>
        <v/>
      </c>
      <c r="D87" s="52">
        <f>Captura_NoFin!D87</f>
        <v/>
      </c>
      <c r="E87" s="53">
        <f>IF(COUNT(Captura_NoFin!M87,Captura_NoFin!L87)&lt;2,"",Captura_NoFin!M87+ABS(Captura_NoFin!L87))</f>
        <v/>
      </c>
      <c r="F87" s="54">
        <f>IF(COUNT(Captura_NoFin!F87,Captura_NoFin!G87)&lt;2,"",IFERROR(Captura_NoFin!F87/Captura_NoFin!G87,""))</f>
        <v/>
      </c>
      <c r="G87" s="55">
        <f>IF(COUNT(Captura_NoFin!F87,Captura_NoFin!G87,Captura_NoFin!H87)&lt;3,"",IFERROR((Captura_NoFin!F87-Captura_NoFin!G87)/Captura_NoFin!H87,""))</f>
        <v/>
      </c>
      <c r="H87" s="55">
        <f>IF(OR(E87="",COUNT(Captura_NoFin!K87)&lt;1),"",IFERROR(E87/Captura_NoFin!K87,""))</f>
        <v/>
      </c>
      <c r="I87" s="55">
        <f>IF(COUNT(Captura_NoFin!N87,Captura_NoFin!H87)&lt;2,"",IFERROR(Captura_NoFin!N87/Captura_NoFin!H87,""))</f>
        <v/>
      </c>
      <c r="J87" s="55">
        <f>IF(COUNT(Captura_NoFin!I87,Captura_NoFin!H87)&lt;2,"",IFERROR(Captura_NoFin!I87/Captura_NoFin!H87,""))</f>
        <v/>
      </c>
      <c r="K87" s="54">
        <f>IF(OR(E87="",COUNT(Captura_NoFin!L87)&lt;1),"",IFERROR(E87/ABS(Captura_NoFin!L87),""))</f>
        <v/>
      </c>
      <c r="L87" s="54">
        <f>IF(COUNT(Captura_NoFin!K87,Captura_NoFin!H87)&lt;2,"",IFERROR(Captura_NoFin!K87/Captura_NoFin!H87,""))</f>
        <v/>
      </c>
      <c r="M87" s="55">
        <f>IF(COUNT(Captura_NoFin!R87)&lt;1,"",IFERROR(IF(D87=2017,Captura_NoFin!R87/INDEX(Empresas!$I$2:$I$23,MATCH($A87,Empresas!$B$2:$B$23,0))-1,IF(COUNT(Captura_NoFin!R86)&lt;1,"",Captura_NoFin!R87/Captura_NoFin!R86-1)),""))</f>
        <v/>
      </c>
      <c r="N87" s="55">
        <f>IF(COUNT(Captura_NoFin!P87,Captura_NoFin!O87)&lt;2,"",IF(Captura_NoFin!O87&lt;=0,"",Captura_NoFin!P87/Captura_NoFin!O87))</f>
        <v/>
      </c>
      <c r="O87" s="56">
        <f>COUNT(F87:M87)</f>
        <v/>
      </c>
      <c r="P87" s="57">
        <f>IF(COUNT(Captura_NoFin!H87,Captura_NoFin!I87,Captura_NoFin!J87)&lt;3,"",IF(ABS(Captura_NoFin!H87-Captura_NoFin!I87-Captura_NoFin!J87)&lt;=0.005*ABS(Captura_NoFin!H87),"OK","REVISAR"))</f>
        <v/>
      </c>
    </row>
    <row r="88" ht="15" customHeight="1" s="31">
      <c r="A88" s="51">
        <f>Captura_NoFin!A88</f>
        <v/>
      </c>
      <c r="B88" s="51">
        <f>Captura_NoFin!B88</f>
        <v/>
      </c>
      <c r="C88" s="51">
        <f>Captura_NoFin!C88</f>
        <v/>
      </c>
      <c r="D88" s="52">
        <f>Captura_NoFin!D88</f>
        <v/>
      </c>
      <c r="E88" s="53">
        <f>IF(COUNT(Captura_NoFin!M88,Captura_NoFin!L88)&lt;2,"",Captura_NoFin!M88+ABS(Captura_NoFin!L88))</f>
        <v/>
      </c>
      <c r="F88" s="54">
        <f>IF(COUNT(Captura_NoFin!F88,Captura_NoFin!G88)&lt;2,"",IFERROR(Captura_NoFin!F88/Captura_NoFin!G88,""))</f>
        <v/>
      </c>
      <c r="G88" s="55">
        <f>IF(COUNT(Captura_NoFin!F88,Captura_NoFin!G88,Captura_NoFin!H88)&lt;3,"",IFERROR((Captura_NoFin!F88-Captura_NoFin!G88)/Captura_NoFin!H88,""))</f>
        <v/>
      </c>
      <c r="H88" s="55">
        <f>IF(OR(E88="",COUNT(Captura_NoFin!K88)&lt;1),"",IFERROR(E88/Captura_NoFin!K88,""))</f>
        <v/>
      </c>
      <c r="I88" s="55">
        <f>IF(COUNT(Captura_NoFin!N88,Captura_NoFin!H88)&lt;2,"",IFERROR(Captura_NoFin!N88/Captura_NoFin!H88,""))</f>
        <v/>
      </c>
      <c r="J88" s="55">
        <f>IF(COUNT(Captura_NoFin!I88,Captura_NoFin!H88)&lt;2,"",IFERROR(Captura_NoFin!I88/Captura_NoFin!H88,""))</f>
        <v/>
      </c>
      <c r="K88" s="54">
        <f>IF(OR(E88="",COUNT(Captura_NoFin!L88)&lt;1),"",IFERROR(E88/ABS(Captura_NoFin!L88),""))</f>
        <v/>
      </c>
      <c r="L88" s="54">
        <f>IF(COUNT(Captura_NoFin!K88,Captura_NoFin!H88)&lt;2,"",IFERROR(Captura_NoFin!K88/Captura_NoFin!H88,""))</f>
        <v/>
      </c>
      <c r="M88" s="55">
        <f>IF(COUNT(Captura_NoFin!R88)&lt;1,"",IFERROR(IF(D88=2017,Captura_NoFin!R88/INDEX(Empresas!$I$2:$I$23,MATCH($A88,Empresas!$B$2:$B$23,0))-1,IF(COUNT(Captura_NoFin!R87)&lt;1,"",Captura_NoFin!R88/Captura_NoFin!R87-1)),""))</f>
        <v/>
      </c>
      <c r="N88" s="55">
        <f>IF(COUNT(Captura_NoFin!P88,Captura_NoFin!O88)&lt;2,"",IF(Captura_NoFin!O88&lt;=0,"",Captura_NoFin!P88/Captura_NoFin!O88))</f>
        <v/>
      </c>
      <c r="O88" s="56">
        <f>COUNT(F88:M88)</f>
        <v/>
      </c>
      <c r="P88" s="57">
        <f>IF(COUNT(Captura_NoFin!H88,Captura_NoFin!I88,Captura_NoFin!J88)&lt;3,"",IF(ABS(Captura_NoFin!H88-Captura_NoFin!I88-Captura_NoFin!J88)&lt;=0.005*ABS(Captura_NoFin!H88),"OK","REVISAR"))</f>
        <v/>
      </c>
    </row>
    <row r="89" ht="15" customHeight="1" s="31">
      <c r="A89" s="51">
        <f>Captura_NoFin!A89</f>
        <v/>
      </c>
      <c r="B89" s="51">
        <f>Captura_NoFin!B89</f>
        <v/>
      </c>
      <c r="C89" s="51">
        <f>Captura_NoFin!C89</f>
        <v/>
      </c>
      <c r="D89" s="52">
        <f>Captura_NoFin!D89</f>
        <v/>
      </c>
      <c r="E89" s="53">
        <f>IF(COUNT(Captura_NoFin!M89,Captura_NoFin!L89)&lt;2,"",Captura_NoFin!M89+ABS(Captura_NoFin!L89))</f>
        <v/>
      </c>
      <c r="F89" s="54">
        <f>IF(COUNT(Captura_NoFin!F89,Captura_NoFin!G89)&lt;2,"",IFERROR(Captura_NoFin!F89/Captura_NoFin!G89,""))</f>
        <v/>
      </c>
      <c r="G89" s="55">
        <f>IF(COUNT(Captura_NoFin!F89,Captura_NoFin!G89,Captura_NoFin!H89)&lt;3,"",IFERROR((Captura_NoFin!F89-Captura_NoFin!G89)/Captura_NoFin!H89,""))</f>
        <v/>
      </c>
      <c r="H89" s="55">
        <f>IF(OR(E89="",COUNT(Captura_NoFin!K89)&lt;1),"",IFERROR(E89/Captura_NoFin!K89,""))</f>
        <v/>
      </c>
      <c r="I89" s="55">
        <f>IF(COUNT(Captura_NoFin!N89,Captura_NoFin!H89)&lt;2,"",IFERROR(Captura_NoFin!N89/Captura_NoFin!H89,""))</f>
        <v/>
      </c>
      <c r="J89" s="55">
        <f>IF(COUNT(Captura_NoFin!I89,Captura_NoFin!H89)&lt;2,"",IFERROR(Captura_NoFin!I89/Captura_NoFin!H89,""))</f>
        <v/>
      </c>
      <c r="K89" s="54">
        <f>IF(OR(E89="",COUNT(Captura_NoFin!L89)&lt;1),"",IFERROR(E89/ABS(Captura_NoFin!L89),""))</f>
        <v/>
      </c>
      <c r="L89" s="54">
        <f>IF(COUNT(Captura_NoFin!K89,Captura_NoFin!H89)&lt;2,"",IFERROR(Captura_NoFin!K89/Captura_NoFin!H89,""))</f>
        <v/>
      </c>
      <c r="M89" s="55">
        <f>IF(COUNT(Captura_NoFin!R89)&lt;1,"",IFERROR(IF(D89=2017,Captura_NoFin!R89/INDEX(Empresas!$I$2:$I$23,MATCH($A89,Empresas!$B$2:$B$23,0))-1,IF(COUNT(Captura_NoFin!R88)&lt;1,"",Captura_NoFin!R89/Captura_NoFin!R88-1)),""))</f>
        <v/>
      </c>
      <c r="N89" s="55">
        <f>IF(COUNT(Captura_NoFin!P89,Captura_NoFin!O89)&lt;2,"",IF(Captura_NoFin!O89&lt;=0,"",Captura_NoFin!P89/Captura_NoFin!O89))</f>
        <v/>
      </c>
      <c r="O89" s="56">
        <f>COUNT(F89:M89)</f>
        <v/>
      </c>
      <c r="P89" s="57">
        <f>IF(COUNT(Captura_NoFin!H89,Captura_NoFin!I89,Captura_NoFin!J89)&lt;3,"",IF(ABS(Captura_NoFin!H89-Captura_NoFin!I89-Captura_NoFin!J89)&lt;=0.005*ABS(Captura_NoFin!H89),"OK","REVISAR"))</f>
        <v/>
      </c>
    </row>
    <row r="90" ht="15" customHeight="1" s="31">
      <c r="A90" s="51">
        <f>Captura_NoFin!A90</f>
        <v/>
      </c>
      <c r="B90" s="51">
        <f>Captura_NoFin!B90</f>
        <v/>
      </c>
      <c r="C90" s="51">
        <f>Captura_NoFin!C90</f>
        <v/>
      </c>
      <c r="D90" s="52">
        <f>Captura_NoFin!D90</f>
        <v/>
      </c>
      <c r="E90" s="53">
        <f>IF(COUNT(Captura_NoFin!M90,Captura_NoFin!L90)&lt;2,"",Captura_NoFin!M90+ABS(Captura_NoFin!L90))</f>
        <v/>
      </c>
      <c r="F90" s="54">
        <f>IF(COUNT(Captura_NoFin!F90,Captura_NoFin!G90)&lt;2,"",IFERROR(Captura_NoFin!F90/Captura_NoFin!G90,""))</f>
        <v/>
      </c>
      <c r="G90" s="55">
        <f>IF(COUNT(Captura_NoFin!F90,Captura_NoFin!G90,Captura_NoFin!H90)&lt;3,"",IFERROR((Captura_NoFin!F90-Captura_NoFin!G90)/Captura_NoFin!H90,""))</f>
        <v/>
      </c>
      <c r="H90" s="55">
        <f>IF(OR(E90="",COUNT(Captura_NoFin!K90)&lt;1),"",IFERROR(E90/Captura_NoFin!K90,""))</f>
        <v/>
      </c>
      <c r="I90" s="55">
        <f>IF(COUNT(Captura_NoFin!N90,Captura_NoFin!H90)&lt;2,"",IFERROR(Captura_NoFin!N90/Captura_NoFin!H90,""))</f>
        <v/>
      </c>
      <c r="J90" s="55">
        <f>IF(COUNT(Captura_NoFin!I90,Captura_NoFin!H90)&lt;2,"",IFERROR(Captura_NoFin!I90/Captura_NoFin!H90,""))</f>
        <v/>
      </c>
      <c r="K90" s="54">
        <f>IF(OR(E90="",COUNT(Captura_NoFin!L90)&lt;1),"",IFERROR(E90/ABS(Captura_NoFin!L90),""))</f>
        <v/>
      </c>
      <c r="L90" s="54">
        <f>IF(COUNT(Captura_NoFin!K90,Captura_NoFin!H90)&lt;2,"",IFERROR(Captura_NoFin!K90/Captura_NoFin!H90,""))</f>
        <v/>
      </c>
      <c r="M90" s="55">
        <f>IF(COUNT(Captura_NoFin!R90)&lt;1,"",IFERROR(IF(D90=2017,Captura_NoFin!R90/INDEX(Empresas!$I$2:$I$23,MATCH($A90,Empresas!$B$2:$B$23,0))-1,IF(COUNT(Captura_NoFin!R89)&lt;1,"",Captura_NoFin!R90/Captura_NoFin!R89-1)),""))</f>
        <v/>
      </c>
      <c r="N90" s="55">
        <f>IF(COUNT(Captura_NoFin!P90,Captura_NoFin!O90)&lt;2,"",IF(Captura_NoFin!O90&lt;=0,"",Captura_NoFin!P90/Captura_NoFin!O90))</f>
        <v/>
      </c>
      <c r="O90" s="56">
        <f>COUNT(F90:M90)</f>
        <v/>
      </c>
      <c r="P90" s="57">
        <f>IF(COUNT(Captura_NoFin!H90,Captura_NoFin!I90,Captura_NoFin!J90)&lt;3,"",IF(ABS(Captura_NoFin!H90-Captura_NoFin!I90-Captura_NoFin!J90)&lt;=0.005*ABS(Captura_NoFin!H90),"OK","REVISAR"))</f>
        <v/>
      </c>
    </row>
    <row r="91" ht="15" customHeight="1" s="31">
      <c r="A91" s="51">
        <f>Captura_NoFin!A91</f>
        <v/>
      </c>
      <c r="B91" s="51">
        <f>Captura_NoFin!B91</f>
        <v/>
      </c>
      <c r="C91" s="51">
        <f>Captura_NoFin!C91</f>
        <v/>
      </c>
      <c r="D91" s="52">
        <f>Captura_NoFin!D91</f>
        <v/>
      </c>
      <c r="E91" s="53">
        <f>IF(COUNT(Captura_NoFin!M91,Captura_NoFin!L91)&lt;2,"",Captura_NoFin!M91+ABS(Captura_NoFin!L91))</f>
        <v/>
      </c>
      <c r="F91" s="54">
        <f>IF(COUNT(Captura_NoFin!F91,Captura_NoFin!G91)&lt;2,"",IFERROR(Captura_NoFin!F91/Captura_NoFin!G91,""))</f>
        <v/>
      </c>
      <c r="G91" s="55">
        <f>IF(COUNT(Captura_NoFin!F91,Captura_NoFin!G91,Captura_NoFin!H91)&lt;3,"",IFERROR((Captura_NoFin!F91-Captura_NoFin!G91)/Captura_NoFin!H91,""))</f>
        <v/>
      </c>
      <c r="H91" s="55">
        <f>IF(OR(E91="",COUNT(Captura_NoFin!K91)&lt;1),"",IFERROR(E91/Captura_NoFin!K91,""))</f>
        <v/>
      </c>
      <c r="I91" s="55">
        <f>IF(COUNT(Captura_NoFin!N91,Captura_NoFin!H91)&lt;2,"",IFERROR(Captura_NoFin!N91/Captura_NoFin!H91,""))</f>
        <v/>
      </c>
      <c r="J91" s="55">
        <f>IF(COUNT(Captura_NoFin!I91,Captura_NoFin!H91)&lt;2,"",IFERROR(Captura_NoFin!I91/Captura_NoFin!H91,""))</f>
        <v/>
      </c>
      <c r="K91" s="54">
        <f>IF(OR(E91="",COUNT(Captura_NoFin!L91)&lt;1),"",IFERROR(E91/ABS(Captura_NoFin!L91),""))</f>
        <v/>
      </c>
      <c r="L91" s="54">
        <f>IF(COUNT(Captura_NoFin!K91,Captura_NoFin!H91)&lt;2,"",IFERROR(Captura_NoFin!K91/Captura_NoFin!H91,""))</f>
        <v/>
      </c>
      <c r="M91" s="55">
        <f>IF(COUNT(Captura_NoFin!R91)&lt;1,"",IFERROR(IF(D91=2017,Captura_NoFin!R91/INDEX(Empresas!$I$2:$I$23,MATCH($A91,Empresas!$B$2:$B$23,0))-1,IF(COUNT(Captura_NoFin!R90)&lt;1,"",Captura_NoFin!R91/Captura_NoFin!R90-1)),""))</f>
        <v/>
      </c>
      <c r="N91" s="55">
        <f>IF(COUNT(Captura_NoFin!P91,Captura_NoFin!O91)&lt;2,"",IF(Captura_NoFin!O91&lt;=0,"",Captura_NoFin!P91/Captura_NoFin!O91))</f>
        <v/>
      </c>
      <c r="O91" s="56">
        <f>COUNT(F91:M91)</f>
        <v/>
      </c>
      <c r="P91" s="57">
        <f>IF(COUNT(Captura_NoFin!H91,Captura_NoFin!I91,Captura_NoFin!J91)&lt;3,"",IF(ABS(Captura_NoFin!H91-Captura_NoFin!I91-Captura_NoFin!J91)&lt;=0.005*ABS(Captura_NoFin!H91),"OK","REVISAR"))</f>
        <v/>
      </c>
    </row>
    <row r="92" ht="15" customHeight="1" s="31">
      <c r="A92" s="51">
        <f>Captura_NoFin!A92</f>
        <v/>
      </c>
      <c r="B92" s="51">
        <f>Captura_NoFin!B92</f>
        <v/>
      </c>
      <c r="C92" s="51">
        <f>Captura_NoFin!C92</f>
        <v/>
      </c>
      <c r="D92" s="52">
        <f>Captura_NoFin!D92</f>
        <v/>
      </c>
      <c r="E92" s="53">
        <f>IF(COUNT(Captura_NoFin!M92,Captura_NoFin!L92)&lt;2,"",Captura_NoFin!M92+ABS(Captura_NoFin!L92))</f>
        <v/>
      </c>
      <c r="F92" s="54">
        <f>IF(COUNT(Captura_NoFin!F92,Captura_NoFin!G92)&lt;2,"",IFERROR(Captura_NoFin!F92/Captura_NoFin!G92,""))</f>
        <v/>
      </c>
      <c r="G92" s="55">
        <f>IF(COUNT(Captura_NoFin!F92,Captura_NoFin!G92,Captura_NoFin!H92)&lt;3,"",IFERROR((Captura_NoFin!F92-Captura_NoFin!G92)/Captura_NoFin!H92,""))</f>
        <v/>
      </c>
      <c r="H92" s="55">
        <f>IF(OR(E92="",COUNT(Captura_NoFin!K92)&lt;1),"",IFERROR(E92/Captura_NoFin!K92,""))</f>
        <v/>
      </c>
      <c r="I92" s="55">
        <f>IF(COUNT(Captura_NoFin!N92,Captura_NoFin!H92)&lt;2,"",IFERROR(Captura_NoFin!N92/Captura_NoFin!H92,""))</f>
        <v/>
      </c>
      <c r="J92" s="55">
        <f>IF(COUNT(Captura_NoFin!I92,Captura_NoFin!H92)&lt;2,"",IFERROR(Captura_NoFin!I92/Captura_NoFin!H92,""))</f>
        <v/>
      </c>
      <c r="K92" s="54">
        <f>IF(OR(E92="",COUNT(Captura_NoFin!L92)&lt;1),"",IFERROR(E92/ABS(Captura_NoFin!L92),""))</f>
        <v/>
      </c>
      <c r="L92" s="54">
        <f>IF(COUNT(Captura_NoFin!K92,Captura_NoFin!H92)&lt;2,"",IFERROR(Captura_NoFin!K92/Captura_NoFin!H92,""))</f>
        <v/>
      </c>
      <c r="M92" s="55">
        <f>IF(COUNT(Captura_NoFin!R92)&lt;1,"",IFERROR(IF(D92=2017,Captura_NoFin!R92/INDEX(Empresas!$I$2:$I$23,MATCH($A92,Empresas!$B$2:$B$23,0))-1,IF(COUNT(Captura_NoFin!R91)&lt;1,"",Captura_NoFin!R92/Captura_NoFin!R91-1)),""))</f>
        <v/>
      </c>
      <c r="N92" s="55">
        <f>IF(COUNT(Captura_NoFin!P92,Captura_NoFin!O92)&lt;2,"",IF(Captura_NoFin!O92&lt;=0,"",Captura_NoFin!P92/Captura_NoFin!O92))</f>
        <v/>
      </c>
      <c r="O92" s="56">
        <f>COUNT(F92:M92)</f>
        <v/>
      </c>
      <c r="P92" s="57">
        <f>IF(COUNT(Captura_NoFin!H92,Captura_NoFin!I92,Captura_NoFin!J92)&lt;3,"",IF(ABS(Captura_NoFin!H92-Captura_NoFin!I92-Captura_NoFin!J92)&lt;=0.005*ABS(Captura_NoFin!H92),"OK","REVISAR"))</f>
        <v/>
      </c>
    </row>
    <row r="93" ht="15" customHeight="1" s="31">
      <c r="A93" s="51">
        <f>Captura_NoFin!A93</f>
        <v/>
      </c>
      <c r="B93" s="51">
        <f>Captura_NoFin!B93</f>
        <v/>
      </c>
      <c r="C93" s="51">
        <f>Captura_NoFin!C93</f>
        <v/>
      </c>
      <c r="D93" s="52">
        <f>Captura_NoFin!D93</f>
        <v/>
      </c>
      <c r="E93" s="53">
        <f>IF(COUNT(Captura_NoFin!M93,Captura_NoFin!L93)&lt;2,"",Captura_NoFin!M93+ABS(Captura_NoFin!L93))</f>
        <v/>
      </c>
      <c r="F93" s="54">
        <f>IF(COUNT(Captura_NoFin!F93,Captura_NoFin!G93)&lt;2,"",IFERROR(Captura_NoFin!F93/Captura_NoFin!G93,""))</f>
        <v/>
      </c>
      <c r="G93" s="55">
        <f>IF(COUNT(Captura_NoFin!F93,Captura_NoFin!G93,Captura_NoFin!H93)&lt;3,"",IFERROR((Captura_NoFin!F93-Captura_NoFin!G93)/Captura_NoFin!H93,""))</f>
        <v/>
      </c>
      <c r="H93" s="55">
        <f>IF(OR(E93="",COUNT(Captura_NoFin!K93)&lt;1),"",IFERROR(E93/Captura_NoFin!K93,""))</f>
        <v/>
      </c>
      <c r="I93" s="55">
        <f>IF(COUNT(Captura_NoFin!N93,Captura_NoFin!H93)&lt;2,"",IFERROR(Captura_NoFin!N93/Captura_NoFin!H93,""))</f>
        <v/>
      </c>
      <c r="J93" s="55">
        <f>IF(COUNT(Captura_NoFin!I93,Captura_NoFin!H93)&lt;2,"",IFERROR(Captura_NoFin!I93/Captura_NoFin!H93,""))</f>
        <v/>
      </c>
      <c r="K93" s="54">
        <f>IF(OR(E93="",COUNT(Captura_NoFin!L93)&lt;1),"",IFERROR(E93/ABS(Captura_NoFin!L93),""))</f>
        <v/>
      </c>
      <c r="L93" s="54">
        <f>IF(COUNT(Captura_NoFin!K93,Captura_NoFin!H93)&lt;2,"",IFERROR(Captura_NoFin!K93/Captura_NoFin!H93,""))</f>
        <v/>
      </c>
      <c r="M93" s="55">
        <f>IF(COUNT(Captura_NoFin!R93)&lt;1,"",IFERROR(IF(D93=2017,Captura_NoFin!R93/INDEX(Empresas!$I$2:$I$23,MATCH($A93,Empresas!$B$2:$B$23,0))-1,IF(COUNT(Captura_NoFin!R92)&lt;1,"",Captura_NoFin!R93/Captura_NoFin!R92-1)),""))</f>
        <v/>
      </c>
      <c r="N93" s="55">
        <f>IF(COUNT(Captura_NoFin!P93,Captura_NoFin!O93)&lt;2,"",IF(Captura_NoFin!O93&lt;=0,"",Captura_NoFin!P93/Captura_NoFin!O93))</f>
        <v/>
      </c>
      <c r="O93" s="56">
        <f>COUNT(F93:M93)</f>
        <v/>
      </c>
      <c r="P93" s="57">
        <f>IF(COUNT(Captura_NoFin!H93,Captura_NoFin!I93,Captura_NoFin!J93)&lt;3,"",IF(ABS(Captura_NoFin!H93-Captura_NoFin!I93-Captura_NoFin!J93)&lt;=0.005*ABS(Captura_NoFin!H93),"OK","REVISAR"))</f>
        <v/>
      </c>
    </row>
    <row r="94" ht="15" customHeight="1" s="31">
      <c r="A94" s="51">
        <f>Captura_NoFin!A94</f>
        <v/>
      </c>
      <c r="B94" s="51">
        <f>Captura_NoFin!B94</f>
        <v/>
      </c>
      <c r="C94" s="51">
        <f>Captura_NoFin!C94</f>
        <v/>
      </c>
      <c r="D94" s="52">
        <f>Captura_NoFin!D94</f>
        <v/>
      </c>
      <c r="E94" s="53">
        <f>IF(COUNT(Captura_NoFin!M94,Captura_NoFin!L94)&lt;2,"",Captura_NoFin!M94+ABS(Captura_NoFin!L94))</f>
        <v/>
      </c>
      <c r="F94" s="54">
        <f>IF(COUNT(Captura_NoFin!F94,Captura_NoFin!G94)&lt;2,"",IFERROR(Captura_NoFin!F94/Captura_NoFin!G94,""))</f>
        <v/>
      </c>
      <c r="G94" s="55">
        <f>IF(COUNT(Captura_NoFin!F94,Captura_NoFin!G94,Captura_NoFin!H94)&lt;3,"",IFERROR((Captura_NoFin!F94-Captura_NoFin!G94)/Captura_NoFin!H94,""))</f>
        <v/>
      </c>
      <c r="H94" s="55">
        <f>IF(OR(E94="",COUNT(Captura_NoFin!K94)&lt;1),"",IFERROR(E94/Captura_NoFin!K94,""))</f>
        <v/>
      </c>
      <c r="I94" s="55">
        <f>IF(COUNT(Captura_NoFin!N94,Captura_NoFin!H94)&lt;2,"",IFERROR(Captura_NoFin!N94/Captura_NoFin!H94,""))</f>
        <v/>
      </c>
      <c r="J94" s="55">
        <f>IF(COUNT(Captura_NoFin!I94,Captura_NoFin!H94)&lt;2,"",IFERROR(Captura_NoFin!I94/Captura_NoFin!H94,""))</f>
        <v/>
      </c>
      <c r="K94" s="54">
        <f>IF(OR(E94="",COUNT(Captura_NoFin!L94)&lt;1),"",IFERROR(E94/ABS(Captura_NoFin!L94),""))</f>
        <v/>
      </c>
      <c r="L94" s="54">
        <f>IF(COUNT(Captura_NoFin!K94,Captura_NoFin!H94)&lt;2,"",IFERROR(Captura_NoFin!K94/Captura_NoFin!H94,""))</f>
        <v/>
      </c>
      <c r="M94" s="55">
        <f>IF(COUNT(Captura_NoFin!R94)&lt;1,"",IFERROR(IF(D94=2017,Captura_NoFin!R94/INDEX(Empresas!$I$2:$I$23,MATCH($A94,Empresas!$B$2:$B$23,0))-1,IF(COUNT(Captura_NoFin!R93)&lt;1,"",Captura_NoFin!R94/Captura_NoFin!R93-1)),""))</f>
        <v/>
      </c>
      <c r="N94" s="55">
        <f>IF(COUNT(Captura_NoFin!P94,Captura_NoFin!O94)&lt;2,"",IF(Captura_NoFin!O94&lt;=0,"",Captura_NoFin!P94/Captura_NoFin!O94))</f>
        <v/>
      </c>
      <c r="O94" s="56">
        <f>COUNT(F94:M94)</f>
        <v/>
      </c>
      <c r="P94" s="57">
        <f>IF(COUNT(Captura_NoFin!H94,Captura_NoFin!I94,Captura_NoFin!J94)&lt;3,"",IF(ABS(Captura_NoFin!H94-Captura_NoFin!I94-Captura_NoFin!J94)&lt;=0.005*ABS(Captura_NoFin!H94),"OK","REVISAR"))</f>
        <v/>
      </c>
    </row>
    <row r="95" ht="15" customHeight="1" s="31">
      <c r="A95" s="51">
        <f>Captura_NoFin!A95</f>
        <v/>
      </c>
      <c r="B95" s="51">
        <f>Captura_NoFin!B95</f>
        <v/>
      </c>
      <c r="C95" s="51">
        <f>Captura_NoFin!C95</f>
        <v/>
      </c>
      <c r="D95" s="52">
        <f>Captura_NoFin!D95</f>
        <v/>
      </c>
      <c r="E95" s="53">
        <f>IF(COUNT(Captura_NoFin!M95,Captura_NoFin!L95)&lt;2,"",Captura_NoFin!M95+ABS(Captura_NoFin!L95))</f>
        <v/>
      </c>
      <c r="F95" s="54">
        <f>IF(COUNT(Captura_NoFin!F95,Captura_NoFin!G95)&lt;2,"",IFERROR(Captura_NoFin!F95/Captura_NoFin!G95,""))</f>
        <v/>
      </c>
      <c r="G95" s="55">
        <f>IF(COUNT(Captura_NoFin!F95,Captura_NoFin!G95,Captura_NoFin!H95)&lt;3,"",IFERROR((Captura_NoFin!F95-Captura_NoFin!G95)/Captura_NoFin!H95,""))</f>
        <v/>
      </c>
      <c r="H95" s="55">
        <f>IF(OR(E95="",COUNT(Captura_NoFin!K95)&lt;1),"",IFERROR(E95/Captura_NoFin!K95,""))</f>
        <v/>
      </c>
      <c r="I95" s="55">
        <f>IF(COUNT(Captura_NoFin!N95,Captura_NoFin!H95)&lt;2,"",IFERROR(Captura_NoFin!N95/Captura_NoFin!H95,""))</f>
        <v/>
      </c>
      <c r="J95" s="55">
        <f>IF(COUNT(Captura_NoFin!I95,Captura_NoFin!H95)&lt;2,"",IFERROR(Captura_NoFin!I95/Captura_NoFin!H95,""))</f>
        <v/>
      </c>
      <c r="K95" s="54">
        <f>IF(OR(E95="",COUNT(Captura_NoFin!L95)&lt;1),"",IFERROR(E95/ABS(Captura_NoFin!L95),""))</f>
        <v/>
      </c>
      <c r="L95" s="54">
        <f>IF(COUNT(Captura_NoFin!K95,Captura_NoFin!H95)&lt;2,"",IFERROR(Captura_NoFin!K95/Captura_NoFin!H95,""))</f>
        <v/>
      </c>
      <c r="M95" s="55">
        <f>IF(COUNT(Captura_NoFin!R95)&lt;1,"",IFERROR(IF(D95=2017,Captura_NoFin!R95/INDEX(Empresas!$I$2:$I$23,MATCH($A95,Empresas!$B$2:$B$23,0))-1,IF(COUNT(Captura_NoFin!R94)&lt;1,"",Captura_NoFin!R95/Captura_NoFin!R94-1)),""))</f>
        <v/>
      </c>
      <c r="N95" s="55">
        <f>IF(COUNT(Captura_NoFin!P95,Captura_NoFin!O95)&lt;2,"",IF(Captura_NoFin!O95&lt;=0,"",Captura_NoFin!P95/Captura_NoFin!O95))</f>
        <v/>
      </c>
      <c r="O95" s="56">
        <f>COUNT(F95:M95)</f>
        <v/>
      </c>
      <c r="P95" s="57">
        <f>IF(COUNT(Captura_NoFin!H95,Captura_NoFin!I95,Captura_NoFin!J95)&lt;3,"",IF(ABS(Captura_NoFin!H95-Captura_NoFin!I95-Captura_NoFin!J95)&lt;=0.005*ABS(Captura_NoFin!H95),"OK","REVISAR"))</f>
        <v/>
      </c>
    </row>
    <row r="96" ht="15" customHeight="1" s="31">
      <c r="A96" s="51">
        <f>Captura_NoFin!A96</f>
        <v/>
      </c>
      <c r="B96" s="51">
        <f>Captura_NoFin!B96</f>
        <v/>
      </c>
      <c r="C96" s="51">
        <f>Captura_NoFin!C96</f>
        <v/>
      </c>
      <c r="D96" s="52">
        <f>Captura_NoFin!D96</f>
        <v/>
      </c>
      <c r="E96" s="53">
        <f>IF(COUNT(Captura_NoFin!M96,Captura_NoFin!L96)&lt;2,"",Captura_NoFin!M96+ABS(Captura_NoFin!L96))</f>
        <v/>
      </c>
      <c r="F96" s="54">
        <f>IF(COUNT(Captura_NoFin!F96,Captura_NoFin!G96)&lt;2,"",IFERROR(Captura_NoFin!F96/Captura_NoFin!G96,""))</f>
        <v/>
      </c>
      <c r="G96" s="55">
        <f>IF(COUNT(Captura_NoFin!F96,Captura_NoFin!G96,Captura_NoFin!H96)&lt;3,"",IFERROR((Captura_NoFin!F96-Captura_NoFin!G96)/Captura_NoFin!H96,""))</f>
        <v/>
      </c>
      <c r="H96" s="55">
        <f>IF(OR(E96="",COUNT(Captura_NoFin!K96)&lt;1),"",IFERROR(E96/Captura_NoFin!K96,""))</f>
        <v/>
      </c>
      <c r="I96" s="55">
        <f>IF(COUNT(Captura_NoFin!N96,Captura_NoFin!H96)&lt;2,"",IFERROR(Captura_NoFin!N96/Captura_NoFin!H96,""))</f>
        <v/>
      </c>
      <c r="J96" s="55">
        <f>IF(COUNT(Captura_NoFin!I96,Captura_NoFin!H96)&lt;2,"",IFERROR(Captura_NoFin!I96/Captura_NoFin!H96,""))</f>
        <v/>
      </c>
      <c r="K96" s="54">
        <f>IF(OR(E96="",COUNT(Captura_NoFin!L96)&lt;1),"",IFERROR(E96/ABS(Captura_NoFin!L96),""))</f>
        <v/>
      </c>
      <c r="L96" s="54">
        <f>IF(COUNT(Captura_NoFin!K96,Captura_NoFin!H96)&lt;2,"",IFERROR(Captura_NoFin!K96/Captura_NoFin!H96,""))</f>
        <v/>
      </c>
      <c r="M96" s="55">
        <f>IF(COUNT(Captura_NoFin!R96)&lt;1,"",IFERROR(IF(D96=2017,Captura_NoFin!R96/INDEX(Empresas!$I$2:$I$23,MATCH($A96,Empresas!$B$2:$B$23,0))-1,IF(COUNT(Captura_NoFin!R95)&lt;1,"",Captura_NoFin!R96/Captura_NoFin!R95-1)),""))</f>
        <v/>
      </c>
      <c r="N96" s="55">
        <f>IF(COUNT(Captura_NoFin!P96,Captura_NoFin!O96)&lt;2,"",IF(Captura_NoFin!O96&lt;=0,"",Captura_NoFin!P96/Captura_NoFin!O96))</f>
        <v/>
      </c>
      <c r="O96" s="56">
        <f>COUNT(F96:M96)</f>
        <v/>
      </c>
      <c r="P96" s="57">
        <f>IF(COUNT(Captura_NoFin!H96,Captura_NoFin!I96,Captura_NoFin!J96)&lt;3,"",IF(ABS(Captura_NoFin!H96-Captura_NoFin!I96-Captura_NoFin!J96)&lt;=0.005*ABS(Captura_NoFin!H96),"OK","REVISAR"))</f>
        <v/>
      </c>
    </row>
    <row r="97" ht="15" customHeight="1" s="31">
      <c r="A97" s="51">
        <f>Captura_NoFin!A97</f>
        <v/>
      </c>
      <c r="B97" s="51">
        <f>Captura_NoFin!B97</f>
        <v/>
      </c>
      <c r="C97" s="51">
        <f>Captura_NoFin!C97</f>
        <v/>
      </c>
      <c r="D97" s="52">
        <f>Captura_NoFin!D97</f>
        <v/>
      </c>
      <c r="E97" s="53">
        <f>IF(COUNT(Captura_NoFin!M97,Captura_NoFin!L97)&lt;2,"",Captura_NoFin!M97+ABS(Captura_NoFin!L97))</f>
        <v/>
      </c>
      <c r="F97" s="54">
        <f>IF(COUNT(Captura_NoFin!F97,Captura_NoFin!G97)&lt;2,"",IFERROR(Captura_NoFin!F97/Captura_NoFin!G97,""))</f>
        <v/>
      </c>
      <c r="G97" s="55">
        <f>IF(COUNT(Captura_NoFin!F97,Captura_NoFin!G97,Captura_NoFin!H97)&lt;3,"",IFERROR((Captura_NoFin!F97-Captura_NoFin!G97)/Captura_NoFin!H97,""))</f>
        <v/>
      </c>
      <c r="H97" s="55">
        <f>IF(OR(E97="",COUNT(Captura_NoFin!K97)&lt;1),"",IFERROR(E97/Captura_NoFin!K97,""))</f>
        <v/>
      </c>
      <c r="I97" s="55">
        <f>IF(COUNT(Captura_NoFin!N97,Captura_NoFin!H97)&lt;2,"",IFERROR(Captura_NoFin!N97/Captura_NoFin!H97,""))</f>
        <v/>
      </c>
      <c r="J97" s="55">
        <f>IF(COUNT(Captura_NoFin!I97,Captura_NoFin!H97)&lt;2,"",IFERROR(Captura_NoFin!I97/Captura_NoFin!H97,""))</f>
        <v/>
      </c>
      <c r="K97" s="54">
        <f>IF(OR(E97="",COUNT(Captura_NoFin!L97)&lt;1),"",IFERROR(E97/ABS(Captura_NoFin!L97),""))</f>
        <v/>
      </c>
      <c r="L97" s="54">
        <f>IF(COUNT(Captura_NoFin!K97,Captura_NoFin!H97)&lt;2,"",IFERROR(Captura_NoFin!K97/Captura_NoFin!H97,""))</f>
        <v/>
      </c>
      <c r="M97" s="55">
        <f>IF(COUNT(Captura_NoFin!R97)&lt;1,"",IFERROR(IF(D97=2017,Captura_NoFin!R97/INDEX(Empresas!$I$2:$I$23,MATCH($A97,Empresas!$B$2:$B$23,0))-1,IF(COUNT(Captura_NoFin!R96)&lt;1,"",Captura_NoFin!R97/Captura_NoFin!R96-1)),""))</f>
        <v/>
      </c>
      <c r="N97" s="55">
        <f>IF(COUNT(Captura_NoFin!P97,Captura_NoFin!O97)&lt;2,"",IF(Captura_NoFin!O97&lt;=0,"",Captura_NoFin!P97/Captura_NoFin!O97))</f>
        <v/>
      </c>
      <c r="O97" s="56">
        <f>COUNT(F97:M97)</f>
        <v/>
      </c>
      <c r="P97" s="57">
        <f>IF(COUNT(Captura_NoFin!H97,Captura_NoFin!I97,Captura_NoFin!J97)&lt;3,"",IF(ABS(Captura_NoFin!H97-Captura_NoFin!I97-Captura_NoFin!J97)&lt;=0.005*ABS(Captura_NoFin!H97),"OK","REVISAR"))</f>
        <v/>
      </c>
    </row>
    <row r="98" ht="15" customHeight="1" s="31">
      <c r="A98" s="51">
        <f>Captura_NoFin!A98</f>
        <v/>
      </c>
      <c r="B98" s="51">
        <f>Captura_NoFin!B98</f>
        <v/>
      </c>
      <c r="C98" s="51">
        <f>Captura_NoFin!C98</f>
        <v/>
      </c>
      <c r="D98" s="52">
        <f>Captura_NoFin!D98</f>
        <v/>
      </c>
      <c r="E98" s="53">
        <f>IF(COUNT(Captura_NoFin!M98,Captura_NoFin!L98)&lt;2,"",Captura_NoFin!M98+ABS(Captura_NoFin!L98))</f>
        <v/>
      </c>
      <c r="F98" s="54">
        <f>IF(COUNT(Captura_NoFin!F98,Captura_NoFin!G98)&lt;2,"",IFERROR(Captura_NoFin!F98/Captura_NoFin!G98,""))</f>
        <v/>
      </c>
      <c r="G98" s="55">
        <f>IF(COUNT(Captura_NoFin!F98,Captura_NoFin!G98,Captura_NoFin!H98)&lt;3,"",IFERROR((Captura_NoFin!F98-Captura_NoFin!G98)/Captura_NoFin!H98,""))</f>
        <v/>
      </c>
      <c r="H98" s="55">
        <f>IF(OR(E98="",COUNT(Captura_NoFin!K98)&lt;1),"",IFERROR(E98/Captura_NoFin!K98,""))</f>
        <v/>
      </c>
      <c r="I98" s="55">
        <f>IF(COUNT(Captura_NoFin!N98,Captura_NoFin!H98)&lt;2,"",IFERROR(Captura_NoFin!N98/Captura_NoFin!H98,""))</f>
        <v/>
      </c>
      <c r="J98" s="55">
        <f>IF(COUNT(Captura_NoFin!I98,Captura_NoFin!H98)&lt;2,"",IFERROR(Captura_NoFin!I98/Captura_NoFin!H98,""))</f>
        <v/>
      </c>
      <c r="K98" s="54">
        <f>IF(OR(E98="",COUNT(Captura_NoFin!L98)&lt;1),"",IFERROR(E98/ABS(Captura_NoFin!L98),""))</f>
        <v/>
      </c>
      <c r="L98" s="54">
        <f>IF(COUNT(Captura_NoFin!K98,Captura_NoFin!H98)&lt;2,"",IFERROR(Captura_NoFin!K98/Captura_NoFin!H98,""))</f>
        <v/>
      </c>
      <c r="M98" s="55">
        <f>IF(COUNT(Captura_NoFin!R98)&lt;1,"",IFERROR(IF(D98=2017,Captura_NoFin!R98/INDEX(Empresas!$I$2:$I$23,MATCH($A98,Empresas!$B$2:$B$23,0))-1,IF(COUNT(Captura_NoFin!R97)&lt;1,"",Captura_NoFin!R98/Captura_NoFin!R97-1)),""))</f>
        <v/>
      </c>
      <c r="N98" s="55">
        <f>IF(COUNT(Captura_NoFin!P98,Captura_NoFin!O98)&lt;2,"",IF(Captura_NoFin!O98&lt;=0,"",Captura_NoFin!P98/Captura_NoFin!O98))</f>
        <v/>
      </c>
      <c r="O98" s="56">
        <f>COUNT(F98:M98)</f>
        <v/>
      </c>
      <c r="P98" s="57">
        <f>IF(COUNT(Captura_NoFin!H98,Captura_NoFin!I98,Captura_NoFin!J98)&lt;3,"",IF(ABS(Captura_NoFin!H98-Captura_NoFin!I98-Captura_NoFin!J98)&lt;=0.005*ABS(Captura_NoFin!H98),"OK","REVISAR"))</f>
        <v/>
      </c>
    </row>
    <row r="99" ht="15" customHeight="1" s="31">
      <c r="A99" s="51">
        <f>Captura_NoFin!A99</f>
        <v/>
      </c>
      <c r="B99" s="51">
        <f>Captura_NoFin!B99</f>
        <v/>
      </c>
      <c r="C99" s="51">
        <f>Captura_NoFin!C99</f>
        <v/>
      </c>
      <c r="D99" s="52">
        <f>Captura_NoFin!D99</f>
        <v/>
      </c>
      <c r="E99" s="53">
        <f>IF(COUNT(Captura_NoFin!M99,Captura_NoFin!L99)&lt;2,"",Captura_NoFin!M99+ABS(Captura_NoFin!L99))</f>
        <v/>
      </c>
      <c r="F99" s="54">
        <f>IF(COUNT(Captura_NoFin!F99,Captura_NoFin!G99)&lt;2,"",IFERROR(Captura_NoFin!F99/Captura_NoFin!G99,""))</f>
        <v/>
      </c>
      <c r="G99" s="55">
        <f>IF(COUNT(Captura_NoFin!F99,Captura_NoFin!G99,Captura_NoFin!H99)&lt;3,"",IFERROR((Captura_NoFin!F99-Captura_NoFin!G99)/Captura_NoFin!H99,""))</f>
        <v/>
      </c>
      <c r="H99" s="55">
        <f>IF(OR(E99="",COUNT(Captura_NoFin!K99)&lt;1),"",IFERROR(E99/Captura_NoFin!K99,""))</f>
        <v/>
      </c>
      <c r="I99" s="55">
        <f>IF(COUNT(Captura_NoFin!N99,Captura_NoFin!H99)&lt;2,"",IFERROR(Captura_NoFin!N99/Captura_NoFin!H99,""))</f>
        <v/>
      </c>
      <c r="J99" s="55">
        <f>IF(COUNT(Captura_NoFin!I99,Captura_NoFin!H99)&lt;2,"",IFERROR(Captura_NoFin!I99/Captura_NoFin!H99,""))</f>
        <v/>
      </c>
      <c r="K99" s="54">
        <f>IF(OR(E99="",COUNT(Captura_NoFin!L99)&lt;1),"",IFERROR(E99/ABS(Captura_NoFin!L99),""))</f>
        <v/>
      </c>
      <c r="L99" s="54">
        <f>IF(COUNT(Captura_NoFin!K99,Captura_NoFin!H99)&lt;2,"",IFERROR(Captura_NoFin!K99/Captura_NoFin!H99,""))</f>
        <v/>
      </c>
      <c r="M99" s="55">
        <f>IF(COUNT(Captura_NoFin!R99)&lt;1,"",IFERROR(IF(D99=2017,Captura_NoFin!R99/INDEX(Empresas!$I$2:$I$23,MATCH($A99,Empresas!$B$2:$B$23,0))-1,IF(COUNT(Captura_NoFin!R98)&lt;1,"",Captura_NoFin!R99/Captura_NoFin!R98-1)),""))</f>
        <v/>
      </c>
      <c r="N99" s="55">
        <f>IF(COUNT(Captura_NoFin!P99,Captura_NoFin!O99)&lt;2,"",IF(Captura_NoFin!O99&lt;=0,"",Captura_NoFin!P99/Captura_NoFin!O99))</f>
        <v/>
      </c>
      <c r="O99" s="56">
        <f>COUNT(F99:M99)</f>
        <v/>
      </c>
      <c r="P99" s="57">
        <f>IF(COUNT(Captura_NoFin!H99,Captura_NoFin!I99,Captura_NoFin!J99)&lt;3,"",IF(ABS(Captura_NoFin!H99-Captura_NoFin!I99-Captura_NoFin!J99)&lt;=0.005*ABS(Captura_NoFin!H99),"OK","REVISAR"))</f>
        <v/>
      </c>
    </row>
    <row r="100" ht="15" customHeight="1" s="31">
      <c r="A100" s="51">
        <f>Captura_NoFin!A100</f>
        <v/>
      </c>
      <c r="B100" s="51">
        <f>Captura_NoFin!B100</f>
        <v/>
      </c>
      <c r="C100" s="51">
        <f>Captura_NoFin!C100</f>
        <v/>
      </c>
      <c r="D100" s="52">
        <f>Captura_NoFin!D100</f>
        <v/>
      </c>
      <c r="E100" s="53">
        <f>IF(COUNT(Captura_NoFin!M100,Captura_NoFin!L100)&lt;2,"",Captura_NoFin!M100+ABS(Captura_NoFin!L100))</f>
        <v/>
      </c>
      <c r="F100" s="54">
        <f>IF(COUNT(Captura_NoFin!F100,Captura_NoFin!G100)&lt;2,"",IFERROR(Captura_NoFin!F100/Captura_NoFin!G100,""))</f>
        <v/>
      </c>
      <c r="G100" s="55">
        <f>IF(COUNT(Captura_NoFin!F100,Captura_NoFin!G100,Captura_NoFin!H100)&lt;3,"",IFERROR((Captura_NoFin!F100-Captura_NoFin!G100)/Captura_NoFin!H100,""))</f>
        <v/>
      </c>
      <c r="H100" s="55">
        <f>IF(OR(E100="",COUNT(Captura_NoFin!K100)&lt;1),"",IFERROR(E100/Captura_NoFin!K100,""))</f>
        <v/>
      </c>
      <c r="I100" s="55">
        <f>IF(COUNT(Captura_NoFin!N100,Captura_NoFin!H100)&lt;2,"",IFERROR(Captura_NoFin!N100/Captura_NoFin!H100,""))</f>
        <v/>
      </c>
      <c r="J100" s="55">
        <f>IF(COUNT(Captura_NoFin!I100,Captura_NoFin!H100)&lt;2,"",IFERROR(Captura_NoFin!I100/Captura_NoFin!H100,""))</f>
        <v/>
      </c>
      <c r="K100" s="54">
        <f>IF(OR(E100="",COUNT(Captura_NoFin!L100)&lt;1),"",IFERROR(E100/ABS(Captura_NoFin!L100),""))</f>
        <v/>
      </c>
      <c r="L100" s="54">
        <f>IF(COUNT(Captura_NoFin!K100,Captura_NoFin!H100)&lt;2,"",IFERROR(Captura_NoFin!K100/Captura_NoFin!H100,""))</f>
        <v/>
      </c>
      <c r="M100" s="55">
        <f>IF(COUNT(Captura_NoFin!R100)&lt;1,"",IFERROR(IF(D100=2017,Captura_NoFin!R100/INDEX(Empresas!$I$2:$I$23,MATCH($A100,Empresas!$B$2:$B$23,0))-1,IF(COUNT(Captura_NoFin!R99)&lt;1,"",Captura_NoFin!R100/Captura_NoFin!R99-1)),""))</f>
        <v/>
      </c>
      <c r="N100" s="55">
        <f>IF(COUNT(Captura_NoFin!P100,Captura_NoFin!O100)&lt;2,"",IF(Captura_NoFin!O100&lt;=0,"",Captura_NoFin!P100/Captura_NoFin!O100))</f>
        <v/>
      </c>
      <c r="O100" s="56">
        <f>COUNT(F100:M100)</f>
        <v/>
      </c>
      <c r="P100" s="57">
        <f>IF(COUNT(Captura_NoFin!H100,Captura_NoFin!I100,Captura_NoFin!J100)&lt;3,"",IF(ABS(Captura_NoFin!H100-Captura_NoFin!I100-Captura_NoFin!J100)&lt;=0.005*ABS(Captura_NoFin!H100),"OK","REVISAR"))</f>
        <v/>
      </c>
    </row>
    <row r="101" ht="15" customHeight="1" s="31">
      <c r="A101" s="51">
        <f>Captura_NoFin!A101</f>
        <v/>
      </c>
      <c r="B101" s="51">
        <f>Captura_NoFin!B101</f>
        <v/>
      </c>
      <c r="C101" s="51">
        <f>Captura_NoFin!C101</f>
        <v/>
      </c>
      <c r="D101" s="52">
        <f>Captura_NoFin!D101</f>
        <v/>
      </c>
      <c r="E101" s="53">
        <f>IF(COUNT(Captura_NoFin!M101,Captura_NoFin!L101)&lt;2,"",Captura_NoFin!M101+ABS(Captura_NoFin!L101))</f>
        <v/>
      </c>
      <c r="F101" s="54">
        <f>IF(COUNT(Captura_NoFin!F101,Captura_NoFin!G101)&lt;2,"",IFERROR(Captura_NoFin!F101/Captura_NoFin!G101,""))</f>
        <v/>
      </c>
      <c r="G101" s="55">
        <f>IF(COUNT(Captura_NoFin!F101,Captura_NoFin!G101,Captura_NoFin!H101)&lt;3,"",IFERROR((Captura_NoFin!F101-Captura_NoFin!G101)/Captura_NoFin!H101,""))</f>
        <v/>
      </c>
      <c r="H101" s="55">
        <f>IF(OR(E101="",COUNT(Captura_NoFin!K101)&lt;1),"",IFERROR(E101/Captura_NoFin!K101,""))</f>
        <v/>
      </c>
      <c r="I101" s="55">
        <f>IF(COUNT(Captura_NoFin!N101,Captura_NoFin!H101)&lt;2,"",IFERROR(Captura_NoFin!N101/Captura_NoFin!H101,""))</f>
        <v/>
      </c>
      <c r="J101" s="55">
        <f>IF(COUNT(Captura_NoFin!I101,Captura_NoFin!H101)&lt;2,"",IFERROR(Captura_NoFin!I101/Captura_NoFin!H101,""))</f>
        <v/>
      </c>
      <c r="K101" s="54">
        <f>IF(OR(E101="",COUNT(Captura_NoFin!L101)&lt;1),"",IFERROR(E101/ABS(Captura_NoFin!L101),""))</f>
        <v/>
      </c>
      <c r="L101" s="54">
        <f>IF(COUNT(Captura_NoFin!K101,Captura_NoFin!H101)&lt;2,"",IFERROR(Captura_NoFin!K101/Captura_NoFin!H101,""))</f>
        <v/>
      </c>
      <c r="M101" s="55">
        <f>IF(COUNT(Captura_NoFin!R101)&lt;1,"",IFERROR(IF(D101=2017,Captura_NoFin!R101/INDEX(Empresas!$I$2:$I$23,MATCH($A101,Empresas!$B$2:$B$23,0))-1,IF(COUNT(Captura_NoFin!R100)&lt;1,"",Captura_NoFin!R101/Captura_NoFin!R100-1)),""))</f>
        <v/>
      </c>
      <c r="N101" s="55">
        <f>IF(COUNT(Captura_NoFin!P101,Captura_NoFin!O101)&lt;2,"",IF(Captura_NoFin!O101&lt;=0,"",Captura_NoFin!P101/Captura_NoFin!O101))</f>
        <v/>
      </c>
      <c r="O101" s="56">
        <f>COUNT(F101:M101)</f>
        <v/>
      </c>
      <c r="P101" s="57">
        <f>IF(COUNT(Captura_NoFin!H101,Captura_NoFin!I101,Captura_NoFin!J101)&lt;3,"",IF(ABS(Captura_NoFin!H101-Captura_NoFin!I101-Captura_NoFin!J101)&lt;=0.005*ABS(Captura_NoFin!H101),"OK","REVISAR"))</f>
        <v/>
      </c>
    </row>
    <row r="102" ht="15" customHeight="1" s="31">
      <c r="A102" s="51">
        <f>Captura_NoFin!A102</f>
        <v/>
      </c>
      <c r="B102" s="51">
        <f>Captura_NoFin!B102</f>
        <v/>
      </c>
      <c r="C102" s="51">
        <f>Captura_NoFin!C102</f>
        <v/>
      </c>
      <c r="D102" s="52">
        <f>Captura_NoFin!D102</f>
        <v/>
      </c>
      <c r="E102" s="53">
        <f>IF(COUNT(Captura_NoFin!M102,Captura_NoFin!L102)&lt;2,"",Captura_NoFin!M102+ABS(Captura_NoFin!L102))</f>
        <v/>
      </c>
      <c r="F102" s="54">
        <f>IF(COUNT(Captura_NoFin!F102,Captura_NoFin!G102)&lt;2,"",IFERROR(Captura_NoFin!F102/Captura_NoFin!G102,""))</f>
        <v/>
      </c>
      <c r="G102" s="55">
        <f>IF(COUNT(Captura_NoFin!F102,Captura_NoFin!G102,Captura_NoFin!H102)&lt;3,"",IFERROR((Captura_NoFin!F102-Captura_NoFin!G102)/Captura_NoFin!H102,""))</f>
        <v/>
      </c>
      <c r="H102" s="55">
        <f>IF(OR(E102="",COUNT(Captura_NoFin!K102)&lt;1),"",IFERROR(E102/Captura_NoFin!K102,""))</f>
        <v/>
      </c>
      <c r="I102" s="55">
        <f>IF(COUNT(Captura_NoFin!N102,Captura_NoFin!H102)&lt;2,"",IFERROR(Captura_NoFin!N102/Captura_NoFin!H102,""))</f>
        <v/>
      </c>
      <c r="J102" s="55">
        <f>IF(COUNT(Captura_NoFin!I102,Captura_NoFin!H102)&lt;2,"",IFERROR(Captura_NoFin!I102/Captura_NoFin!H102,""))</f>
        <v/>
      </c>
      <c r="K102" s="54">
        <f>IF(OR(E102="",COUNT(Captura_NoFin!L102)&lt;1),"",IFERROR(E102/ABS(Captura_NoFin!L102),""))</f>
        <v/>
      </c>
      <c r="L102" s="54">
        <f>IF(COUNT(Captura_NoFin!K102,Captura_NoFin!H102)&lt;2,"",IFERROR(Captura_NoFin!K102/Captura_NoFin!H102,""))</f>
        <v/>
      </c>
      <c r="M102" s="55">
        <f>IF(COUNT(Captura_NoFin!R102)&lt;1,"",IFERROR(IF(D102=2017,Captura_NoFin!R102/INDEX(Empresas!$I$2:$I$23,MATCH($A102,Empresas!$B$2:$B$23,0))-1,IF(COUNT(Captura_NoFin!R101)&lt;1,"",Captura_NoFin!R102/Captura_NoFin!R101-1)),""))</f>
        <v/>
      </c>
      <c r="N102" s="55">
        <f>IF(COUNT(Captura_NoFin!P102,Captura_NoFin!O102)&lt;2,"",IF(Captura_NoFin!O102&lt;=0,"",Captura_NoFin!P102/Captura_NoFin!O102))</f>
        <v/>
      </c>
      <c r="O102" s="56">
        <f>COUNT(F102:M102)</f>
        <v/>
      </c>
      <c r="P102" s="57">
        <f>IF(COUNT(Captura_NoFin!H102,Captura_NoFin!I102,Captura_NoFin!J102)&lt;3,"",IF(ABS(Captura_NoFin!H102-Captura_NoFin!I102-Captura_NoFin!J102)&lt;=0.005*ABS(Captura_NoFin!H102),"OK","REVISAR"))</f>
        <v/>
      </c>
    </row>
    <row r="103" ht="15" customHeight="1" s="31">
      <c r="A103" s="51">
        <f>Captura_NoFin!A103</f>
        <v/>
      </c>
      <c r="B103" s="51">
        <f>Captura_NoFin!B103</f>
        <v/>
      </c>
      <c r="C103" s="51">
        <f>Captura_NoFin!C103</f>
        <v/>
      </c>
      <c r="D103" s="52">
        <f>Captura_NoFin!D103</f>
        <v/>
      </c>
      <c r="E103" s="53">
        <f>IF(COUNT(Captura_NoFin!M103,Captura_NoFin!L103)&lt;2,"",Captura_NoFin!M103+ABS(Captura_NoFin!L103))</f>
        <v/>
      </c>
      <c r="F103" s="54">
        <f>IF(COUNT(Captura_NoFin!F103,Captura_NoFin!G103)&lt;2,"",IFERROR(Captura_NoFin!F103/Captura_NoFin!G103,""))</f>
        <v/>
      </c>
      <c r="G103" s="55">
        <f>IF(COUNT(Captura_NoFin!F103,Captura_NoFin!G103,Captura_NoFin!H103)&lt;3,"",IFERROR((Captura_NoFin!F103-Captura_NoFin!G103)/Captura_NoFin!H103,""))</f>
        <v/>
      </c>
      <c r="H103" s="55">
        <f>IF(OR(E103="",COUNT(Captura_NoFin!K103)&lt;1),"",IFERROR(E103/Captura_NoFin!K103,""))</f>
        <v/>
      </c>
      <c r="I103" s="55">
        <f>IF(COUNT(Captura_NoFin!N103,Captura_NoFin!H103)&lt;2,"",IFERROR(Captura_NoFin!N103/Captura_NoFin!H103,""))</f>
        <v/>
      </c>
      <c r="J103" s="55">
        <f>IF(COUNT(Captura_NoFin!I103,Captura_NoFin!H103)&lt;2,"",IFERROR(Captura_NoFin!I103/Captura_NoFin!H103,""))</f>
        <v/>
      </c>
      <c r="K103" s="54">
        <f>IF(OR(E103="",COUNT(Captura_NoFin!L103)&lt;1),"",IFERROR(E103/ABS(Captura_NoFin!L103),""))</f>
        <v/>
      </c>
      <c r="L103" s="54">
        <f>IF(COUNT(Captura_NoFin!K103,Captura_NoFin!H103)&lt;2,"",IFERROR(Captura_NoFin!K103/Captura_NoFin!H103,""))</f>
        <v/>
      </c>
      <c r="M103" s="55">
        <f>IF(COUNT(Captura_NoFin!R103)&lt;1,"",IFERROR(IF(D103=2017,Captura_NoFin!R103/INDEX(Empresas!$I$2:$I$23,MATCH($A103,Empresas!$B$2:$B$23,0))-1,IF(COUNT(Captura_NoFin!R102)&lt;1,"",Captura_NoFin!R103/Captura_NoFin!R102-1)),""))</f>
        <v/>
      </c>
      <c r="N103" s="55">
        <f>IF(COUNT(Captura_NoFin!P103,Captura_NoFin!O103)&lt;2,"",IF(Captura_NoFin!O103&lt;=0,"",Captura_NoFin!P103/Captura_NoFin!O103))</f>
        <v/>
      </c>
      <c r="O103" s="56">
        <f>COUNT(F103:M103)</f>
        <v/>
      </c>
      <c r="P103" s="57">
        <f>IF(COUNT(Captura_NoFin!H103,Captura_NoFin!I103,Captura_NoFin!J103)&lt;3,"",IF(ABS(Captura_NoFin!H103-Captura_NoFin!I103-Captura_NoFin!J103)&lt;=0.005*ABS(Captura_NoFin!H103),"OK","REVISAR"))</f>
        <v/>
      </c>
    </row>
    <row r="104" ht="15" customHeight="1" s="31">
      <c r="A104" s="51">
        <f>Captura_NoFin!A104</f>
        <v/>
      </c>
      <c r="B104" s="51">
        <f>Captura_NoFin!B104</f>
        <v/>
      </c>
      <c r="C104" s="51">
        <f>Captura_NoFin!C104</f>
        <v/>
      </c>
      <c r="D104" s="52">
        <f>Captura_NoFin!D104</f>
        <v/>
      </c>
      <c r="E104" s="53">
        <f>IF(COUNT(Captura_NoFin!M104,Captura_NoFin!L104)&lt;2,"",Captura_NoFin!M104+ABS(Captura_NoFin!L104))</f>
        <v/>
      </c>
      <c r="F104" s="54">
        <f>IF(COUNT(Captura_NoFin!F104,Captura_NoFin!G104)&lt;2,"",IFERROR(Captura_NoFin!F104/Captura_NoFin!G104,""))</f>
        <v/>
      </c>
      <c r="G104" s="55">
        <f>IF(COUNT(Captura_NoFin!F104,Captura_NoFin!G104,Captura_NoFin!H104)&lt;3,"",IFERROR((Captura_NoFin!F104-Captura_NoFin!G104)/Captura_NoFin!H104,""))</f>
        <v/>
      </c>
      <c r="H104" s="55">
        <f>IF(OR(E104="",COUNT(Captura_NoFin!K104)&lt;1),"",IFERROR(E104/Captura_NoFin!K104,""))</f>
        <v/>
      </c>
      <c r="I104" s="55">
        <f>IF(COUNT(Captura_NoFin!N104,Captura_NoFin!H104)&lt;2,"",IFERROR(Captura_NoFin!N104/Captura_NoFin!H104,""))</f>
        <v/>
      </c>
      <c r="J104" s="55">
        <f>IF(COUNT(Captura_NoFin!I104,Captura_NoFin!H104)&lt;2,"",IFERROR(Captura_NoFin!I104/Captura_NoFin!H104,""))</f>
        <v/>
      </c>
      <c r="K104" s="54">
        <f>IF(OR(E104="",COUNT(Captura_NoFin!L104)&lt;1),"",IFERROR(E104/ABS(Captura_NoFin!L104),""))</f>
        <v/>
      </c>
      <c r="L104" s="54">
        <f>IF(COUNT(Captura_NoFin!K104,Captura_NoFin!H104)&lt;2,"",IFERROR(Captura_NoFin!K104/Captura_NoFin!H104,""))</f>
        <v/>
      </c>
      <c r="M104" s="55">
        <f>IF(COUNT(Captura_NoFin!R104)&lt;1,"",IFERROR(IF(D104=2017,Captura_NoFin!R104/INDEX(Empresas!$I$2:$I$23,MATCH($A104,Empresas!$B$2:$B$23,0))-1,IF(COUNT(Captura_NoFin!R103)&lt;1,"",Captura_NoFin!R104/Captura_NoFin!R103-1)),""))</f>
        <v/>
      </c>
      <c r="N104" s="55">
        <f>IF(COUNT(Captura_NoFin!P104,Captura_NoFin!O104)&lt;2,"",IF(Captura_NoFin!O104&lt;=0,"",Captura_NoFin!P104/Captura_NoFin!O104))</f>
        <v/>
      </c>
      <c r="O104" s="56">
        <f>COUNT(F104:M104)</f>
        <v/>
      </c>
      <c r="P104" s="57">
        <f>IF(COUNT(Captura_NoFin!H104,Captura_NoFin!I104,Captura_NoFin!J104)&lt;3,"",IF(ABS(Captura_NoFin!H104-Captura_NoFin!I104-Captura_NoFin!J104)&lt;=0.005*ABS(Captura_NoFin!H104),"OK","REVISAR"))</f>
        <v/>
      </c>
    </row>
    <row r="105" ht="15" customHeight="1" s="31">
      <c r="A105" s="51">
        <f>Captura_NoFin!A105</f>
        <v/>
      </c>
      <c r="B105" s="51">
        <f>Captura_NoFin!B105</f>
        <v/>
      </c>
      <c r="C105" s="51">
        <f>Captura_NoFin!C105</f>
        <v/>
      </c>
      <c r="D105" s="52">
        <f>Captura_NoFin!D105</f>
        <v/>
      </c>
      <c r="E105" s="53">
        <f>IF(COUNT(Captura_NoFin!M105,Captura_NoFin!L105)&lt;2,"",Captura_NoFin!M105+ABS(Captura_NoFin!L105))</f>
        <v/>
      </c>
      <c r="F105" s="54">
        <f>IF(COUNT(Captura_NoFin!F105,Captura_NoFin!G105)&lt;2,"",IFERROR(Captura_NoFin!F105/Captura_NoFin!G105,""))</f>
        <v/>
      </c>
      <c r="G105" s="55">
        <f>IF(COUNT(Captura_NoFin!F105,Captura_NoFin!G105,Captura_NoFin!H105)&lt;3,"",IFERROR((Captura_NoFin!F105-Captura_NoFin!G105)/Captura_NoFin!H105,""))</f>
        <v/>
      </c>
      <c r="H105" s="55">
        <f>IF(OR(E105="",COUNT(Captura_NoFin!K105)&lt;1),"",IFERROR(E105/Captura_NoFin!K105,""))</f>
        <v/>
      </c>
      <c r="I105" s="55">
        <f>IF(COUNT(Captura_NoFin!N105,Captura_NoFin!H105)&lt;2,"",IFERROR(Captura_NoFin!N105/Captura_NoFin!H105,""))</f>
        <v/>
      </c>
      <c r="J105" s="55">
        <f>IF(COUNT(Captura_NoFin!I105,Captura_NoFin!H105)&lt;2,"",IFERROR(Captura_NoFin!I105/Captura_NoFin!H105,""))</f>
        <v/>
      </c>
      <c r="K105" s="54">
        <f>IF(OR(E105="",COUNT(Captura_NoFin!L105)&lt;1),"",IFERROR(E105/ABS(Captura_NoFin!L105),""))</f>
        <v/>
      </c>
      <c r="L105" s="54">
        <f>IF(COUNT(Captura_NoFin!K105,Captura_NoFin!H105)&lt;2,"",IFERROR(Captura_NoFin!K105/Captura_NoFin!H105,""))</f>
        <v/>
      </c>
      <c r="M105" s="55">
        <f>IF(COUNT(Captura_NoFin!R105)&lt;1,"",IFERROR(IF(D105=2017,Captura_NoFin!R105/INDEX(Empresas!$I$2:$I$23,MATCH($A105,Empresas!$B$2:$B$23,0))-1,IF(COUNT(Captura_NoFin!R104)&lt;1,"",Captura_NoFin!R105/Captura_NoFin!R104-1)),""))</f>
        <v/>
      </c>
      <c r="N105" s="55">
        <f>IF(COUNT(Captura_NoFin!P105,Captura_NoFin!O105)&lt;2,"",IF(Captura_NoFin!O105&lt;=0,"",Captura_NoFin!P105/Captura_NoFin!O105))</f>
        <v/>
      </c>
      <c r="O105" s="56">
        <f>COUNT(F105:M105)</f>
        <v/>
      </c>
      <c r="P105" s="57">
        <f>IF(COUNT(Captura_NoFin!H105,Captura_NoFin!I105,Captura_NoFin!J105)&lt;3,"",IF(ABS(Captura_NoFin!H105-Captura_NoFin!I105-Captura_NoFin!J105)&lt;=0.005*ABS(Captura_NoFin!H105),"OK","REVISAR"))</f>
        <v/>
      </c>
    </row>
    <row r="106" ht="15" customHeight="1" s="31">
      <c r="A106" s="51">
        <f>Captura_NoFin!A106</f>
        <v/>
      </c>
      <c r="B106" s="51">
        <f>Captura_NoFin!B106</f>
        <v/>
      </c>
      <c r="C106" s="51">
        <f>Captura_NoFin!C106</f>
        <v/>
      </c>
      <c r="D106" s="52">
        <f>Captura_NoFin!D106</f>
        <v/>
      </c>
      <c r="E106" s="53">
        <f>IF(COUNT(Captura_NoFin!M106,Captura_NoFin!L106)&lt;2,"",Captura_NoFin!M106+ABS(Captura_NoFin!L106))</f>
        <v/>
      </c>
      <c r="F106" s="54">
        <f>IF(COUNT(Captura_NoFin!F106,Captura_NoFin!G106)&lt;2,"",IFERROR(Captura_NoFin!F106/Captura_NoFin!G106,""))</f>
        <v/>
      </c>
      <c r="G106" s="55">
        <f>IF(COUNT(Captura_NoFin!F106,Captura_NoFin!G106,Captura_NoFin!H106)&lt;3,"",IFERROR((Captura_NoFin!F106-Captura_NoFin!G106)/Captura_NoFin!H106,""))</f>
        <v/>
      </c>
      <c r="H106" s="55">
        <f>IF(OR(E106="",COUNT(Captura_NoFin!K106)&lt;1),"",IFERROR(E106/Captura_NoFin!K106,""))</f>
        <v/>
      </c>
      <c r="I106" s="55">
        <f>IF(COUNT(Captura_NoFin!N106,Captura_NoFin!H106)&lt;2,"",IFERROR(Captura_NoFin!N106/Captura_NoFin!H106,""))</f>
        <v/>
      </c>
      <c r="J106" s="55">
        <f>IF(COUNT(Captura_NoFin!I106,Captura_NoFin!H106)&lt;2,"",IFERROR(Captura_NoFin!I106/Captura_NoFin!H106,""))</f>
        <v/>
      </c>
      <c r="K106" s="54">
        <f>IF(OR(E106="",COUNT(Captura_NoFin!L106)&lt;1),"",IFERROR(E106/ABS(Captura_NoFin!L106),""))</f>
        <v/>
      </c>
      <c r="L106" s="54">
        <f>IF(COUNT(Captura_NoFin!K106,Captura_NoFin!H106)&lt;2,"",IFERROR(Captura_NoFin!K106/Captura_NoFin!H106,""))</f>
        <v/>
      </c>
      <c r="M106" s="55">
        <f>IF(COUNT(Captura_NoFin!R106)&lt;1,"",IFERROR(IF(D106=2017,Captura_NoFin!R106/INDEX(Empresas!$I$2:$I$23,MATCH($A106,Empresas!$B$2:$B$23,0))-1,IF(COUNT(Captura_NoFin!R105)&lt;1,"",Captura_NoFin!R106/Captura_NoFin!R105-1)),""))</f>
        <v/>
      </c>
      <c r="N106" s="55">
        <f>IF(COUNT(Captura_NoFin!P106,Captura_NoFin!O106)&lt;2,"",IF(Captura_NoFin!O106&lt;=0,"",Captura_NoFin!P106/Captura_NoFin!O106))</f>
        <v/>
      </c>
      <c r="O106" s="56">
        <f>COUNT(F106:M106)</f>
        <v/>
      </c>
      <c r="P106" s="57">
        <f>IF(COUNT(Captura_NoFin!H106,Captura_NoFin!I106,Captura_NoFin!J106)&lt;3,"",IF(ABS(Captura_NoFin!H106-Captura_NoFin!I106-Captura_NoFin!J106)&lt;=0.005*ABS(Captura_NoFin!H106),"OK","REVISAR"))</f>
        <v/>
      </c>
    </row>
    <row r="107" ht="15" customHeight="1" s="31">
      <c r="A107" s="51">
        <f>Captura_NoFin!A107</f>
        <v/>
      </c>
      <c r="B107" s="51">
        <f>Captura_NoFin!B107</f>
        <v/>
      </c>
      <c r="C107" s="51">
        <f>Captura_NoFin!C107</f>
        <v/>
      </c>
      <c r="D107" s="52">
        <f>Captura_NoFin!D107</f>
        <v/>
      </c>
      <c r="E107" s="53">
        <f>IF(COUNT(Captura_NoFin!M107,Captura_NoFin!L107)&lt;2,"",Captura_NoFin!M107+ABS(Captura_NoFin!L107))</f>
        <v/>
      </c>
      <c r="F107" s="54">
        <f>IF(COUNT(Captura_NoFin!F107,Captura_NoFin!G107)&lt;2,"",IFERROR(Captura_NoFin!F107/Captura_NoFin!G107,""))</f>
        <v/>
      </c>
      <c r="G107" s="55">
        <f>IF(COUNT(Captura_NoFin!F107,Captura_NoFin!G107,Captura_NoFin!H107)&lt;3,"",IFERROR((Captura_NoFin!F107-Captura_NoFin!G107)/Captura_NoFin!H107,""))</f>
        <v/>
      </c>
      <c r="H107" s="55">
        <f>IF(OR(E107="",COUNT(Captura_NoFin!K107)&lt;1),"",IFERROR(E107/Captura_NoFin!K107,""))</f>
        <v/>
      </c>
      <c r="I107" s="55">
        <f>IF(COUNT(Captura_NoFin!N107,Captura_NoFin!H107)&lt;2,"",IFERROR(Captura_NoFin!N107/Captura_NoFin!H107,""))</f>
        <v/>
      </c>
      <c r="J107" s="55">
        <f>IF(COUNT(Captura_NoFin!I107,Captura_NoFin!H107)&lt;2,"",IFERROR(Captura_NoFin!I107/Captura_NoFin!H107,""))</f>
        <v/>
      </c>
      <c r="K107" s="54">
        <f>IF(OR(E107="",COUNT(Captura_NoFin!L107)&lt;1),"",IFERROR(E107/ABS(Captura_NoFin!L107),""))</f>
        <v/>
      </c>
      <c r="L107" s="54">
        <f>IF(COUNT(Captura_NoFin!K107,Captura_NoFin!H107)&lt;2,"",IFERROR(Captura_NoFin!K107/Captura_NoFin!H107,""))</f>
        <v/>
      </c>
      <c r="M107" s="55">
        <f>IF(COUNT(Captura_NoFin!R107)&lt;1,"",IFERROR(IF(D107=2017,Captura_NoFin!R107/INDEX(Empresas!$I$2:$I$23,MATCH($A107,Empresas!$B$2:$B$23,0))-1,IF(COUNT(Captura_NoFin!R106)&lt;1,"",Captura_NoFin!R107/Captura_NoFin!R106-1)),""))</f>
        <v/>
      </c>
      <c r="N107" s="55">
        <f>IF(COUNT(Captura_NoFin!P107,Captura_NoFin!O107)&lt;2,"",IF(Captura_NoFin!O107&lt;=0,"",Captura_NoFin!P107/Captura_NoFin!O107))</f>
        <v/>
      </c>
      <c r="O107" s="56">
        <f>COUNT(F107:M107)</f>
        <v/>
      </c>
      <c r="P107" s="57">
        <f>IF(COUNT(Captura_NoFin!H107,Captura_NoFin!I107,Captura_NoFin!J107)&lt;3,"",IF(ABS(Captura_NoFin!H107-Captura_NoFin!I107-Captura_NoFin!J107)&lt;=0.005*ABS(Captura_NoFin!H107),"OK","REVISAR"))</f>
        <v/>
      </c>
    </row>
    <row r="108" ht="15" customHeight="1" s="31">
      <c r="A108" s="51">
        <f>Captura_NoFin!A108</f>
        <v/>
      </c>
      <c r="B108" s="51">
        <f>Captura_NoFin!B108</f>
        <v/>
      </c>
      <c r="C108" s="51">
        <f>Captura_NoFin!C108</f>
        <v/>
      </c>
      <c r="D108" s="52">
        <f>Captura_NoFin!D108</f>
        <v/>
      </c>
      <c r="E108" s="53">
        <f>IF(COUNT(Captura_NoFin!M108,Captura_NoFin!L108)&lt;2,"",Captura_NoFin!M108+ABS(Captura_NoFin!L108))</f>
        <v/>
      </c>
      <c r="F108" s="54">
        <f>IF(COUNT(Captura_NoFin!F108,Captura_NoFin!G108)&lt;2,"",IFERROR(Captura_NoFin!F108/Captura_NoFin!G108,""))</f>
        <v/>
      </c>
      <c r="G108" s="55">
        <f>IF(COUNT(Captura_NoFin!F108,Captura_NoFin!G108,Captura_NoFin!H108)&lt;3,"",IFERROR((Captura_NoFin!F108-Captura_NoFin!G108)/Captura_NoFin!H108,""))</f>
        <v/>
      </c>
      <c r="H108" s="55">
        <f>IF(OR(E108="",COUNT(Captura_NoFin!K108)&lt;1),"",IFERROR(E108/Captura_NoFin!K108,""))</f>
        <v/>
      </c>
      <c r="I108" s="55">
        <f>IF(COUNT(Captura_NoFin!N108,Captura_NoFin!H108)&lt;2,"",IFERROR(Captura_NoFin!N108/Captura_NoFin!H108,""))</f>
        <v/>
      </c>
      <c r="J108" s="55">
        <f>IF(COUNT(Captura_NoFin!I108,Captura_NoFin!H108)&lt;2,"",IFERROR(Captura_NoFin!I108/Captura_NoFin!H108,""))</f>
        <v/>
      </c>
      <c r="K108" s="54">
        <f>IF(OR(E108="",COUNT(Captura_NoFin!L108)&lt;1),"",IFERROR(E108/ABS(Captura_NoFin!L108),""))</f>
        <v/>
      </c>
      <c r="L108" s="54">
        <f>IF(COUNT(Captura_NoFin!K108,Captura_NoFin!H108)&lt;2,"",IFERROR(Captura_NoFin!K108/Captura_NoFin!H108,""))</f>
        <v/>
      </c>
      <c r="M108" s="55">
        <f>IF(COUNT(Captura_NoFin!R108)&lt;1,"",IFERROR(IF(D108=2017,Captura_NoFin!R108/INDEX(Empresas!$I$2:$I$23,MATCH($A108,Empresas!$B$2:$B$23,0))-1,IF(COUNT(Captura_NoFin!R107)&lt;1,"",Captura_NoFin!R108/Captura_NoFin!R107-1)),""))</f>
        <v/>
      </c>
      <c r="N108" s="55">
        <f>IF(COUNT(Captura_NoFin!P108,Captura_NoFin!O108)&lt;2,"",IF(Captura_NoFin!O108&lt;=0,"",Captura_NoFin!P108/Captura_NoFin!O108))</f>
        <v/>
      </c>
      <c r="O108" s="56">
        <f>COUNT(F108:M108)</f>
        <v/>
      </c>
      <c r="P108" s="57">
        <f>IF(COUNT(Captura_NoFin!H108,Captura_NoFin!I108,Captura_NoFin!J108)&lt;3,"",IF(ABS(Captura_NoFin!H108-Captura_NoFin!I108-Captura_NoFin!J108)&lt;=0.005*ABS(Captura_NoFin!H108),"OK","REVISAR"))</f>
        <v/>
      </c>
    </row>
    <row r="109" ht="15" customHeight="1" s="31">
      <c r="A109" s="51">
        <f>Captura_NoFin!A109</f>
        <v/>
      </c>
      <c r="B109" s="51">
        <f>Captura_NoFin!B109</f>
        <v/>
      </c>
      <c r="C109" s="51">
        <f>Captura_NoFin!C109</f>
        <v/>
      </c>
      <c r="D109" s="52">
        <f>Captura_NoFin!D109</f>
        <v/>
      </c>
      <c r="E109" s="53">
        <f>IF(COUNT(Captura_NoFin!M109,Captura_NoFin!L109)&lt;2,"",Captura_NoFin!M109+ABS(Captura_NoFin!L109))</f>
        <v/>
      </c>
      <c r="F109" s="54">
        <f>IF(COUNT(Captura_NoFin!F109,Captura_NoFin!G109)&lt;2,"",IFERROR(Captura_NoFin!F109/Captura_NoFin!G109,""))</f>
        <v/>
      </c>
      <c r="G109" s="55">
        <f>IF(COUNT(Captura_NoFin!F109,Captura_NoFin!G109,Captura_NoFin!H109)&lt;3,"",IFERROR((Captura_NoFin!F109-Captura_NoFin!G109)/Captura_NoFin!H109,""))</f>
        <v/>
      </c>
      <c r="H109" s="55">
        <f>IF(OR(E109="",COUNT(Captura_NoFin!K109)&lt;1),"",IFERROR(E109/Captura_NoFin!K109,""))</f>
        <v/>
      </c>
      <c r="I109" s="55">
        <f>IF(COUNT(Captura_NoFin!N109,Captura_NoFin!H109)&lt;2,"",IFERROR(Captura_NoFin!N109/Captura_NoFin!H109,""))</f>
        <v/>
      </c>
      <c r="J109" s="55">
        <f>IF(COUNT(Captura_NoFin!I109,Captura_NoFin!H109)&lt;2,"",IFERROR(Captura_NoFin!I109/Captura_NoFin!H109,""))</f>
        <v/>
      </c>
      <c r="K109" s="54">
        <f>IF(OR(E109="",COUNT(Captura_NoFin!L109)&lt;1),"",IFERROR(E109/ABS(Captura_NoFin!L109),""))</f>
        <v/>
      </c>
      <c r="L109" s="54">
        <f>IF(COUNT(Captura_NoFin!K109,Captura_NoFin!H109)&lt;2,"",IFERROR(Captura_NoFin!K109/Captura_NoFin!H109,""))</f>
        <v/>
      </c>
      <c r="M109" s="55">
        <f>IF(COUNT(Captura_NoFin!R109)&lt;1,"",IFERROR(IF(D109=2017,Captura_NoFin!R109/INDEX(Empresas!$I$2:$I$23,MATCH($A109,Empresas!$B$2:$B$23,0))-1,IF(COUNT(Captura_NoFin!R108)&lt;1,"",Captura_NoFin!R109/Captura_NoFin!R108-1)),""))</f>
        <v/>
      </c>
      <c r="N109" s="55">
        <f>IF(COUNT(Captura_NoFin!P109,Captura_NoFin!O109)&lt;2,"",IF(Captura_NoFin!O109&lt;=0,"",Captura_NoFin!P109/Captura_NoFin!O109))</f>
        <v/>
      </c>
      <c r="O109" s="56">
        <f>COUNT(F109:M109)</f>
        <v/>
      </c>
      <c r="P109" s="57">
        <f>IF(COUNT(Captura_NoFin!H109,Captura_NoFin!I109,Captura_NoFin!J109)&lt;3,"",IF(ABS(Captura_NoFin!H109-Captura_NoFin!I109-Captura_NoFin!J109)&lt;=0.005*ABS(Captura_NoFin!H109),"OK","REVISAR"))</f>
        <v/>
      </c>
    </row>
    <row r="110" ht="15" customHeight="1" s="31">
      <c r="A110" s="51">
        <f>Captura_NoFin!A110</f>
        <v/>
      </c>
      <c r="B110" s="51">
        <f>Captura_NoFin!B110</f>
        <v/>
      </c>
      <c r="C110" s="51">
        <f>Captura_NoFin!C110</f>
        <v/>
      </c>
      <c r="D110" s="52">
        <f>Captura_NoFin!D110</f>
        <v/>
      </c>
      <c r="E110" s="53">
        <f>IF(COUNT(Captura_NoFin!M110,Captura_NoFin!L110)&lt;2,"",Captura_NoFin!M110+ABS(Captura_NoFin!L110))</f>
        <v/>
      </c>
      <c r="F110" s="54">
        <f>IF(COUNT(Captura_NoFin!F110,Captura_NoFin!G110)&lt;2,"",IFERROR(Captura_NoFin!F110/Captura_NoFin!G110,""))</f>
        <v/>
      </c>
      <c r="G110" s="55">
        <f>IF(COUNT(Captura_NoFin!F110,Captura_NoFin!G110,Captura_NoFin!H110)&lt;3,"",IFERROR((Captura_NoFin!F110-Captura_NoFin!G110)/Captura_NoFin!H110,""))</f>
        <v/>
      </c>
      <c r="H110" s="55">
        <f>IF(OR(E110="",COUNT(Captura_NoFin!K110)&lt;1),"",IFERROR(E110/Captura_NoFin!K110,""))</f>
        <v/>
      </c>
      <c r="I110" s="55">
        <f>IF(COUNT(Captura_NoFin!N110,Captura_NoFin!H110)&lt;2,"",IFERROR(Captura_NoFin!N110/Captura_NoFin!H110,""))</f>
        <v/>
      </c>
      <c r="J110" s="55">
        <f>IF(COUNT(Captura_NoFin!I110,Captura_NoFin!H110)&lt;2,"",IFERROR(Captura_NoFin!I110/Captura_NoFin!H110,""))</f>
        <v/>
      </c>
      <c r="K110" s="54">
        <f>IF(OR(E110="",COUNT(Captura_NoFin!L110)&lt;1),"",IFERROR(E110/ABS(Captura_NoFin!L110),""))</f>
        <v/>
      </c>
      <c r="L110" s="54">
        <f>IF(COUNT(Captura_NoFin!K110,Captura_NoFin!H110)&lt;2,"",IFERROR(Captura_NoFin!K110/Captura_NoFin!H110,""))</f>
        <v/>
      </c>
      <c r="M110" s="55">
        <f>IF(COUNT(Captura_NoFin!R110)&lt;1,"",IFERROR(IF(D110=2017,Captura_NoFin!R110/INDEX(Empresas!$I$2:$I$23,MATCH($A110,Empresas!$B$2:$B$23,0))-1,IF(COUNT(Captura_NoFin!R109)&lt;1,"",Captura_NoFin!R110/Captura_NoFin!R109-1)),""))</f>
        <v/>
      </c>
      <c r="N110" s="55">
        <f>IF(COUNT(Captura_NoFin!P110,Captura_NoFin!O110)&lt;2,"",IF(Captura_NoFin!O110&lt;=0,"",Captura_NoFin!P110/Captura_NoFin!O110))</f>
        <v/>
      </c>
      <c r="O110" s="56">
        <f>COUNT(F110:M110)</f>
        <v/>
      </c>
      <c r="P110" s="57">
        <f>IF(COUNT(Captura_NoFin!H110,Captura_NoFin!I110,Captura_NoFin!J110)&lt;3,"",IF(ABS(Captura_NoFin!H110-Captura_NoFin!I110-Captura_NoFin!J110)&lt;=0.005*ABS(Captura_NoFin!H110),"OK","REVISAR"))</f>
        <v/>
      </c>
    </row>
    <row r="111" ht="15" customHeight="1" s="31">
      <c r="A111" s="51">
        <f>Captura_NoFin!A111</f>
        <v/>
      </c>
      <c r="B111" s="51">
        <f>Captura_NoFin!B111</f>
        <v/>
      </c>
      <c r="C111" s="51">
        <f>Captura_NoFin!C111</f>
        <v/>
      </c>
      <c r="D111" s="52">
        <f>Captura_NoFin!D111</f>
        <v/>
      </c>
      <c r="E111" s="53">
        <f>IF(COUNT(Captura_NoFin!M111,Captura_NoFin!L111)&lt;2,"",Captura_NoFin!M111+ABS(Captura_NoFin!L111))</f>
        <v/>
      </c>
      <c r="F111" s="54">
        <f>IF(COUNT(Captura_NoFin!F111,Captura_NoFin!G111)&lt;2,"",IFERROR(Captura_NoFin!F111/Captura_NoFin!G111,""))</f>
        <v/>
      </c>
      <c r="G111" s="55">
        <f>IF(COUNT(Captura_NoFin!F111,Captura_NoFin!G111,Captura_NoFin!H111)&lt;3,"",IFERROR((Captura_NoFin!F111-Captura_NoFin!G111)/Captura_NoFin!H111,""))</f>
        <v/>
      </c>
      <c r="H111" s="55">
        <f>IF(OR(E111="",COUNT(Captura_NoFin!K111)&lt;1),"",IFERROR(E111/Captura_NoFin!K111,""))</f>
        <v/>
      </c>
      <c r="I111" s="55">
        <f>IF(COUNT(Captura_NoFin!N111,Captura_NoFin!H111)&lt;2,"",IFERROR(Captura_NoFin!N111/Captura_NoFin!H111,""))</f>
        <v/>
      </c>
      <c r="J111" s="55">
        <f>IF(COUNT(Captura_NoFin!I111,Captura_NoFin!H111)&lt;2,"",IFERROR(Captura_NoFin!I111/Captura_NoFin!H111,""))</f>
        <v/>
      </c>
      <c r="K111" s="54">
        <f>IF(OR(E111="",COUNT(Captura_NoFin!L111)&lt;1),"",IFERROR(E111/ABS(Captura_NoFin!L111),""))</f>
        <v/>
      </c>
      <c r="L111" s="54">
        <f>IF(COUNT(Captura_NoFin!K111,Captura_NoFin!H111)&lt;2,"",IFERROR(Captura_NoFin!K111/Captura_NoFin!H111,""))</f>
        <v/>
      </c>
      <c r="M111" s="55">
        <f>IF(COUNT(Captura_NoFin!R111)&lt;1,"",IFERROR(IF(D111=2017,Captura_NoFin!R111/INDEX(Empresas!$I$2:$I$23,MATCH($A111,Empresas!$B$2:$B$23,0))-1,IF(COUNT(Captura_NoFin!R110)&lt;1,"",Captura_NoFin!R111/Captura_NoFin!R110-1)),""))</f>
        <v/>
      </c>
      <c r="N111" s="55">
        <f>IF(COUNT(Captura_NoFin!P111,Captura_NoFin!O111)&lt;2,"",IF(Captura_NoFin!O111&lt;=0,"",Captura_NoFin!P111/Captura_NoFin!O111))</f>
        <v/>
      </c>
      <c r="O111" s="56">
        <f>COUNT(F111:M111)</f>
        <v/>
      </c>
      <c r="P111" s="57">
        <f>IF(COUNT(Captura_NoFin!H111,Captura_NoFin!I111,Captura_NoFin!J111)&lt;3,"",IF(ABS(Captura_NoFin!H111-Captura_NoFin!I111-Captura_NoFin!J111)&lt;=0.005*ABS(Captura_NoFin!H111),"OK","REVISAR"))</f>
        <v/>
      </c>
    </row>
    <row r="112" ht="15" customHeight="1" s="31">
      <c r="A112" s="51">
        <f>Captura_NoFin!A112</f>
        <v/>
      </c>
      <c r="B112" s="51">
        <f>Captura_NoFin!B112</f>
        <v/>
      </c>
      <c r="C112" s="51">
        <f>Captura_NoFin!C112</f>
        <v/>
      </c>
      <c r="D112" s="52">
        <f>Captura_NoFin!D112</f>
        <v/>
      </c>
      <c r="E112" s="53">
        <f>IF(COUNT(Captura_NoFin!M112,Captura_NoFin!L112)&lt;2,"",Captura_NoFin!M112+ABS(Captura_NoFin!L112))</f>
        <v/>
      </c>
      <c r="F112" s="54">
        <f>IF(COUNT(Captura_NoFin!F112,Captura_NoFin!G112)&lt;2,"",IFERROR(Captura_NoFin!F112/Captura_NoFin!G112,""))</f>
        <v/>
      </c>
      <c r="G112" s="55">
        <f>IF(COUNT(Captura_NoFin!F112,Captura_NoFin!G112,Captura_NoFin!H112)&lt;3,"",IFERROR((Captura_NoFin!F112-Captura_NoFin!G112)/Captura_NoFin!H112,""))</f>
        <v/>
      </c>
      <c r="H112" s="55">
        <f>IF(OR(E112="",COUNT(Captura_NoFin!K112)&lt;1),"",IFERROR(E112/Captura_NoFin!K112,""))</f>
        <v/>
      </c>
      <c r="I112" s="55">
        <f>IF(COUNT(Captura_NoFin!N112,Captura_NoFin!H112)&lt;2,"",IFERROR(Captura_NoFin!N112/Captura_NoFin!H112,""))</f>
        <v/>
      </c>
      <c r="J112" s="55">
        <f>IF(COUNT(Captura_NoFin!I112,Captura_NoFin!H112)&lt;2,"",IFERROR(Captura_NoFin!I112/Captura_NoFin!H112,""))</f>
        <v/>
      </c>
      <c r="K112" s="54">
        <f>IF(OR(E112="",COUNT(Captura_NoFin!L112)&lt;1),"",IFERROR(E112/ABS(Captura_NoFin!L112),""))</f>
        <v/>
      </c>
      <c r="L112" s="54">
        <f>IF(COUNT(Captura_NoFin!K112,Captura_NoFin!H112)&lt;2,"",IFERROR(Captura_NoFin!K112/Captura_NoFin!H112,""))</f>
        <v/>
      </c>
      <c r="M112" s="55">
        <f>IF(COUNT(Captura_NoFin!R112)&lt;1,"",IFERROR(IF(D112=2017,Captura_NoFin!R112/INDEX(Empresas!$I$2:$I$23,MATCH($A112,Empresas!$B$2:$B$23,0))-1,IF(COUNT(Captura_NoFin!R111)&lt;1,"",Captura_NoFin!R112/Captura_NoFin!R111-1)),""))</f>
        <v/>
      </c>
      <c r="N112" s="55">
        <f>IF(COUNT(Captura_NoFin!P112,Captura_NoFin!O112)&lt;2,"",IF(Captura_NoFin!O112&lt;=0,"",Captura_NoFin!P112/Captura_NoFin!O112))</f>
        <v/>
      </c>
      <c r="O112" s="56">
        <f>COUNT(F112:M112)</f>
        <v/>
      </c>
      <c r="P112" s="57">
        <f>IF(COUNT(Captura_NoFin!H112,Captura_NoFin!I112,Captura_NoFin!J112)&lt;3,"",IF(ABS(Captura_NoFin!H112-Captura_NoFin!I112-Captura_NoFin!J112)&lt;=0.005*ABS(Captura_NoFin!H112),"OK","REVISAR"))</f>
        <v/>
      </c>
    </row>
    <row r="113" ht="15" customHeight="1" s="31">
      <c r="A113" s="51">
        <f>Captura_NoFin!A113</f>
        <v/>
      </c>
      <c r="B113" s="51">
        <f>Captura_NoFin!B113</f>
        <v/>
      </c>
      <c r="C113" s="51">
        <f>Captura_NoFin!C113</f>
        <v/>
      </c>
      <c r="D113" s="52">
        <f>Captura_NoFin!D113</f>
        <v/>
      </c>
      <c r="E113" s="53">
        <f>IF(COUNT(Captura_NoFin!M113,Captura_NoFin!L113)&lt;2,"",Captura_NoFin!M113+ABS(Captura_NoFin!L113))</f>
        <v/>
      </c>
      <c r="F113" s="54">
        <f>IF(COUNT(Captura_NoFin!F113,Captura_NoFin!G113)&lt;2,"",IFERROR(Captura_NoFin!F113/Captura_NoFin!G113,""))</f>
        <v/>
      </c>
      <c r="G113" s="55">
        <f>IF(COUNT(Captura_NoFin!F113,Captura_NoFin!G113,Captura_NoFin!H113)&lt;3,"",IFERROR((Captura_NoFin!F113-Captura_NoFin!G113)/Captura_NoFin!H113,""))</f>
        <v/>
      </c>
      <c r="H113" s="55">
        <f>IF(OR(E113="",COUNT(Captura_NoFin!K113)&lt;1),"",IFERROR(E113/Captura_NoFin!K113,""))</f>
        <v/>
      </c>
      <c r="I113" s="55">
        <f>IF(COUNT(Captura_NoFin!N113,Captura_NoFin!H113)&lt;2,"",IFERROR(Captura_NoFin!N113/Captura_NoFin!H113,""))</f>
        <v/>
      </c>
      <c r="J113" s="55">
        <f>IF(COUNT(Captura_NoFin!I113,Captura_NoFin!H113)&lt;2,"",IFERROR(Captura_NoFin!I113/Captura_NoFin!H113,""))</f>
        <v/>
      </c>
      <c r="K113" s="54">
        <f>IF(OR(E113="",COUNT(Captura_NoFin!L113)&lt;1),"",IFERROR(E113/ABS(Captura_NoFin!L113),""))</f>
        <v/>
      </c>
      <c r="L113" s="54">
        <f>IF(COUNT(Captura_NoFin!K113,Captura_NoFin!H113)&lt;2,"",IFERROR(Captura_NoFin!K113/Captura_NoFin!H113,""))</f>
        <v/>
      </c>
      <c r="M113" s="55">
        <f>IF(COUNT(Captura_NoFin!R113)&lt;1,"",IFERROR(IF(D113=2017,Captura_NoFin!R113/INDEX(Empresas!$I$2:$I$23,MATCH($A113,Empresas!$B$2:$B$23,0))-1,IF(COUNT(Captura_NoFin!R112)&lt;1,"",Captura_NoFin!R113/Captura_NoFin!R112-1)),""))</f>
        <v/>
      </c>
      <c r="N113" s="55">
        <f>IF(COUNT(Captura_NoFin!P113,Captura_NoFin!O113)&lt;2,"",IF(Captura_NoFin!O113&lt;=0,"",Captura_NoFin!P113/Captura_NoFin!O113))</f>
        <v/>
      </c>
      <c r="O113" s="56">
        <f>COUNT(F113:M113)</f>
        <v/>
      </c>
      <c r="P113" s="57">
        <f>IF(COUNT(Captura_NoFin!H113,Captura_NoFin!I113,Captura_NoFin!J113)&lt;3,"",IF(ABS(Captura_NoFin!H113-Captura_NoFin!I113-Captura_NoFin!J113)&lt;=0.005*ABS(Captura_NoFin!H113),"OK","REVISAR"))</f>
        <v/>
      </c>
    </row>
    <row r="114" ht="15" customHeight="1" s="31">
      <c r="A114" s="51">
        <f>Captura_NoFin!A114</f>
        <v/>
      </c>
      <c r="B114" s="51">
        <f>Captura_NoFin!B114</f>
        <v/>
      </c>
      <c r="C114" s="51">
        <f>Captura_NoFin!C114</f>
        <v/>
      </c>
      <c r="D114" s="52">
        <f>Captura_NoFin!D114</f>
        <v/>
      </c>
      <c r="E114" s="53">
        <f>IF(COUNT(Captura_NoFin!M114,Captura_NoFin!L114)&lt;2,"",Captura_NoFin!M114+ABS(Captura_NoFin!L114))</f>
        <v/>
      </c>
      <c r="F114" s="54">
        <f>IF(COUNT(Captura_NoFin!F114,Captura_NoFin!G114)&lt;2,"",IFERROR(Captura_NoFin!F114/Captura_NoFin!G114,""))</f>
        <v/>
      </c>
      <c r="G114" s="55">
        <f>IF(COUNT(Captura_NoFin!F114,Captura_NoFin!G114,Captura_NoFin!H114)&lt;3,"",IFERROR((Captura_NoFin!F114-Captura_NoFin!G114)/Captura_NoFin!H114,""))</f>
        <v/>
      </c>
      <c r="H114" s="55">
        <f>IF(OR(E114="",COUNT(Captura_NoFin!K114)&lt;1),"",IFERROR(E114/Captura_NoFin!K114,""))</f>
        <v/>
      </c>
      <c r="I114" s="55">
        <f>IF(COUNT(Captura_NoFin!N114,Captura_NoFin!H114)&lt;2,"",IFERROR(Captura_NoFin!N114/Captura_NoFin!H114,""))</f>
        <v/>
      </c>
      <c r="J114" s="55">
        <f>IF(COUNT(Captura_NoFin!I114,Captura_NoFin!H114)&lt;2,"",IFERROR(Captura_NoFin!I114/Captura_NoFin!H114,""))</f>
        <v/>
      </c>
      <c r="K114" s="54">
        <f>IF(OR(E114="",COUNT(Captura_NoFin!L114)&lt;1),"",IFERROR(E114/ABS(Captura_NoFin!L114),""))</f>
        <v/>
      </c>
      <c r="L114" s="54">
        <f>IF(COUNT(Captura_NoFin!K114,Captura_NoFin!H114)&lt;2,"",IFERROR(Captura_NoFin!K114/Captura_NoFin!H114,""))</f>
        <v/>
      </c>
      <c r="M114" s="55">
        <f>IF(COUNT(Captura_NoFin!R114)&lt;1,"",IFERROR(IF(D114=2017,Captura_NoFin!R114/INDEX(Empresas!$I$2:$I$23,MATCH($A114,Empresas!$B$2:$B$23,0))-1,IF(COUNT(Captura_NoFin!R113)&lt;1,"",Captura_NoFin!R114/Captura_NoFin!R113-1)),""))</f>
        <v/>
      </c>
      <c r="N114" s="55">
        <f>IF(COUNT(Captura_NoFin!P114,Captura_NoFin!O114)&lt;2,"",IF(Captura_NoFin!O114&lt;=0,"",Captura_NoFin!P114/Captura_NoFin!O114))</f>
        <v/>
      </c>
      <c r="O114" s="56">
        <f>COUNT(F114:M114)</f>
        <v/>
      </c>
      <c r="P114" s="57">
        <f>IF(COUNT(Captura_NoFin!H114,Captura_NoFin!I114,Captura_NoFin!J114)&lt;3,"",IF(ABS(Captura_NoFin!H114-Captura_NoFin!I114-Captura_NoFin!J114)&lt;=0.005*ABS(Captura_NoFin!H114),"OK","REVISAR"))</f>
        <v/>
      </c>
    </row>
    <row r="115" ht="15" customHeight="1" s="31">
      <c r="A115" s="51">
        <f>Captura_NoFin!A115</f>
        <v/>
      </c>
      <c r="B115" s="51">
        <f>Captura_NoFin!B115</f>
        <v/>
      </c>
      <c r="C115" s="51">
        <f>Captura_NoFin!C115</f>
        <v/>
      </c>
      <c r="D115" s="52">
        <f>Captura_NoFin!D115</f>
        <v/>
      </c>
      <c r="E115" s="53">
        <f>IF(COUNT(Captura_NoFin!M115,Captura_NoFin!L115)&lt;2,"",Captura_NoFin!M115+ABS(Captura_NoFin!L115))</f>
        <v/>
      </c>
      <c r="F115" s="54">
        <f>IF(COUNT(Captura_NoFin!F115,Captura_NoFin!G115)&lt;2,"",IFERROR(Captura_NoFin!F115/Captura_NoFin!G115,""))</f>
        <v/>
      </c>
      <c r="G115" s="55">
        <f>IF(COUNT(Captura_NoFin!F115,Captura_NoFin!G115,Captura_NoFin!H115)&lt;3,"",IFERROR((Captura_NoFin!F115-Captura_NoFin!G115)/Captura_NoFin!H115,""))</f>
        <v/>
      </c>
      <c r="H115" s="55">
        <f>IF(OR(E115="",COUNT(Captura_NoFin!K115)&lt;1),"",IFERROR(E115/Captura_NoFin!K115,""))</f>
        <v/>
      </c>
      <c r="I115" s="55">
        <f>IF(COUNT(Captura_NoFin!N115,Captura_NoFin!H115)&lt;2,"",IFERROR(Captura_NoFin!N115/Captura_NoFin!H115,""))</f>
        <v/>
      </c>
      <c r="J115" s="55">
        <f>IF(COUNT(Captura_NoFin!I115,Captura_NoFin!H115)&lt;2,"",IFERROR(Captura_NoFin!I115/Captura_NoFin!H115,""))</f>
        <v/>
      </c>
      <c r="K115" s="54">
        <f>IF(OR(E115="",COUNT(Captura_NoFin!L115)&lt;1),"",IFERROR(E115/ABS(Captura_NoFin!L115),""))</f>
        <v/>
      </c>
      <c r="L115" s="54">
        <f>IF(COUNT(Captura_NoFin!K115,Captura_NoFin!H115)&lt;2,"",IFERROR(Captura_NoFin!K115/Captura_NoFin!H115,""))</f>
        <v/>
      </c>
      <c r="M115" s="55">
        <f>IF(COUNT(Captura_NoFin!R115)&lt;1,"",IFERROR(IF(D115=2017,Captura_NoFin!R115/INDEX(Empresas!$I$2:$I$23,MATCH($A115,Empresas!$B$2:$B$23,0))-1,IF(COUNT(Captura_NoFin!R114)&lt;1,"",Captura_NoFin!R115/Captura_NoFin!R114-1)),""))</f>
        <v/>
      </c>
      <c r="N115" s="55">
        <f>IF(COUNT(Captura_NoFin!P115,Captura_NoFin!O115)&lt;2,"",IF(Captura_NoFin!O115&lt;=0,"",Captura_NoFin!P115/Captura_NoFin!O115))</f>
        <v/>
      </c>
      <c r="O115" s="56">
        <f>COUNT(F115:M115)</f>
        <v/>
      </c>
      <c r="P115" s="57">
        <f>IF(COUNT(Captura_NoFin!H115,Captura_NoFin!I115,Captura_NoFin!J115)&lt;3,"",IF(ABS(Captura_NoFin!H115-Captura_NoFin!I115-Captura_NoFin!J115)&lt;=0.005*ABS(Captura_NoFin!H115),"OK","REVISAR"))</f>
        <v/>
      </c>
    </row>
    <row r="116" ht="15" customHeight="1" s="31">
      <c r="A116" s="51">
        <f>Captura_NoFin!A116</f>
        <v/>
      </c>
      <c r="B116" s="51">
        <f>Captura_NoFin!B116</f>
        <v/>
      </c>
      <c r="C116" s="51">
        <f>Captura_NoFin!C116</f>
        <v/>
      </c>
      <c r="D116" s="52">
        <f>Captura_NoFin!D116</f>
        <v/>
      </c>
      <c r="E116" s="53">
        <f>IF(COUNT(Captura_NoFin!M116,Captura_NoFin!L116)&lt;2,"",Captura_NoFin!M116+ABS(Captura_NoFin!L116))</f>
        <v/>
      </c>
      <c r="F116" s="54">
        <f>IF(COUNT(Captura_NoFin!F116,Captura_NoFin!G116)&lt;2,"",IFERROR(Captura_NoFin!F116/Captura_NoFin!G116,""))</f>
        <v/>
      </c>
      <c r="G116" s="55">
        <f>IF(COUNT(Captura_NoFin!F116,Captura_NoFin!G116,Captura_NoFin!H116)&lt;3,"",IFERROR((Captura_NoFin!F116-Captura_NoFin!G116)/Captura_NoFin!H116,""))</f>
        <v/>
      </c>
      <c r="H116" s="55">
        <f>IF(OR(E116="",COUNT(Captura_NoFin!K116)&lt;1),"",IFERROR(E116/Captura_NoFin!K116,""))</f>
        <v/>
      </c>
      <c r="I116" s="55">
        <f>IF(COUNT(Captura_NoFin!N116,Captura_NoFin!H116)&lt;2,"",IFERROR(Captura_NoFin!N116/Captura_NoFin!H116,""))</f>
        <v/>
      </c>
      <c r="J116" s="55">
        <f>IF(COUNT(Captura_NoFin!I116,Captura_NoFin!H116)&lt;2,"",IFERROR(Captura_NoFin!I116/Captura_NoFin!H116,""))</f>
        <v/>
      </c>
      <c r="K116" s="54">
        <f>IF(OR(E116="",COUNT(Captura_NoFin!L116)&lt;1),"",IFERROR(E116/ABS(Captura_NoFin!L116),""))</f>
        <v/>
      </c>
      <c r="L116" s="54">
        <f>IF(COUNT(Captura_NoFin!K116,Captura_NoFin!H116)&lt;2,"",IFERROR(Captura_NoFin!K116/Captura_NoFin!H116,""))</f>
        <v/>
      </c>
      <c r="M116" s="55">
        <f>IF(COUNT(Captura_NoFin!R116)&lt;1,"",IFERROR(IF(D116=2017,Captura_NoFin!R116/INDEX(Empresas!$I$2:$I$23,MATCH($A116,Empresas!$B$2:$B$23,0))-1,IF(COUNT(Captura_NoFin!R115)&lt;1,"",Captura_NoFin!R116/Captura_NoFin!R115-1)),""))</f>
        <v/>
      </c>
      <c r="N116" s="55">
        <f>IF(COUNT(Captura_NoFin!P116,Captura_NoFin!O116)&lt;2,"",IF(Captura_NoFin!O116&lt;=0,"",Captura_NoFin!P116/Captura_NoFin!O116))</f>
        <v/>
      </c>
      <c r="O116" s="56">
        <f>COUNT(F116:M116)</f>
        <v/>
      </c>
      <c r="P116" s="57">
        <f>IF(COUNT(Captura_NoFin!H116,Captura_NoFin!I116,Captura_NoFin!J116)&lt;3,"",IF(ABS(Captura_NoFin!H116-Captura_NoFin!I116-Captura_NoFin!J116)&lt;=0.005*ABS(Captura_NoFin!H116),"OK","REVISAR"))</f>
        <v/>
      </c>
    </row>
    <row r="117" ht="15" customHeight="1" s="31">
      <c r="A117" s="51">
        <f>Captura_NoFin!A117</f>
        <v/>
      </c>
      <c r="B117" s="51">
        <f>Captura_NoFin!B117</f>
        <v/>
      </c>
      <c r="C117" s="51">
        <f>Captura_NoFin!C117</f>
        <v/>
      </c>
      <c r="D117" s="52">
        <f>Captura_NoFin!D117</f>
        <v/>
      </c>
      <c r="E117" s="53">
        <f>IF(COUNT(Captura_NoFin!M117,Captura_NoFin!L117)&lt;2,"",Captura_NoFin!M117+ABS(Captura_NoFin!L117))</f>
        <v/>
      </c>
      <c r="F117" s="54">
        <f>IF(COUNT(Captura_NoFin!F117,Captura_NoFin!G117)&lt;2,"",IFERROR(Captura_NoFin!F117/Captura_NoFin!G117,""))</f>
        <v/>
      </c>
      <c r="G117" s="55">
        <f>IF(COUNT(Captura_NoFin!F117,Captura_NoFin!G117,Captura_NoFin!H117)&lt;3,"",IFERROR((Captura_NoFin!F117-Captura_NoFin!G117)/Captura_NoFin!H117,""))</f>
        <v/>
      </c>
      <c r="H117" s="55">
        <f>IF(OR(E117="",COUNT(Captura_NoFin!K117)&lt;1),"",IFERROR(E117/Captura_NoFin!K117,""))</f>
        <v/>
      </c>
      <c r="I117" s="55">
        <f>IF(COUNT(Captura_NoFin!N117,Captura_NoFin!H117)&lt;2,"",IFERROR(Captura_NoFin!N117/Captura_NoFin!H117,""))</f>
        <v/>
      </c>
      <c r="J117" s="55">
        <f>IF(COUNT(Captura_NoFin!I117,Captura_NoFin!H117)&lt;2,"",IFERROR(Captura_NoFin!I117/Captura_NoFin!H117,""))</f>
        <v/>
      </c>
      <c r="K117" s="54">
        <f>IF(OR(E117="",COUNT(Captura_NoFin!L117)&lt;1),"",IFERROR(E117/ABS(Captura_NoFin!L117),""))</f>
        <v/>
      </c>
      <c r="L117" s="54">
        <f>IF(COUNT(Captura_NoFin!K117,Captura_NoFin!H117)&lt;2,"",IFERROR(Captura_NoFin!K117/Captura_NoFin!H117,""))</f>
        <v/>
      </c>
      <c r="M117" s="55">
        <f>IF(COUNT(Captura_NoFin!R117)&lt;1,"",IFERROR(IF(D117=2017,Captura_NoFin!R117/INDEX(Empresas!$I$2:$I$23,MATCH($A117,Empresas!$B$2:$B$23,0))-1,IF(COUNT(Captura_NoFin!R116)&lt;1,"",Captura_NoFin!R117/Captura_NoFin!R116-1)),""))</f>
        <v/>
      </c>
      <c r="N117" s="55">
        <f>IF(COUNT(Captura_NoFin!P117,Captura_NoFin!O117)&lt;2,"",IF(Captura_NoFin!O117&lt;=0,"",Captura_NoFin!P117/Captura_NoFin!O117))</f>
        <v/>
      </c>
      <c r="O117" s="56">
        <f>COUNT(F117:M117)</f>
        <v/>
      </c>
      <c r="P117" s="57">
        <f>IF(COUNT(Captura_NoFin!H117,Captura_NoFin!I117,Captura_NoFin!J117)&lt;3,"",IF(ABS(Captura_NoFin!H117-Captura_NoFin!I117-Captura_NoFin!J117)&lt;=0.005*ABS(Captura_NoFin!H117),"OK","REVISAR"))</f>
        <v/>
      </c>
    </row>
    <row r="118" ht="15" customHeight="1" s="31">
      <c r="A118" s="51">
        <f>Captura_NoFin!A118</f>
        <v/>
      </c>
      <c r="B118" s="51">
        <f>Captura_NoFin!B118</f>
        <v/>
      </c>
      <c r="C118" s="51">
        <f>Captura_NoFin!C118</f>
        <v/>
      </c>
      <c r="D118" s="52">
        <f>Captura_NoFin!D118</f>
        <v/>
      </c>
      <c r="E118" s="53">
        <f>IF(COUNT(Captura_NoFin!M118,Captura_NoFin!L118)&lt;2,"",Captura_NoFin!M118+ABS(Captura_NoFin!L118))</f>
        <v/>
      </c>
      <c r="F118" s="54">
        <f>IF(COUNT(Captura_NoFin!F118,Captura_NoFin!G118)&lt;2,"",IFERROR(Captura_NoFin!F118/Captura_NoFin!G118,""))</f>
        <v/>
      </c>
      <c r="G118" s="55">
        <f>IF(COUNT(Captura_NoFin!F118,Captura_NoFin!G118,Captura_NoFin!H118)&lt;3,"",IFERROR((Captura_NoFin!F118-Captura_NoFin!G118)/Captura_NoFin!H118,""))</f>
        <v/>
      </c>
      <c r="H118" s="55">
        <f>IF(OR(E118="",COUNT(Captura_NoFin!K118)&lt;1),"",IFERROR(E118/Captura_NoFin!K118,""))</f>
        <v/>
      </c>
      <c r="I118" s="55">
        <f>IF(COUNT(Captura_NoFin!N118,Captura_NoFin!H118)&lt;2,"",IFERROR(Captura_NoFin!N118/Captura_NoFin!H118,""))</f>
        <v/>
      </c>
      <c r="J118" s="55">
        <f>IF(COUNT(Captura_NoFin!I118,Captura_NoFin!H118)&lt;2,"",IFERROR(Captura_NoFin!I118/Captura_NoFin!H118,""))</f>
        <v/>
      </c>
      <c r="K118" s="54">
        <f>IF(OR(E118="",COUNT(Captura_NoFin!L118)&lt;1),"",IFERROR(E118/ABS(Captura_NoFin!L118),""))</f>
        <v/>
      </c>
      <c r="L118" s="54">
        <f>IF(COUNT(Captura_NoFin!K118,Captura_NoFin!H118)&lt;2,"",IFERROR(Captura_NoFin!K118/Captura_NoFin!H118,""))</f>
        <v/>
      </c>
      <c r="M118" s="55">
        <f>IF(COUNT(Captura_NoFin!R118)&lt;1,"",IFERROR(IF(D118=2017,Captura_NoFin!R118/INDEX(Empresas!$I$2:$I$23,MATCH($A118,Empresas!$B$2:$B$23,0))-1,IF(COUNT(Captura_NoFin!R117)&lt;1,"",Captura_NoFin!R118/Captura_NoFin!R117-1)),""))</f>
        <v/>
      </c>
      <c r="N118" s="55">
        <f>IF(COUNT(Captura_NoFin!P118,Captura_NoFin!O118)&lt;2,"",IF(Captura_NoFin!O118&lt;=0,"",Captura_NoFin!P118/Captura_NoFin!O118))</f>
        <v/>
      </c>
      <c r="O118" s="56">
        <f>COUNT(F118:M118)</f>
        <v/>
      </c>
      <c r="P118" s="57">
        <f>IF(COUNT(Captura_NoFin!H118,Captura_NoFin!I118,Captura_NoFin!J118)&lt;3,"",IF(ABS(Captura_NoFin!H118-Captura_NoFin!I118-Captura_NoFin!J118)&lt;=0.005*ABS(Captura_NoFin!H118),"OK","REVISAR"))</f>
        <v/>
      </c>
    </row>
    <row r="119" ht="15" customHeight="1" s="31">
      <c r="A119" s="51">
        <f>Captura_NoFin!A119</f>
        <v/>
      </c>
      <c r="B119" s="51">
        <f>Captura_NoFin!B119</f>
        <v/>
      </c>
      <c r="C119" s="51">
        <f>Captura_NoFin!C119</f>
        <v/>
      </c>
      <c r="D119" s="52">
        <f>Captura_NoFin!D119</f>
        <v/>
      </c>
      <c r="E119" s="53">
        <f>IF(COUNT(Captura_NoFin!M119,Captura_NoFin!L119)&lt;2,"",Captura_NoFin!M119+ABS(Captura_NoFin!L119))</f>
        <v/>
      </c>
      <c r="F119" s="54">
        <f>IF(COUNT(Captura_NoFin!F119,Captura_NoFin!G119)&lt;2,"",IFERROR(Captura_NoFin!F119/Captura_NoFin!G119,""))</f>
        <v/>
      </c>
      <c r="G119" s="55">
        <f>IF(COUNT(Captura_NoFin!F119,Captura_NoFin!G119,Captura_NoFin!H119)&lt;3,"",IFERROR((Captura_NoFin!F119-Captura_NoFin!G119)/Captura_NoFin!H119,""))</f>
        <v/>
      </c>
      <c r="H119" s="55">
        <f>IF(OR(E119="",COUNT(Captura_NoFin!K119)&lt;1),"",IFERROR(E119/Captura_NoFin!K119,""))</f>
        <v/>
      </c>
      <c r="I119" s="55">
        <f>IF(COUNT(Captura_NoFin!N119,Captura_NoFin!H119)&lt;2,"",IFERROR(Captura_NoFin!N119/Captura_NoFin!H119,""))</f>
        <v/>
      </c>
      <c r="J119" s="55">
        <f>IF(COUNT(Captura_NoFin!I119,Captura_NoFin!H119)&lt;2,"",IFERROR(Captura_NoFin!I119/Captura_NoFin!H119,""))</f>
        <v/>
      </c>
      <c r="K119" s="54">
        <f>IF(OR(E119="",COUNT(Captura_NoFin!L119)&lt;1),"",IFERROR(E119/ABS(Captura_NoFin!L119),""))</f>
        <v/>
      </c>
      <c r="L119" s="54">
        <f>IF(COUNT(Captura_NoFin!K119,Captura_NoFin!H119)&lt;2,"",IFERROR(Captura_NoFin!K119/Captura_NoFin!H119,""))</f>
        <v/>
      </c>
      <c r="M119" s="55">
        <f>IF(COUNT(Captura_NoFin!R119)&lt;1,"",IFERROR(IF(D119=2017,Captura_NoFin!R119/INDEX(Empresas!$I$2:$I$23,MATCH($A119,Empresas!$B$2:$B$23,0))-1,IF(COUNT(Captura_NoFin!R118)&lt;1,"",Captura_NoFin!R119/Captura_NoFin!R118-1)),""))</f>
        <v/>
      </c>
      <c r="N119" s="55">
        <f>IF(COUNT(Captura_NoFin!P119,Captura_NoFin!O119)&lt;2,"",IF(Captura_NoFin!O119&lt;=0,"",Captura_NoFin!P119/Captura_NoFin!O119))</f>
        <v/>
      </c>
      <c r="O119" s="56">
        <f>COUNT(F119:M119)</f>
        <v/>
      </c>
      <c r="P119" s="57">
        <f>IF(COUNT(Captura_NoFin!H119,Captura_NoFin!I119,Captura_NoFin!J119)&lt;3,"",IF(ABS(Captura_NoFin!H119-Captura_NoFin!I119-Captura_NoFin!J119)&lt;=0.005*ABS(Captura_NoFin!H119),"OK","REVISAR"))</f>
        <v/>
      </c>
    </row>
    <row r="120" ht="15" customHeight="1" s="31">
      <c r="A120" s="51">
        <f>Captura_NoFin!A120</f>
        <v/>
      </c>
      <c r="B120" s="51">
        <f>Captura_NoFin!B120</f>
        <v/>
      </c>
      <c r="C120" s="51">
        <f>Captura_NoFin!C120</f>
        <v/>
      </c>
      <c r="D120" s="52">
        <f>Captura_NoFin!D120</f>
        <v/>
      </c>
      <c r="E120" s="53">
        <f>IF(COUNT(Captura_NoFin!M120,Captura_NoFin!L120)&lt;2,"",Captura_NoFin!M120+ABS(Captura_NoFin!L120))</f>
        <v/>
      </c>
      <c r="F120" s="54">
        <f>IF(COUNT(Captura_NoFin!F120,Captura_NoFin!G120)&lt;2,"",IFERROR(Captura_NoFin!F120/Captura_NoFin!G120,""))</f>
        <v/>
      </c>
      <c r="G120" s="55">
        <f>IF(COUNT(Captura_NoFin!F120,Captura_NoFin!G120,Captura_NoFin!H120)&lt;3,"",IFERROR((Captura_NoFin!F120-Captura_NoFin!G120)/Captura_NoFin!H120,""))</f>
        <v/>
      </c>
      <c r="H120" s="55">
        <f>IF(OR(E120="",COUNT(Captura_NoFin!K120)&lt;1),"",IFERROR(E120/Captura_NoFin!K120,""))</f>
        <v/>
      </c>
      <c r="I120" s="55">
        <f>IF(COUNT(Captura_NoFin!N120,Captura_NoFin!H120)&lt;2,"",IFERROR(Captura_NoFin!N120/Captura_NoFin!H120,""))</f>
        <v/>
      </c>
      <c r="J120" s="55">
        <f>IF(COUNT(Captura_NoFin!I120,Captura_NoFin!H120)&lt;2,"",IFERROR(Captura_NoFin!I120/Captura_NoFin!H120,""))</f>
        <v/>
      </c>
      <c r="K120" s="54">
        <f>IF(OR(E120="",COUNT(Captura_NoFin!L120)&lt;1),"",IFERROR(E120/ABS(Captura_NoFin!L120),""))</f>
        <v/>
      </c>
      <c r="L120" s="54">
        <f>IF(COUNT(Captura_NoFin!K120,Captura_NoFin!H120)&lt;2,"",IFERROR(Captura_NoFin!K120/Captura_NoFin!H120,""))</f>
        <v/>
      </c>
      <c r="M120" s="55">
        <f>IF(COUNT(Captura_NoFin!R120)&lt;1,"",IFERROR(IF(D120=2017,Captura_NoFin!R120/INDEX(Empresas!$I$2:$I$23,MATCH($A120,Empresas!$B$2:$B$23,0))-1,IF(COUNT(Captura_NoFin!R119)&lt;1,"",Captura_NoFin!R120/Captura_NoFin!R119-1)),""))</f>
        <v/>
      </c>
      <c r="N120" s="55">
        <f>IF(COUNT(Captura_NoFin!P120,Captura_NoFin!O120)&lt;2,"",IF(Captura_NoFin!O120&lt;=0,"",Captura_NoFin!P120/Captura_NoFin!O120))</f>
        <v/>
      </c>
      <c r="O120" s="56">
        <f>COUNT(F120:M120)</f>
        <v/>
      </c>
      <c r="P120" s="57">
        <f>IF(COUNT(Captura_NoFin!H120,Captura_NoFin!I120,Captura_NoFin!J120)&lt;3,"",IF(ABS(Captura_NoFin!H120-Captura_NoFin!I120-Captura_NoFin!J120)&lt;=0.005*ABS(Captura_NoFin!H120),"OK","REVISAR"))</f>
        <v/>
      </c>
    </row>
    <row r="121" ht="15" customHeight="1" s="31">
      <c r="A121" s="51">
        <f>Captura_NoFin!A121</f>
        <v/>
      </c>
      <c r="B121" s="51">
        <f>Captura_NoFin!B121</f>
        <v/>
      </c>
      <c r="C121" s="51">
        <f>Captura_NoFin!C121</f>
        <v/>
      </c>
      <c r="D121" s="52">
        <f>Captura_NoFin!D121</f>
        <v/>
      </c>
      <c r="E121" s="53">
        <f>IF(COUNT(Captura_NoFin!M121,Captura_NoFin!L121)&lt;2,"",Captura_NoFin!M121+ABS(Captura_NoFin!L121))</f>
        <v/>
      </c>
      <c r="F121" s="54">
        <f>IF(COUNT(Captura_NoFin!F121,Captura_NoFin!G121)&lt;2,"",IFERROR(Captura_NoFin!F121/Captura_NoFin!G121,""))</f>
        <v/>
      </c>
      <c r="G121" s="55">
        <f>IF(COUNT(Captura_NoFin!F121,Captura_NoFin!G121,Captura_NoFin!H121)&lt;3,"",IFERROR((Captura_NoFin!F121-Captura_NoFin!G121)/Captura_NoFin!H121,""))</f>
        <v/>
      </c>
      <c r="H121" s="55">
        <f>IF(OR(E121="",COUNT(Captura_NoFin!K121)&lt;1),"",IFERROR(E121/Captura_NoFin!K121,""))</f>
        <v/>
      </c>
      <c r="I121" s="55">
        <f>IF(COUNT(Captura_NoFin!N121,Captura_NoFin!H121)&lt;2,"",IFERROR(Captura_NoFin!N121/Captura_NoFin!H121,""))</f>
        <v/>
      </c>
      <c r="J121" s="55">
        <f>IF(COUNT(Captura_NoFin!I121,Captura_NoFin!H121)&lt;2,"",IFERROR(Captura_NoFin!I121/Captura_NoFin!H121,""))</f>
        <v/>
      </c>
      <c r="K121" s="54">
        <f>IF(OR(E121="",COUNT(Captura_NoFin!L121)&lt;1),"",IFERROR(E121/ABS(Captura_NoFin!L121),""))</f>
        <v/>
      </c>
      <c r="L121" s="54">
        <f>IF(COUNT(Captura_NoFin!K121,Captura_NoFin!H121)&lt;2,"",IFERROR(Captura_NoFin!K121/Captura_NoFin!H121,""))</f>
        <v/>
      </c>
      <c r="M121" s="55">
        <f>IF(COUNT(Captura_NoFin!R121)&lt;1,"",IFERROR(IF(D121=2017,Captura_NoFin!R121/INDEX(Empresas!$I$2:$I$23,MATCH($A121,Empresas!$B$2:$B$23,0))-1,IF(COUNT(Captura_NoFin!R120)&lt;1,"",Captura_NoFin!R121/Captura_NoFin!R120-1)),""))</f>
        <v/>
      </c>
      <c r="N121" s="55">
        <f>IF(COUNT(Captura_NoFin!P121,Captura_NoFin!O121)&lt;2,"",IF(Captura_NoFin!O121&lt;=0,"",Captura_NoFin!P121/Captura_NoFin!O121))</f>
        <v/>
      </c>
      <c r="O121" s="56">
        <f>COUNT(F121:M121)</f>
        <v/>
      </c>
      <c r="P121" s="57">
        <f>IF(COUNT(Captura_NoFin!H121,Captura_NoFin!I121,Captura_NoFin!J121)&lt;3,"",IF(ABS(Captura_NoFin!H121-Captura_NoFin!I121-Captura_NoFin!J121)&lt;=0.005*ABS(Captura_NoFin!H121),"OK","REVISAR"))</f>
        <v/>
      </c>
    </row>
    <row r="122" ht="15" customHeight="1" s="31">
      <c r="A122" s="51">
        <f>Captura_NoFin!A122</f>
        <v/>
      </c>
      <c r="B122" s="51">
        <f>Captura_NoFin!B122</f>
        <v/>
      </c>
      <c r="C122" s="51">
        <f>Captura_NoFin!C122</f>
        <v/>
      </c>
      <c r="D122" s="52">
        <f>Captura_NoFin!D122</f>
        <v/>
      </c>
      <c r="E122" s="53">
        <f>IF(COUNT(Captura_NoFin!M122,Captura_NoFin!L122)&lt;2,"",Captura_NoFin!M122+ABS(Captura_NoFin!L122))</f>
        <v/>
      </c>
      <c r="F122" s="54">
        <f>IF(COUNT(Captura_NoFin!F122,Captura_NoFin!G122)&lt;2,"",IFERROR(Captura_NoFin!F122/Captura_NoFin!G122,""))</f>
        <v/>
      </c>
      <c r="G122" s="55">
        <f>IF(COUNT(Captura_NoFin!F122,Captura_NoFin!G122,Captura_NoFin!H122)&lt;3,"",IFERROR((Captura_NoFin!F122-Captura_NoFin!G122)/Captura_NoFin!H122,""))</f>
        <v/>
      </c>
      <c r="H122" s="55">
        <f>IF(OR(E122="",COUNT(Captura_NoFin!K122)&lt;1),"",IFERROR(E122/Captura_NoFin!K122,""))</f>
        <v/>
      </c>
      <c r="I122" s="55">
        <f>IF(COUNT(Captura_NoFin!N122,Captura_NoFin!H122)&lt;2,"",IFERROR(Captura_NoFin!N122/Captura_NoFin!H122,""))</f>
        <v/>
      </c>
      <c r="J122" s="55">
        <f>IF(COUNT(Captura_NoFin!I122,Captura_NoFin!H122)&lt;2,"",IFERROR(Captura_NoFin!I122/Captura_NoFin!H122,""))</f>
        <v/>
      </c>
      <c r="K122" s="54">
        <f>IF(OR(E122="",COUNT(Captura_NoFin!L122)&lt;1),"",IFERROR(E122/ABS(Captura_NoFin!L122),""))</f>
        <v/>
      </c>
      <c r="L122" s="54">
        <f>IF(COUNT(Captura_NoFin!K122,Captura_NoFin!H122)&lt;2,"",IFERROR(Captura_NoFin!K122/Captura_NoFin!H122,""))</f>
        <v/>
      </c>
      <c r="M122" s="55">
        <f>IF(COUNT(Captura_NoFin!R122)&lt;1,"",IFERROR(IF(D122=2017,Captura_NoFin!R122/INDEX(Empresas!$I$2:$I$23,MATCH($A122,Empresas!$B$2:$B$23,0))-1,IF(COUNT(Captura_NoFin!R121)&lt;1,"",Captura_NoFin!R122/Captura_NoFin!R121-1)),""))</f>
        <v/>
      </c>
      <c r="N122" s="55">
        <f>IF(COUNT(Captura_NoFin!P122,Captura_NoFin!O122)&lt;2,"",IF(Captura_NoFin!O122&lt;=0,"",Captura_NoFin!P122/Captura_NoFin!O122))</f>
        <v/>
      </c>
      <c r="O122" s="56">
        <f>COUNT(F122:M122)</f>
        <v/>
      </c>
      <c r="P122" s="57">
        <f>IF(COUNT(Captura_NoFin!H122,Captura_NoFin!I122,Captura_NoFin!J122)&lt;3,"",IF(ABS(Captura_NoFin!H122-Captura_NoFin!I122-Captura_NoFin!J122)&lt;=0.005*ABS(Captura_NoFin!H122),"OK","REVISAR"))</f>
        <v/>
      </c>
    </row>
    <row r="123" ht="15" customHeight="1" s="31">
      <c r="A123" s="51">
        <f>Captura_NoFin!A123</f>
        <v/>
      </c>
      <c r="B123" s="51">
        <f>Captura_NoFin!B123</f>
        <v/>
      </c>
      <c r="C123" s="51">
        <f>Captura_NoFin!C123</f>
        <v/>
      </c>
      <c r="D123" s="52">
        <f>Captura_NoFin!D123</f>
        <v/>
      </c>
      <c r="E123" s="53">
        <f>IF(COUNT(Captura_NoFin!M123,Captura_NoFin!L123)&lt;2,"",Captura_NoFin!M123+ABS(Captura_NoFin!L123))</f>
        <v/>
      </c>
      <c r="F123" s="54">
        <f>IF(COUNT(Captura_NoFin!F123,Captura_NoFin!G123)&lt;2,"",IFERROR(Captura_NoFin!F123/Captura_NoFin!G123,""))</f>
        <v/>
      </c>
      <c r="G123" s="55">
        <f>IF(COUNT(Captura_NoFin!F123,Captura_NoFin!G123,Captura_NoFin!H123)&lt;3,"",IFERROR((Captura_NoFin!F123-Captura_NoFin!G123)/Captura_NoFin!H123,""))</f>
        <v/>
      </c>
      <c r="H123" s="55">
        <f>IF(OR(E123="",COUNT(Captura_NoFin!K123)&lt;1),"",IFERROR(E123/Captura_NoFin!K123,""))</f>
        <v/>
      </c>
      <c r="I123" s="55">
        <f>IF(COUNT(Captura_NoFin!N123,Captura_NoFin!H123)&lt;2,"",IFERROR(Captura_NoFin!N123/Captura_NoFin!H123,""))</f>
        <v/>
      </c>
      <c r="J123" s="55">
        <f>IF(COUNT(Captura_NoFin!I123,Captura_NoFin!H123)&lt;2,"",IFERROR(Captura_NoFin!I123/Captura_NoFin!H123,""))</f>
        <v/>
      </c>
      <c r="K123" s="54">
        <f>IF(OR(E123="",COUNT(Captura_NoFin!L123)&lt;1),"",IFERROR(E123/ABS(Captura_NoFin!L123),""))</f>
        <v/>
      </c>
      <c r="L123" s="54">
        <f>IF(COUNT(Captura_NoFin!K123,Captura_NoFin!H123)&lt;2,"",IFERROR(Captura_NoFin!K123/Captura_NoFin!H123,""))</f>
        <v/>
      </c>
      <c r="M123" s="55">
        <f>IF(COUNT(Captura_NoFin!R123)&lt;1,"",IFERROR(IF(D123=2017,Captura_NoFin!R123/INDEX(Empresas!$I$2:$I$23,MATCH($A123,Empresas!$B$2:$B$23,0))-1,IF(COUNT(Captura_NoFin!R122)&lt;1,"",Captura_NoFin!R123/Captura_NoFin!R122-1)),""))</f>
        <v/>
      </c>
      <c r="N123" s="55">
        <f>IF(COUNT(Captura_NoFin!P123,Captura_NoFin!O123)&lt;2,"",IF(Captura_NoFin!O123&lt;=0,"",Captura_NoFin!P123/Captura_NoFin!O123))</f>
        <v/>
      </c>
      <c r="O123" s="56">
        <f>COUNT(F123:M123)</f>
        <v/>
      </c>
      <c r="P123" s="57">
        <f>IF(COUNT(Captura_NoFin!H123,Captura_NoFin!I123,Captura_NoFin!J123)&lt;3,"",IF(ABS(Captura_NoFin!H123-Captura_NoFin!I123-Captura_NoFin!J123)&lt;=0.005*ABS(Captura_NoFin!H123),"OK","REVISAR"))</f>
        <v/>
      </c>
    </row>
    <row r="124" ht="15" customHeight="1" s="31">
      <c r="A124" s="51">
        <f>Captura_NoFin!A124</f>
        <v/>
      </c>
      <c r="B124" s="51">
        <f>Captura_NoFin!B124</f>
        <v/>
      </c>
      <c r="C124" s="51">
        <f>Captura_NoFin!C124</f>
        <v/>
      </c>
      <c r="D124" s="52">
        <f>Captura_NoFin!D124</f>
        <v/>
      </c>
      <c r="E124" s="53">
        <f>IF(COUNT(Captura_NoFin!M124,Captura_NoFin!L124)&lt;2,"",Captura_NoFin!M124+ABS(Captura_NoFin!L124))</f>
        <v/>
      </c>
      <c r="F124" s="54">
        <f>IF(COUNT(Captura_NoFin!F124,Captura_NoFin!G124)&lt;2,"",IFERROR(Captura_NoFin!F124/Captura_NoFin!G124,""))</f>
        <v/>
      </c>
      <c r="G124" s="55">
        <f>IF(COUNT(Captura_NoFin!F124,Captura_NoFin!G124,Captura_NoFin!H124)&lt;3,"",IFERROR((Captura_NoFin!F124-Captura_NoFin!G124)/Captura_NoFin!H124,""))</f>
        <v/>
      </c>
      <c r="H124" s="55">
        <f>IF(OR(E124="",COUNT(Captura_NoFin!K124)&lt;1),"",IFERROR(E124/Captura_NoFin!K124,""))</f>
        <v/>
      </c>
      <c r="I124" s="55">
        <f>IF(COUNT(Captura_NoFin!N124,Captura_NoFin!H124)&lt;2,"",IFERROR(Captura_NoFin!N124/Captura_NoFin!H124,""))</f>
        <v/>
      </c>
      <c r="J124" s="55">
        <f>IF(COUNT(Captura_NoFin!I124,Captura_NoFin!H124)&lt;2,"",IFERROR(Captura_NoFin!I124/Captura_NoFin!H124,""))</f>
        <v/>
      </c>
      <c r="K124" s="54">
        <f>IF(OR(E124="",COUNT(Captura_NoFin!L124)&lt;1),"",IFERROR(E124/ABS(Captura_NoFin!L124),""))</f>
        <v/>
      </c>
      <c r="L124" s="54">
        <f>IF(COUNT(Captura_NoFin!K124,Captura_NoFin!H124)&lt;2,"",IFERROR(Captura_NoFin!K124/Captura_NoFin!H124,""))</f>
        <v/>
      </c>
      <c r="M124" s="55">
        <f>IF(COUNT(Captura_NoFin!R124)&lt;1,"",IFERROR(IF(D124=2017,Captura_NoFin!R124/INDEX(Empresas!$I$2:$I$23,MATCH($A124,Empresas!$B$2:$B$23,0))-1,IF(COUNT(Captura_NoFin!R123)&lt;1,"",Captura_NoFin!R124/Captura_NoFin!R123-1)),""))</f>
        <v/>
      </c>
      <c r="N124" s="55">
        <f>IF(COUNT(Captura_NoFin!P124,Captura_NoFin!O124)&lt;2,"",IF(Captura_NoFin!O124&lt;=0,"",Captura_NoFin!P124/Captura_NoFin!O124))</f>
        <v/>
      </c>
      <c r="O124" s="56">
        <f>COUNT(F124:M124)</f>
        <v/>
      </c>
      <c r="P124" s="57">
        <f>IF(COUNT(Captura_NoFin!H124,Captura_NoFin!I124,Captura_NoFin!J124)&lt;3,"",IF(ABS(Captura_NoFin!H124-Captura_NoFin!I124-Captura_NoFin!J124)&lt;=0.005*ABS(Captura_NoFin!H124),"OK","REVISAR"))</f>
        <v/>
      </c>
    </row>
    <row r="125" ht="15" customHeight="1" s="31">
      <c r="A125" s="51">
        <f>Captura_NoFin!A125</f>
        <v/>
      </c>
      <c r="B125" s="51">
        <f>Captura_NoFin!B125</f>
        <v/>
      </c>
      <c r="C125" s="51">
        <f>Captura_NoFin!C125</f>
        <v/>
      </c>
      <c r="D125" s="52">
        <f>Captura_NoFin!D125</f>
        <v/>
      </c>
      <c r="E125" s="53">
        <f>IF(COUNT(Captura_NoFin!M125,Captura_NoFin!L125)&lt;2,"",Captura_NoFin!M125+ABS(Captura_NoFin!L125))</f>
        <v/>
      </c>
      <c r="F125" s="54">
        <f>IF(COUNT(Captura_NoFin!F125,Captura_NoFin!G125)&lt;2,"",IFERROR(Captura_NoFin!F125/Captura_NoFin!G125,""))</f>
        <v/>
      </c>
      <c r="G125" s="55">
        <f>IF(COUNT(Captura_NoFin!F125,Captura_NoFin!G125,Captura_NoFin!H125)&lt;3,"",IFERROR((Captura_NoFin!F125-Captura_NoFin!G125)/Captura_NoFin!H125,""))</f>
        <v/>
      </c>
      <c r="H125" s="55">
        <f>IF(OR(E125="",COUNT(Captura_NoFin!K125)&lt;1),"",IFERROR(E125/Captura_NoFin!K125,""))</f>
        <v/>
      </c>
      <c r="I125" s="55">
        <f>IF(COUNT(Captura_NoFin!N125,Captura_NoFin!H125)&lt;2,"",IFERROR(Captura_NoFin!N125/Captura_NoFin!H125,""))</f>
        <v/>
      </c>
      <c r="J125" s="55">
        <f>IF(COUNT(Captura_NoFin!I125,Captura_NoFin!H125)&lt;2,"",IFERROR(Captura_NoFin!I125/Captura_NoFin!H125,""))</f>
        <v/>
      </c>
      <c r="K125" s="54">
        <f>IF(OR(E125="",COUNT(Captura_NoFin!L125)&lt;1),"",IFERROR(E125/ABS(Captura_NoFin!L125),""))</f>
        <v/>
      </c>
      <c r="L125" s="54">
        <f>IF(COUNT(Captura_NoFin!K125,Captura_NoFin!H125)&lt;2,"",IFERROR(Captura_NoFin!K125/Captura_NoFin!H125,""))</f>
        <v/>
      </c>
      <c r="M125" s="55">
        <f>IF(COUNT(Captura_NoFin!R125)&lt;1,"",IFERROR(IF(D125=2017,Captura_NoFin!R125/INDEX(Empresas!$I$2:$I$23,MATCH($A125,Empresas!$B$2:$B$23,0))-1,IF(COUNT(Captura_NoFin!R124)&lt;1,"",Captura_NoFin!R125/Captura_NoFin!R124-1)),""))</f>
        <v/>
      </c>
      <c r="N125" s="55">
        <f>IF(COUNT(Captura_NoFin!P125,Captura_NoFin!O125)&lt;2,"",IF(Captura_NoFin!O125&lt;=0,"",Captura_NoFin!P125/Captura_NoFin!O125))</f>
        <v/>
      </c>
      <c r="O125" s="56">
        <f>COUNT(F125:M125)</f>
        <v/>
      </c>
      <c r="P125" s="57">
        <f>IF(COUNT(Captura_NoFin!H125,Captura_NoFin!I125,Captura_NoFin!J125)&lt;3,"",IF(ABS(Captura_NoFin!H125-Captura_NoFin!I125-Captura_NoFin!J125)&lt;=0.005*ABS(Captura_NoFin!H125),"OK","REVISAR"))</f>
        <v/>
      </c>
    </row>
    <row r="126" ht="15" customHeight="1" s="31">
      <c r="A126" s="51">
        <f>Captura_NoFin!A126</f>
        <v/>
      </c>
      <c r="B126" s="51">
        <f>Captura_NoFin!B126</f>
        <v/>
      </c>
      <c r="C126" s="51">
        <f>Captura_NoFin!C126</f>
        <v/>
      </c>
      <c r="D126" s="52">
        <f>Captura_NoFin!D126</f>
        <v/>
      </c>
      <c r="E126" s="53">
        <f>IF(COUNT(Captura_NoFin!M126,Captura_NoFin!L126)&lt;2,"",Captura_NoFin!M126+ABS(Captura_NoFin!L126))</f>
        <v/>
      </c>
      <c r="F126" s="54">
        <f>IF(COUNT(Captura_NoFin!F126,Captura_NoFin!G126)&lt;2,"",IFERROR(Captura_NoFin!F126/Captura_NoFin!G126,""))</f>
        <v/>
      </c>
      <c r="G126" s="55">
        <f>IF(COUNT(Captura_NoFin!F126,Captura_NoFin!G126,Captura_NoFin!H126)&lt;3,"",IFERROR((Captura_NoFin!F126-Captura_NoFin!G126)/Captura_NoFin!H126,""))</f>
        <v/>
      </c>
      <c r="H126" s="55">
        <f>IF(OR(E126="",COUNT(Captura_NoFin!K126)&lt;1),"",IFERROR(E126/Captura_NoFin!K126,""))</f>
        <v/>
      </c>
      <c r="I126" s="55">
        <f>IF(COUNT(Captura_NoFin!N126,Captura_NoFin!H126)&lt;2,"",IFERROR(Captura_NoFin!N126/Captura_NoFin!H126,""))</f>
        <v/>
      </c>
      <c r="J126" s="55">
        <f>IF(COUNT(Captura_NoFin!I126,Captura_NoFin!H126)&lt;2,"",IFERROR(Captura_NoFin!I126/Captura_NoFin!H126,""))</f>
        <v/>
      </c>
      <c r="K126" s="54">
        <f>IF(OR(E126="",COUNT(Captura_NoFin!L126)&lt;1),"",IFERROR(E126/ABS(Captura_NoFin!L126),""))</f>
        <v/>
      </c>
      <c r="L126" s="54">
        <f>IF(COUNT(Captura_NoFin!K126,Captura_NoFin!H126)&lt;2,"",IFERROR(Captura_NoFin!K126/Captura_NoFin!H126,""))</f>
        <v/>
      </c>
      <c r="M126" s="55">
        <f>IF(COUNT(Captura_NoFin!R126)&lt;1,"",IFERROR(IF(D126=2017,Captura_NoFin!R126/INDEX(Empresas!$I$2:$I$23,MATCH($A126,Empresas!$B$2:$B$23,0))-1,IF(COUNT(Captura_NoFin!R125)&lt;1,"",Captura_NoFin!R126/Captura_NoFin!R125-1)),""))</f>
        <v/>
      </c>
      <c r="N126" s="55">
        <f>IF(COUNT(Captura_NoFin!P126,Captura_NoFin!O126)&lt;2,"",IF(Captura_NoFin!O126&lt;=0,"",Captura_NoFin!P126/Captura_NoFin!O126))</f>
        <v/>
      </c>
      <c r="O126" s="56">
        <f>COUNT(F126:M126)</f>
        <v/>
      </c>
      <c r="P126" s="57">
        <f>IF(COUNT(Captura_NoFin!H126,Captura_NoFin!I126,Captura_NoFin!J126)&lt;3,"",IF(ABS(Captura_NoFin!H126-Captura_NoFin!I126-Captura_NoFin!J126)&lt;=0.005*ABS(Captura_NoFin!H126),"OK","REVISAR"))</f>
        <v/>
      </c>
    </row>
    <row r="127" ht="15" customHeight="1" s="31">
      <c r="A127" s="51">
        <f>Captura_NoFin!A127</f>
        <v/>
      </c>
      <c r="B127" s="51">
        <f>Captura_NoFin!B127</f>
        <v/>
      </c>
      <c r="C127" s="51">
        <f>Captura_NoFin!C127</f>
        <v/>
      </c>
      <c r="D127" s="52">
        <f>Captura_NoFin!D127</f>
        <v/>
      </c>
      <c r="E127" s="53">
        <f>IF(COUNT(Captura_NoFin!M127,Captura_NoFin!L127)&lt;2,"",Captura_NoFin!M127+ABS(Captura_NoFin!L127))</f>
        <v/>
      </c>
      <c r="F127" s="54">
        <f>IF(COUNT(Captura_NoFin!F127,Captura_NoFin!G127)&lt;2,"",IFERROR(Captura_NoFin!F127/Captura_NoFin!G127,""))</f>
        <v/>
      </c>
      <c r="G127" s="55">
        <f>IF(COUNT(Captura_NoFin!F127,Captura_NoFin!G127,Captura_NoFin!H127)&lt;3,"",IFERROR((Captura_NoFin!F127-Captura_NoFin!G127)/Captura_NoFin!H127,""))</f>
        <v/>
      </c>
      <c r="H127" s="55">
        <f>IF(OR(E127="",COUNT(Captura_NoFin!K127)&lt;1),"",IFERROR(E127/Captura_NoFin!K127,""))</f>
        <v/>
      </c>
      <c r="I127" s="55">
        <f>IF(COUNT(Captura_NoFin!N127,Captura_NoFin!H127)&lt;2,"",IFERROR(Captura_NoFin!N127/Captura_NoFin!H127,""))</f>
        <v/>
      </c>
      <c r="J127" s="55">
        <f>IF(COUNT(Captura_NoFin!I127,Captura_NoFin!H127)&lt;2,"",IFERROR(Captura_NoFin!I127/Captura_NoFin!H127,""))</f>
        <v/>
      </c>
      <c r="K127" s="54">
        <f>IF(OR(E127="",COUNT(Captura_NoFin!L127)&lt;1),"",IFERROR(E127/ABS(Captura_NoFin!L127),""))</f>
        <v/>
      </c>
      <c r="L127" s="54">
        <f>IF(COUNT(Captura_NoFin!K127,Captura_NoFin!H127)&lt;2,"",IFERROR(Captura_NoFin!K127/Captura_NoFin!H127,""))</f>
        <v/>
      </c>
      <c r="M127" s="55">
        <f>IF(COUNT(Captura_NoFin!R127)&lt;1,"",IFERROR(IF(D127=2017,Captura_NoFin!R127/INDEX(Empresas!$I$2:$I$23,MATCH($A127,Empresas!$B$2:$B$23,0))-1,IF(COUNT(Captura_NoFin!R126)&lt;1,"",Captura_NoFin!R127/Captura_NoFin!R126-1)),""))</f>
        <v/>
      </c>
      <c r="N127" s="55">
        <f>IF(COUNT(Captura_NoFin!P127,Captura_NoFin!O127)&lt;2,"",IF(Captura_NoFin!O127&lt;=0,"",Captura_NoFin!P127/Captura_NoFin!O127))</f>
        <v/>
      </c>
      <c r="O127" s="56">
        <f>COUNT(F127:M127)</f>
        <v/>
      </c>
      <c r="P127" s="57">
        <f>IF(COUNT(Captura_NoFin!H127,Captura_NoFin!I127,Captura_NoFin!J127)&lt;3,"",IF(ABS(Captura_NoFin!H127-Captura_NoFin!I127-Captura_NoFin!J127)&lt;=0.005*ABS(Captura_NoFin!H127),"OK","REVISAR"))</f>
        <v/>
      </c>
    </row>
    <row r="128" ht="15" customHeight="1" s="31">
      <c r="A128" s="51">
        <f>Captura_NoFin!A128</f>
        <v/>
      </c>
      <c r="B128" s="51">
        <f>Captura_NoFin!B128</f>
        <v/>
      </c>
      <c r="C128" s="51">
        <f>Captura_NoFin!C128</f>
        <v/>
      </c>
      <c r="D128" s="52">
        <f>Captura_NoFin!D128</f>
        <v/>
      </c>
      <c r="E128" s="53">
        <f>IF(COUNT(Captura_NoFin!M128,Captura_NoFin!L128)&lt;2,"",Captura_NoFin!M128+ABS(Captura_NoFin!L128))</f>
        <v/>
      </c>
      <c r="F128" s="54">
        <f>IF(COUNT(Captura_NoFin!F128,Captura_NoFin!G128)&lt;2,"",IFERROR(Captura_NoFin!F128/Captura_NoFin!G128,""))</f>
        <v/>
      </c>
      <c r="G128" s="55">
        <f>IF(COUNT(Captura_NoFin!F128,Captura_NoFin!G128,Captura_NoFin!H128)&lt;3,"",IFERROR((Captura_NoFin!F128-Captura_NoFin!G128)/Captura_NoFin!H128,""))</f>
        <v/>
      </c>
      <c r="H128" s="55">
        <f>IF(OR(E128="",COUNT(Captura_NoFin!K128)&lt;1),"",IFERROR(E128/Captura_NoFin!K128,""))</f>
        <v/>
      </c>
      <c r="I128" s="55">
        <f>IF(COUNT(Captura_NoFin!N128,Captura_NoFin!H128)&lt;2,"",IFERROR(Captura_NoFin!N128/Captura_NoFin!H128,""))</f>
        <v/>
      </c>
      <c r="J128" s="55">
        <f>IF(COUNT(Captura_NoFin!I128,Captura_NoFin!H128)&lt;2,"",IFERROR(Captura_NoFin!I128/Captura_NoFin!H128,""))</f>
        <v/>
      </c>
      <c r="K128" s="54">
        <f>IF(OR(E128="",COUNT(Captura_NoFin!L128)&lt;1),"",IFERROR(E128/ABS(Captura_NoFin!L128),""))</f>
        <v/>
      </c>
      <c r="L128" s="54">
        <f>IF(COUNT(Captura_NoFin!K128,Captura_NoFin!H128)&lt;2,"",IFERROR(Captura_NoFin!K128/Captura_NoFin!H128,""))</f>
        <v/>
      </c>
      <c r="M128" s="55">
        <f>IF(COUNT(Captura_NoFin!R128)&lt;1,"",IFERROR(IF(D128=2017,Captura_NoFin!R128/INDEX(Empresas!$I$2:$I$23,MATCH($A128,Empresas!$B$2:$B$23,0))-1,IF(COUNT(Captura_NoFin!R127)&lt;1,"",Captura_NoFin!R128/Captura_NoFin!R127-1)),""))</f>
        <v/>
      </c>
      <c r="N128" s="55">
        <f>IF(COUNT(Captura_NoFin!P128,Captura_NoFin!O128)&lt;2,"",IF(Captura_NoFin!O128&lt;=0,"",Captura_NoFin!P128/Captura_NoFin!O128))</f>
        <v/>
      </c>
      <c r="O128" s="56">
        <f>COUNT(F128:M128)</f>
        <v/>
      </c>
      <c r="P128" s="57">
        <f>IF(COUNT(Captura_NoFin!H128,Captura_NoFin!I128,Captura_NoFin!J128)&lt;3,"",IF(ABS(Captura_NoFin!H128-Captura_NoFin!I128-Captura_NoFin!J128)&lt;=0.005*ABS(Captura_NoFin!H128),"OK","REVISAR"))</f>
        <v/>
      </c>
    </row>
    <row r="129" ht="15" customHeight="1" s="31">
      <c r="A129" s="51">
        <f>Captura_NoFin!A129</f>
        <v/>
      </c>
      <c r="B129" s="51">
        <f>Captura_NoFin!B129</f>
        <v/>
      </c>
      <c r="C129" s="51">
        <f>Captura_NoFin!C129</f>
        <v/>
      </c>
      <c r="D129" s="52">
        <f>Captura_NoFin!D129</f>
        <v/>
      </c>
      <c r="E129" s="53">
        <f>IF(COUNT(Captura_NoFin!M129,Captura_NoFin!L129)&lt;2,"",Captura_NoFin!M129+ABS(Captura_NoFin!L129))</f>
        <v/>
      </c>
      <c r="F129" s="54">
        <f>IF(COUNT(Captura_NoFin!F129,Captura_NoFin!G129)&lt;2,"",IFERROR(Captura_NoFin!F129/Captura_NoFin!G129,""))</f>
        <v/>
      </c>
      <c r="G129" s="55">
        <f>IF(COUNT(Captura_NoFin!F129,Captura_NoFin!G129,Captura_NoFin!H129)&lt;3,"",IFERROR((Captura_NoFin!F129-Captura_NoFin!G129)/Captura_NoFin!H129,""))</f>
        <v/>
      </c>
      <c r="H129" s="55">
        <f>IF(OR(E129="",COUNT(Captura_NoFin!K129)&lt;1),"",IFERROR(E129/Captura_NoFin!K129,""))</f>
        <v/>
      </c>
      <c r="I129" s="55">
        <f>IF(COUNT(Captura_NoFin!N129,Captura_NoFin!H129)&lt;2,"",IFERROR(Captura_NoFin!N129/Captura_NoFin!H129,""))</f>
        <v/>
      </c>
      <c r="J129" s="55">
        <f>IF(COUNT(Captura_NoFin!I129,Captura_NoFin!H129)&lt;2,"",IFERROR(Captura_NoFin!I129/Captura_NoFin!H129,""))</f>
        <v/>
      </c>
      <c r="K129" s="54">
        <f>IF(OR(E129="",COUNT(Captura_NoFin!L129)&lt;1),"",IFERROR(E129/ABS(Captura_NoFin!L129),""))</f>
        <v/>
      </c>
      <c r="L129" s="54">
        <f>IF(COUNT(Captura_NoFin!K129,Captura_NoFin!H129)&lt;2,"",IFERROR(Captura_NoFin!K129/Captura_NoFin!H129,""))</f>
        <v/>
      </c>
      <c r="M129" s="55">
        <f>IF(COUNT(Captura_NoFin!R129)&lt;1,"",IFERROR(IF(D129=2017,Captura_NoFin!R129/INDEX(Empresas!$I$2:$I$23,MATCH($A129,Empresas!$B$2:$B$23,0))-1,IF(COUNT(Captura_NoFin!R128)&lt;1,"",Captura_NoFin!R129/Captura_NoFin!R128-1)),""))</f>
        <v/>
      </c>
      <c r="N129" s="55">
        <f>IF(COUNT(Captura_NoFin!P129,Captura_NoFin!O129)&lt;2,"",IF(Captura_NoFin!O129&lt;=0,"",Captura_NoFin!P129/Captura_NoFin!O129))</f>
        <v/>
      </c>
      <c r="O129" s="56">
        <f>COUNT(F129:M129)</f>
        <v/>
      </c>
      <c r="P129" s="57">
        <f>IF(COUNT(Captura_NoFin!H129,Captura_NoFin!I129,Captura_NoFin!J129)&lt;3,"",IF(ABS(Captura_NoFin!H129-Captura_NoFin!I129-Captura_NoFin!J129)&lt;=0.005*ABS(Captura_NoFin!H129),"OK","REVISAR"))</f>
        <v/>
      </c>
    </row>
    <row r="130" ht="15" customHeight="1" s="31">
      <c r="A130" s="51">
        <f>Captura_NoFin!A130</f>
        <v/>
      </c>
      <c r="B130" s="51">
        <f>Captura_NoFin!B130</f>
        <v/>
      </c>
      <c r="C130" s="51">
        <f>Captura_NoFin!C130</f>
        <v/>
      </c>
      <c r="D130" s="52">
        <f>Captura_NoFin!D130</f>
        <v/>
      </c>
      <c r="E130" s="53">
        <f>IF(COUNT(Captura_NoFin!M130,Captura_NoFin!L130)&lt;2,"",Captura_NoFin!M130+ABS(Captura_NoFin!L130))</f>
        <v/>
      </c>
      <c r="F130" s="54">
        <f>IF(COUNT(Captura_NoFin!F130,Captura_NoFin!G130)&lt;2,"",IFERROR(Captura_NoFin!F130/Captura_NoFin!G130,""))</f>
        <v/>
      </c>
      <c r="G130" s="55">
        <f>IF(COUNT(Captura_NoFin!F130,Captura_NoFin!G130,Captura_NoFin!H130)&lt;3,"",IFERROR((Captura_NoFin!F130-Captura_NoFin!G130)/Captura_NoFin!H130,""))</f>
        <v/>
      </c>
      <c r="H130" s="55">
        <f>IF(OR(E130="",COUNT(Captura_NoFin!K130)&lt;1),"",IFERROR(E130/Captura_NoFin!K130,""))</f>
        <v/>
      </c>
      <c r="I130" s="55">
        <f>IF(COUNT(Captura_NoFin!N130,Captura_NoFin!H130)&lt;2,"",IFERROR(Captura_NoFin!N130/Captura_NoFin!H130,""))</f>
        <v/>
      </c>
      <c r="J130" s="55">
        <f>IF(COUNT(Captura_NoFin!I130,Captura_NoFin!H130)&lt;2,"",IFERROR(Captura_NoFin!I130/Captura_NoFin!H130,""))</f>
        <v/>
      </c>
      <c r="K130" s="54">
        <f>IF(OR(E130="",COUNT(Captura_NoFin!L130)&lt;1),"",IFERROR(E130/ABS(Captura_NoFin!L130),""))</f>
        <v/>
      </c>
      <c r="L130" s="54">
        <f>IF(COUNT(Captura_NoFin!K130,Captura_NoFin!H130)&lt;2,"",IFERROR(Captura_NoFin!K130/Captura_NoFin!H130,""))</f>
        <v/>
      </c>
      <c r="M130" s="55">
        <f>IF(COUNT(Captura_NoFin!R130)&lt;1,"",IFERROR(IF(D130=2017,Captura_NoFin!R130/INDEX(Empresas!$I$2:$I$23,MATCH($A130,Empresas!$B$2:$B$23,0))-1,IF(COUNT(Captura_NoFin!R129)&lt;1,"",Captura_NoFin!R130/Captura_NoFin!R129-1)),""))</f>
        <v/>
      </c>
      <c r="N130" s="55">
        <f>IF(COUNT(Captura_NoFin!P130,Captura_NoFin!O130)&lt;2,"",IF(Captura_NoFin!O130&lt;=0,"",Captura_NoFin!P130/Captura_NoFin!O130))</f>
        <v/>
      </c>
      <c r="O130" s="56">
        <f>COUNT(F130:M130)</f>
        <v/>
      </c>
      <c r="P130" s="57">
        <f>IF(COUNT(Captura_NoFin!H130,Captura_NoFin!I130,Captura_NoFin!J130)&lt;3,"",IF(ABS(Captura_NoFin!H130-Captura_NoFin!I130-Captura_NoFin!J130)&lt;=0.005*ABS(Captura_NoFin!H130),"OK","REVISAR"))</f>
        <v/>
      </c>
    </row>
    <row r="131" ht="15" customHeight="1" s="31">
      <c r="A131" s="51">
        <f>Captura_NoFin!A131</f>
        <v/>
      </c>
      <c r="B131" s="51">
        <f>Captura_NoFin!B131</f>
        <v/>
      </c>
      <c r="C131" s="51">
        <f>Captura_NoFin!C131</f>
        <v/>
      </c>
      <c r="D131" s="52">
        <f>Captura_NoFin!D131</f>
        <v/>
      </c>
      <c r="E131" s="53">
        <f>IF(COUNT(Captura_NoFin!M131,Captura_NoFin!L131)&lt;2,"",Captura_NoFin!M131+ABS(Captura_NoFin!L131))</f>
        <v/>
      </c>
      <c r="F131" s="54">
        <f>IF(COUNT(Captura_NoFin!F131,Captura_NoFin!G131)&lt;2,"",IFERROR(Captura_NoFin!F131/Captura_NoFin!G131,""))</f>
        <v/>
      </c>
      <c r="G131" s="55">
        <f>IF(COUNT(Captura_NoFin!F131,Captura_NoFin!G131,Captura_NoFin!H131)&lt;3,"",IFERROR((Captura_NoFin!F131-Captura_NoFin!G131)/Captura_NoFin!H131,""))</f>
        <v/>
      </c>
      <c r="H131" s="55">
        <f>IF(OR(E131="",COUNT(Captura_NoFin!K131)&lt;1),"",IFERROR(E131/Captura_NoFin!K131,""))</f>
        <v/>
      </c>
      <c r="I131" s="55">
        <f>IF(COUNT(Captura_NoFin!N131,Captura_NoFin!H131)&lt;2,"",IFERROR(Captura_NoFin!N131/Captura_NoFin!H131,""))</f>
        <v/>
      </c>
      <c r="J131" s="55">
        <f>IF(COUNT(Captura_NoFin!I131,Captura_NoFin!H131)&lt;2,"",IFERROR(Captura_NoFin!I131/Captura_NoFin!H131,""))</f>
        <v/>
      </c>
      <c r="K131" s="54">
        <f>IF(OR(E131="",COUNT(Captura_NoFin!L131)&lt;1),"",IFERROR(E131/ABS(Captura_NoFin!L131),""))</f>
        <v/>
      </c>
      <c r="L131" s="54">
        <f>IF(COUNT(Captura_NoFin!K131,Captura_NoFin!H131)&lt;2,"",IFERROR(Captura_NoFin!K131/Captura_NoFin!H131,""))</f>
        <v/>
      </c>
      <c r="M131" s="55">
        <f>IF(COUNT(Captura_NoFin!R131)&lt;1,"",IFERROR(IF(D131=2017,Captura_NoFin!R131/INDEX(Empresas!$I$2:$I$23,MATCH($A131,Empresas!$B$2:$B$23,0))-1,IF(COUNT(Captura_NoFin!R130)&lt;1,"",Captura_NoFin!R131/Captura_NoFin!R130-1)),""))</f>
        <v/>
      </c>
      <c r="N131" s="55">
        <f>IF(COUNT(Captura_NoFin!P131,Captura_NoFin!O131)&lt;2,"",IF(Captura_NoFin!O131&lt;=0,"",Captura_NoFin!P131/Captura_NoFin!O131))</f>
        <v/>
      </c>
      <c r="O131" s="56">
        <f>COUNT(F131:M131)</f>
        <v/>
      </c>
      <c r="P131" s="57">
        <f>IF(COUNT(Captura_NoFin!H131,Captura_NoFin!I131,Captura_NoFin!J131)&lt;3,"",IF(ABS(Captura_NoFin!H131-Captura_NoFin!I131-Captura_NoFin!J131)&lt;=0.005*ABS(Captura_NoFin!H131),"OK","REVISAR"))</f>
        <v/>
      </c>
    </row>
    <row r="132" ht="15" customHeight="1" s="31">
      <c r="A132" s="51">
        <f>Captura_NoFin!A132</f>
        <v/>
      </c>
      <c r="B132" s="51">
        <f>Captura_NoFin!B132</f>
        <v/>
      </c>
      <c r="C132" s="51">
        <f>Captura_NoFin!C132</f>
        <v/>
      </c>
      <c r="D132" s="52">
        <f>Captura_NoFin!D132</f>
        <v/>
      </c>
      <c r="E132" s="53">
        <f>IF(COUNT(Captura_NoFin!M132,Captura_NoFin!L132)&lt;2,"",Captura_NoFin!M132+ABS(Captura_NoFin!L132))</f>
        <v/>
      </c>
      <c r="F132" s="54">
        <f>IF(COUNT(Captura_NoFin!F132,Captura_NoFin!G132)&lt;2,"",IFERROR(Captura_NoFin!F132/Captura_NoFin!G132,""))</f>
        <v/>
      </c>
      <c r="G132" s="55">
        <f>IF(COUNT(Captura_NoFin!F132,Captura_NoFin!G132,Captura_NoFin!H132)&lt;3,"",IFERROR((Captura_NoFin!F132-Captura_NoFin!G132)/Captura_NoFin!H132,""))</f>
        <v/>
      </c>
      <c r="H132" s="55">
        <f>IF(OR(E132="",COUNT(Captura_NoFin!K132)&lt;1),"",IFERROR(E132/Captura_NoFin!K132,""))</f>
        <v/>
      </c>
      <c r="I132" s="55">
        <f>IF(COUNT(Captura_NoFin!N132,Captura_NoFin!H132)&lt;2,"",IFERROR(Captura_NoFin!N132/Captura_NoFin!H132,""))</f>
        <v/>
      </c>
      <c r="J132" s="55">
        <f>IF(COUNT(Captura_NoFin!I132,Captura_NoFin!H132)&lt;2,"",IFERROR(Captura_NoFin!I132/Captura_NoFin!H132,""))</f>
        <v/>
      </c>
      <c r="K132" s="54">
        <f>IF(OR(E132="",COUNT(Captura_NoFin!L132)&lt;1),"",IFERROR(E132/ABS(Captura_NoFin!L132),""))</f>
        <v/>
      </c>
      <c r="L132" s="54">
        <f>IF(COUNT(Captura_NoFin!K132,Captura_NoFin!H132)&lt;2,"",IFERROR(Captura_NoFin!K132/Captura_NoFin!H132,""))</f>
        <v/>
      </c>
      <c r="M132" s="55">
        <f>IF(COUNT(Captura_NoFin!R132)&lt;1,"",IFERROR(IF(D132=2017,Captura_NoFin!R132/INDEX(Empresas!$I$2:$I$23,MATCH($A132,Empresas!$B$2:$B$23,0))-1,IF(COUNT(Captura_NoFin!R131)&lt;1,"",Captura_NoFin!R132/Captura_NoFin!R131-1)),""))</f>
        <v/>
      </c>
      <c r="N132" s="55">
        <f>IF(COUNT(Captura_NoFin!P132,Captura_NoFin!O132)&lt;2,"",IF(Captura_NoFin!O132&lt;=0,"",Captura_NoFin!P132/Captura_NoFin!O132))</f>
        <v/>
      </c>
      <c r="O132" s="56">
        <f>COUNT(F132:M132)</f>
        <v/>
      </c>
      <c r="P132" s="57">
        <f>IF(COUNT(Captura_NoFin!H132,Captura_NoFin!I132,Captura_NoFin!J132)&lt;3,"",IF(ABS(Captura_NoFin!H132-Captura_NoFin!I132-Captura_NoFin!J132)&lt;=0.005*ABS(Captura_NoFin!H132),"OK","REVISAR"))</f>
        <v/>
      </c>
    </row>
    <row r="133" ht="15" customHeight="1" s="31">
      <c r="A133" s="51">
        <f>Captura_NoFin!A133</f>
        <v/>
      </c>
      <c r="B133" s="51">
        <f>Captura_NoFin!B133</f>
        <v/>
      </c>
      <c r="C133" s="51">
        <f>Captura_NoFin!C133</f>
        <v/>
      </c>
      <c r="D133" s="52">
        <f>Captura_NoFin!D133</f>
        <v/>
      </c>
      <c r="E133" s="53">
        <f>IF(COUNT(Captura_NoFin!M133,Captura_NoFin!L133)&lt;2,"",Captura_NoFin!M133+ABS(Captura_NoFin!L133))</f>
        <v/>
      </c>
      <c r="F133" s="54">
        <f>IF(COUNT(Captura_NoFin!F133,Captura_NoFin!G133)&lt;2,"",IFERROR(Captura_NoFin!F133/Captura_NoFin!G133,""))</f>
        <v/>
      </c>
      <c r="G133" s="55">
        <f>IF(COUNT(Captura_NoFin!F133,Captura_NoFin!G133,Captura_NoFin!H133)&lt;3,"",IFERROR((Captura_NoFin!F133-Captura_NoFin!G133)/Captura_NoFin!H133,""))</f>
        <v/>
      </c>
      <c r="H133" s="55">
        <f>IF(OR(E133="",COUNT(Captura_NoFin!K133)&lt;1),"",IFERROR(E133/Captura_NoFin!K133,""))</f>
        <v/>
      </c>
      <c r="I133" s="55">
        <f>IF(COUNT(Captura_NoFin!N133,Captura_NoFin!H133)&lt;2,"",IFERROR(Captura_NoFin!N133/Captura_NoFin!H133,""))</f>
        <v/>
      </c>
      <c r="J133" s="55">
        <f>IF(COUNT(Captura_NoFin!I133,Captura_NoFin!H133)&lt;2,"",IFERROR(Captura_NoFin!I133/Captura_NoFin!H133,""))</f>
        <v/>
      </c>
      <c r="K133" s="54">
        <f>IF(OR(E133="",COUNT(Captura_NoFin!L133)&lt;1),"",IFERROR(E133/ABS(Captura_NoFin!L133),""))</f>
        <v/>
      </c>
      <c r="L133" s="54">
        <f>IF(COUNT(Captura_NoFin!K133,Captura_NoFin!H133)&lt;2,"",IFERROR(Captura_NoFin!K133/Captura_NoFin!H133,""))</f>
        <v/>
      </c>
      <c r="M133" s="55">
        <f>IF(COUNT(Captura_NoFin!R133)&lt;1,"",IFERROR(IF(D133=2017,Captura_NoFin!R133/INDEX(Empresas!$I$2:$I$23,MATCH($A133,Empresas!$B$2:$B$23,0))-1,IF(COUNT(Captura_NoFin!R132)&lt;1,"",Captura_NoFin!R133/Captura_NoFin!R132-1)),""))</f>
        <v/>
      </c>
      <c r="N133" s="55">
        <f>IF(COUNT(Captura_NoFin!P133,Captura_NoFin!O133)&lt;2,"",IF(Captura_NoFin!O133&lt;=0,"",Captura_NoFin!P133/Captura_NoFin!O133))</f>
        <v/>
      </c>
      <c r="O133" s="56">
        <f>COUNT(F133:M133)</f>
        <v/>
      </c>
      <c r="P133" s="57">
        <f>IF(COUNT(Captura_NoFin!H133,Captura_NoFin!I133,Captura_NoFin!J133)&lt;3,"",IF(ABS(Captura_NoFin!H133-Captura_NoFin!I133-Captura_NoFin!J133)&lt;=0.005*ABS(Captura_NoFin!H133),"OK","REVISAR"))</f>
        <v/>
      </c>
    </row>
    <row r="134" ht="15" customHeight="1" s="31">
      <c r="A134" s="51">
        <f>Captura_NoFin!A134</f>
        <v/>
      </c>
      <c r="B134" s="51">
        <f>Captura_NoFin!B134</f>
        <v/>
      </c>
      <c r="C134" s="51">
        <f>Captura_NoFin!C134</f>
        <v/>
      </c>
      <c r="D134" s="52">
        <f>Captura_NoFin!D134</f>
        <v/>
      </c>
      <c r="E134" s="53">
        <f>IF(COUNT(Captura_NoFin!M134,Captura_NoFin!L134)&lt;2,"",Captura_NoFin!M134+ABS(Captura_NoFin!L134))</f>
        <v/>
      </c>
      <c r="F134" s="54">
        <f>IF(COUNT(Captura_NoFin!F134,Captura_NoFin!G134)&lt;2,"",IFERROR(Captura_NoFin!F134/Captura_NoFin!G134,""))</f>
        <v/>
      </c>
      <c r="G134" s="55">
        <f>IF(COUNT(Captura_NoFin!F134,Captura_NoFin!G134,Captura_NoFin!H134)&lt;3,"",IFERROR((Captura_NoFin!F134-Captura_NoFin!G134)/Captura_NoFin!H134,""))</f>
        <v/>
      </c>
      <c r="H134" s="55">
        <f>IF(OR(E134="",COUNT(Captura_NoFin!K134)&lt;1),"",IFERROR(E134/Captura_NoFin!K134,""))</f>
        <v/>
      </c>
      <c r="I134" s="55">
        <f>IF(COUNT(Captura_NoFin!N134,Captura_NoFin!H134)&lt;2,"",IFERROR(Captura_NoFin!N134/Captura_NoFin!H134,""))</f>
        <v/>
      </c>
      <c r="J134" s="55">
        <f>IF(COUNT(Captura_NoFin!I134,Captura_NoFin!H134)&lt;2,"",IFERROR(Captura_NoFin!I134/Captura_NoFin!H134,""))</f>
        <v/>
      </c>
      <c r="K134" s="54">
        <f>IF(OR(E134="",COUNT(Captura_NoFin!L134)&lt;1),"",IFERROR(E134/ABS(Captura_NoFin!L134),""))</f>
        <v/>
      </c>
      <c r="L134" s="54">
        <f>IF(COUNT(Captura_NoFin!K134,Captura_NoFin!H134)&lt;2,"",IFERROR(Captura_NoFin!K134/Captura_NoFin!H134,""))</f>
        <v/>
      </c>
      <c r="M134" s="55">
        <f>IF(COUNT(Captura_NoFin!R134)&lt;1,"",IFERROR(IF(D134=2017,Captura_NoFin!R134/INDEX(Empresas!$I$2:$I$23,MATCH($A134,Empresas!$B$2:$B$23,0))-1,IF(COUNT(Captura_NoFin!R133)&lt;1,"",Captura_NoFin!R134/Captura_NoFin!R133-1)),""))</f>
        <v/>
      </c>
      <c r="N134" s="55">
        <f>IF(COUNT(Captura_NoFin!P134,Captura_NoFin!O134)&lt;2,"",IF(Captura_NoFin!O134&lt;=0,"",Captura_NoFin!P134/Captura_NoFin!O134))</f>
        <v/>
      </c>
      <c r="O134" s="56">
        <f>COUNT(F134:M134)</f>
        <v/>
      </c>
      <c r="P134" s="57">
        <f>IF(COUNT(Captura_NoFin!H134,Captura_NoFin!I134,Captura_NoFin!J134)&lt;3,"",IF(ABS(Captura_NoFin!H134-Captura_NoFin!I134-Captura_NoFin!J134)&lt;=0.005*ABS(Captura_NoFin!H134),"OK","REVISAR"))</f>
        <v/>
      </c>
    </row>
    <row r="135" ht="15" customHeight="1" s="31">
      <c r="A135" s="51">
        <f>Captura_NoFin!A135</f>
        <v/>
      </c>
      <c r="B135" s="51">
        <f>Captura_NoFin!B135</f>
        <v/>
      </c>
      <c r="C135" s="51">
        <f>Captura_NoFin!C135</f>
        <v/>
      </c>
      <c r="D135" s="52">
        <f>Captura_NoFin!D135</f>
        <v/>
      </c>
      <c r="E135" s="53">
        <f>IF(COUNT(Captura_NoFin!M135,Captura_NoFin!L135)&lt;2,"",Captura_NoFin!M135+ABS(Captura_NoFin!L135))</f>
        <v/>
      </c>
      <c r="F135" s="54">
        <f>IF(COUNT(Captura_NoFin!F135,Captura_NoFin!G135)&lt;2,"",IFERROR(Captura_NoFin!F135/Captura_NoFin!G135,""))</f>
        <v/>
      </c>
      <c r="G135" s="55">
        <f>IF(COUNT(Captura_NoFin!F135,Captura_NoFin!G135,Captura_NoFin!H135)&lt;3,"",IFERROR((Captura_NoFin!F135-Captura_NoFin!G135)/Captura_NoFin!H135,""))</f>
        <v/>
      </c>
      <c r="H135" s="55">
        <f>IF(OR(E135="",COUNT(Captura_NoFin!K135)&lt;1),"",IFERROR(E135/Captura_NoFin!K135,""))</f>
        <v/>
      </c>
      <c r="I135" s="55">
        <f>IF(COUNT(Captura_NoFin!N135,Captura_NoFin!H135)&lt;2,"",IFERROR(Captura_NoFin!N135/Captura_NoFin!H135,""))</f>
        <v/>
      </c>
      <c r="J135" s="55">
        <f>IF(COUNT(Captura_NoFin!I135,Captura_NoFin!H135)&lt;2,"",IFERROR(Captura_NoFin!I135/Captura_NoFin!H135,""))</f>
        <v/>
      </c>
      <c r="K135" s="54">
        <f>IF(OR(E135="",COUNT(Captura_NoFin!L135)&lt;1),"",IFERROR(E135/ABS(Captura_NoFin!L135),""))</f>
        <v/>
      </c>
      <c r="L135" s="54">
        <f>IF(COUNT(Captura_NoFin!K135,Captura_NoFin!H135)&lt;2,"",IFERROR(Captura_NoFin!K135/Captura_NoFin!H135,""))</f>
        <v/>
      </c>
      <c r="M135" s="55">
        <f>IF(COUNT(Captura_NoFin!R135)&lt;1,"",IFERROR(IF(D135=2017,Captura_NoFin!R135/INDEX(Empresas!$I$2:$I$23,MATCH($A135,Empresas!$B$2:$B$23,0))-1,IF(COUNT(Captura_NoFin!R134)&lt;1,"",Captura_NoFin!R135/Captura_NoFin!R134-1)),""))</f>
        <v/>
      </c>
      <c r="N135" s="55">
        <f>IF(COUNT(Captura_NoFin!P135,Captura_NoFin!O135)&lt;2,"",IF(Captura_NoFin!O135&lt;=0,"",Captura_NoFin!P135/Captura_NoFin!O135))</f>
        <v/>
      </c>
      <c r="O135" s="56">
        <f>COUNT(F135:M135)</f>
        <v/>
      </c>
      <c r="P135" s="57">
        <f>IF(COUNT(Captura_NoFin!H135,Captura_NoFin!I135,Captura_NoFin!J135)&lt;3,"",IF(ABS(Captura_NoFin!H135-Captura_NoFin!I135-Captura_NoFin!J135)&lt;=0.005*ABS(Captura_NoFin!H135),"OK","REVISAR"))</f>
        <v/>
      </c>
    </row>
    <row r="136" ht="15" customHeight="1" s="31">
      <c r="A136" s="51">
        <f>Captura_NoFin!A136</f>
        <v/>
      </c>
      <c r="B136" s="51">
        <f>Captura_NoFin!B136</f>
        <v/>
      </c>
      <c r="C136" s="51">
        <f>Captura_NoFin!C136</f>
        <v/>
      </c>
      <c r="D136" s="52">
        <f>Captura_NoFin!D136</f>
        <v/>
      </c>
      <c r="E136" s="53">
        <f>IF(COUNT(Captura_NoFin!M136,Captura_NoFin!L136)&lt;2,"",Captura_NoFin!M136+ABS(Captura_NoFin!L136))</f>
        <v/>
      </c>
      <c r="F136" s="54">
        <f>IF(COUNT(Captura_NoFin!F136,Captura_NoFin!G136)&lt;2,"",IFERROR(Captura_NoFin!F136/Captura_NoFin!G136,""))</f>
        <v/>
      </c>
      <c r="G136" s="55">
        <f>IF(COUNT(Captura_NoFin!F136,Captura_NoFin!G136,Captura_NoFin!H136)&lt;3,"",IFERROR((Captura_NoFin!F136-Captura_NoFin!G136)/Captura_NoFin!H136,""))</f>
        <v/>
      </c>
      <c r="H136" s="55">
        <f>IF(OR(E136="",COUNT(Captura_NoFin!K136)&lt;1),"",IFERROR(E136/Captura_NoFin!K136,""))</f>
        <v/>
      </c>
      <c r="I136" s="55">
        <f>IF(COUNT(Captura_NoFin!N136,Captura_NoFin!H136)&lt;2,"",IFERROR(Captura_NoFin!N136/Captura_NoFin!H136,""))</f>
        <v/>
      </c>
      <c r="J136" s="55">
        <f>IF(COUNT(Captura_NoFin!I136,Captura_NoFin!H136)&lt;2,"",IFERROR(Captura_NoFin!I136/Captura_NoFin!H136,""))</f>
        <v/>
      </c>
      <c r="K136" s="54">
        <f>IF(OR(E136="",COUNT(Captura_NoFin!L136)&lt;1),"",IFERROR(E136/ABS(Captura_NoFin!L136),""))</f>
        <v/>
      </c>
      <c r="L136" s="54">
        <f>IF(COUNT(Captura_NoFin!K136,Captura_NoFin!H136)&lt;2,"",IFERROR(Captura_NoFin!K136/Captura_NoFin!H136,""))</f>
        <v/>
      </c>
      <c r="M136" s="55">
        <f>IF(COUNT(Captura_NoFin!R136)&lt;1,"",IFERROR(IF(D136=2017,Captura_NoFin!R136/INDEX(Empresas!$I$2:$I$23,MATCH($A136,Empresas!$B$2:$B$23,0))-1,IF(COUNT(Captura_NoFin!R135)&lt;1,"",Captura_NoFin!R136/Captura_NoFin!R135-1)),""))</f>
        <v/>
      </c>
      <c r="N136" s="55">
        <f>IF(COUNT(Captura_NoFin!P136,Captura_NoFin!O136)&lt;2,"",IF(Captura_NoFin!O136&lt;=0,"",Captura_NoFin!P136/Captura_NoFin!O136))</f>
        <v/>
      </c>
      <c r="O136" s="56">
        <f>COUNT(F136:M136)</f>
        <v/>
      </c>
      <c r="P136" s="57">
        <f>IF(COUNT(Captura_NoFin!H136,Captura_NoFin!I136,Captura_NoFin!J136)&lt;3,"",IF(ABS(Captura_NoFin!H136-Captura_NoFin!I136-Captura_NoFin!J136)&lt;=0.005*ABS(Captura_NoFin!H136),"OK","REVISAR"))</f>
        <v/>
      </c>
    </row>
    <row r="137" ht="15" customHeight="1" s="31">
      <c r="A137" s="51">
        <f>Captura_NoFin!A137</f>
        <v/>
      </c>
      <c r="B137" s="51">
        <f>Captura_NoFin!B137</f>
        <v/>
      </c>
      <c r="C137" s="51">
        <f>Captura_NoFin!C137</f>
        <v/>
      </c>
      <c r="D137" s="52">
        <f>Captura_NoFin!D137</f>
        <v/>
      </c>
      <c r="E137" s="53">
        <f>IF(COUNT(Captura_NoFin!M137,Captura_NoFin!L137)&lt;2,"",Captura_NoFin!M137+ABS(Captura_NoFin!L137))</f>
        <v/>
      </c>
      <c r="F137" s="54">
        <f>IF(COUNT(Captura_NoFin!F137,Captura_NoFin!G137)&lt;2,"",IFERROR(Captura_NoFin!F137/Captura_NoFin!G137,""))</f>
        <v/>
      </c>
      <c r="G137" s="55">
        <f>IF(COUNT(Captura_NoFin!F137,Captura_NoFin!G137,Captura_NoFin!H137)&lt;3,"",IFERROR((Captura_NoFin!F137-Captura_NoFin!G137)/Captura_NoFin!H137,""))</f>
        <v/>
      </c>
      <c r="H137" s="55">
        <f>IF(OR(E137="",COUNT(Captura_NoFin!K137)&lt;1),"",IFERROR(E137/Captura_NoFin!K137,""))</f>
        <v/>
      </c>
      <c r="I137" s="55">
        <f>IF(COUNT(Captura_NoFin!N137,Captura_NoFin!H137)&lt;2,"",IFERROR(Captura_NoFin!N137/Captura_NoFin!H137,""))</f>
        <v/>
      </c>
      <c r="J137" s="55">
        <f>IF(COUNT(Captura_NoFin!I137,Captura_NoFin!H137)&lt;2,"",IFERROR(Captura_NoFin!I137/Captura_NoFin!H137,""))</f>
        <v/>
      </c>
      <c r="K137" s="54">
        <f>IF(OR(E137="",COUNT(Captura_NoFin!L137)&lt;1),"",IFERROR(E137/ABS(Captura_NoFin!L137),""))</f>
        <v/>
      </c>
      <c r="L137" s="54">
        <f>IF(COUNT(Captura_NoFin!K137,Captura_NoFin!H137)&lt;2,"",IFERROR(Captura_NoFin!K137/Captura_NoFin!H137,""))</f>
        <v/>
      </c>
      <c r="M137" s="55">
        <f>IF(COUNT(Captura_NoFin!R137)&lt;1,"",IFERROR(IF(D137=2017,Captura_NoFin!R137/INDEX(Empresas!$I$2:$I$23,MATCH($A137,Empresas!$B$2:$B$23,0))-1,IF(COUNT(Captura_NoFin!R136)&lt;1,"",Captura_NoFin!R137/Captura_NoFin!R136-1)),""))</f>
        <v/>
      </c>
      <c r="N137" s="55">
        <f>IF(COUNT(Captura_NoFin!P137,Captura_NoFin!O137)&lt;2,"",IF(Captura_NoFin!O137&lt;=0,"",Captura_NoFin!P137/Captura_NoFin!O137))</f>
        <v/>
      </c>
      <c r="O137" s="56">
        <f>COUNT(F137:M137)</f>
        <v/>
      </c>
      <c r="P137" s="57">
        <f>IF(COUNT(Captura_NoFin!H137,Captura_NoFin!I137,Captura_NoFin!J137)&lt;3,"",IF(ABS(Captura_NoFin!H137-Captura_NoFin!I137-Captura_NoFin!J137)&lt;=0.005*ABS(Captura_NoFin!H137),"OK","REVISAR"))</f>
        <v/>
      </c>
    </row>
    <row r="138" ht="15" customHeight="1" s="31">
      <c r="A138" s="51">
        <f>Captura_NoFin!A138</f>
        <v/>
      </c>
      <c r="B138" s="51">
        <f>Captura_NoFin!B138</f>
        <v/>
      </c>
      <c r="C138" s="51">
        <f>Captura_NoFin!C138</f>
        <v/>
      </c>
      <c r="D138" s="52">
        <f>Captura_NoFin!D138</f>
        <v/>
      </c>
      <c r="E138" s="53">
        <f>IF(COUNT(Captura_NoFin!M138,Captura_NoFin!L138)&lt;2,"",Captura_NoFin!M138+ABS(Captura_NoFin!L138))</f>
        <v/>
      </c>
      <c r="F138" s="54">
        <f>IF(COUNT(Captura_NoFin!F138,Captura_NoFin!G138)&lt;2,"",IFERROR(Captura_NoFin!F138/Captura_NoFin!G138,""))</f>
        <v/>
      </c>
      <c r="G138" s="55">
        <f>IF(COUNT(Captura_NoFin!F138,Captura_NoFin!G138,Captura_NoFin!H138)&lt;3,"",IFERROR((Captura_NoFin!F138-Captura_NoFin!G138)/Captura_NoFin!H138,""))</f>
        <v/>
      </c>
      <c r="H138" s="55">
        <f>IF(OR(E138="",COUNT(Captura_NoFin!K138)&lt;1),"",IFERROR(E138/Captura_NoFin!K138,""))</f>
        <v/>
      </c>
      <c r="I138" s="55">
        <f>IF(COUNT(Captura_NoFin!N138,Captura_NoFin!H138)&lt;2,"",IFERROR(Captura_NoFin!N138/Captura_NoFin!H138,""))</f>
        <v/>
      </c>
      <c r="J138" s="55">
        <f>IF(COUNT(Captura_NoFin!I138,Captura_NoFin!H138)&lt;2,"",IFERROR(Captura_NoFin!I138/Captura_NoFin!H138,""))</f>
        <v/>
      </c>
      <c r="K138" s="54">
        <f>IF(OR(E138="",COUNT(Captura_NoFin!L138)&lt;1),"",IFERROR(E138/ABS(Captura_NoFin!L138),""))</f>
        <v/>
      </c>
      <c r="L138" s="54">
        <f>IF(COUNT(Captura_NoFin!K138,Captura_NoFin!H138)&lt;2,"",IFERROR(Captura_NoFin!K138/Captura_NoFin!H138,""))</f>
        <v/>
      </c>
      <c r="M138" s="55">
        <f>IF(COUNT(Captura_NoFin!R138)&lt;1,"",IFERROR(IF(D138=2017,Captura_NoFin!R138/INDEX(Empresas!$I$2:$I$23,MATCH($A138,Empresas!$B$2:$B$23,0))-1,IF(COUNT(Captura_NoFin!R137)&lt;1,"",Captura_NoFin!R138/Captura_NoFin!R137-1)),""))</f>
        <v/>
      </c>
      <c r="N138" s="55">
        <f>IF(COUNT(Captura_NoFin!P138,Captura_NoFin!O138)&lt;2,"",IF(Captura_NoFin!O138&lt;=0,"",Captura_NoFin!P138/Captura_NoFin!O138))</f>
        <v/>
      </c>
      <c r="O138" s="56">
        <f>COUNT(F138:M138)</f>
        <v/>
      </c>
      <c r="P138" s="57">
        <f>IF(COUNT(Captura_NoFin!H138,Captura_NoFin!I138,Captura_NoFin!J138)&lt;3,"",IF(ABS(Captura_NoFin!H138-Captura_NoFin!I138-Captura_NoFin!J138)&lt;=0.005*ABS(Captura_NoFin!H138),"OK","REVISAR"))</f>
        <v/>
      </c>
    </row>
    <row r="139" ht="15" customHeight="1" s="31">
      <c r="A139" s="51">
        <f>Captura_NoFin!A139</f>
        <v/>
      </c>
      <c r="B139" s="51">
        <f>Captura_NoFin!B139</f>
        <v/>
      </c>
      <c r="C139" s="51">
        <f>Captura_NoFin!C139</f>
        <v/>
      </c>
      <c r="D139" s="52">
        <f>Captura_NoFin!D139</f>
        <v/>
      </c>
      <c r="E139" s="53">
        <f>IF(COUNT(Captura_NoFin!M139,Captura_NoFin!L139)&lt;2,"",Captura_NoFin!M139+ABS(Captura_NoFin!L139))</f>
        <v/>
      </c>
      <c r="F139" s="54">
        <f>IF(COUNT(Captura_NoFin!F139,Captura_NoFin!G139)&lt;2,"",IFERROR(Captura_NoFin!F139/Captura_NoFin!G139,""))</f>
        <v/>
      </c>
      <c r="G139" s="55">
        <f>IF(COUNT(Captura_NoFin!F139,Captura_NoFin!G139,Captura_NoFin!H139)&lt;3,"",IFERROR((Captura_NoFin!F139-Captura_NoFin!G139)/Captura_NoFin!H139,""))</f>
        <v/>
      </c>
      <c r="H139" s="55">
        <f>IF(OR(E139="",COUNT(Captura_NoFin!K139)&lt;1),"",IFERROR(E139/Captura_NoFin!K139,""))</f>
        <v/>
      </c>
      <c r="I139" s="55">
        <f>IF(COUNT(Captura_NoFin!N139,Captura_NoFin!H139)&lt;2,"",IFERROR(Captura_NoFin!N139/Captura_NoFin!H139,""))</f>
        <v/>
      </c>
      <c r="J139" s="55">
        <f>IF(COUNT(Captura_NoFin!I139,Captura_NoFin!H139)&lt;2,"",IFERROR(Captura_NoFin!I139/Captura_NoFin!H139,""))</f>
        <v/>
      </c>
      <c r="K139" s="54">
        <f>IF(OR(E139="",COUNT(Captura_NoFin!L139)&lt;1),"",IFERROR(E139/ABS(Captura_NoFin!L139),""))</f>
        <v/>
      </c>
      <c r="L139" s="54">
        <f>IF(COUNT(Captura_NoFin!K139,Captura_NoFin!H139)&lt;2,"",IFERROR(Captura_NoFin!K139/Captura_NoFin!H139,""))</f>
        <v/>
      </c>
      <c r="M139" s="55">
        <f>IF(COUNT(Captura_NoFin!R139)&lt;1,"",IFERROR(IF(D139=2017,Captura_NoFin!R139/INDEX(Empresas!$I$2:$I$23,MATCH($A139,Empresas!$B$2:$B$23,0))-1,IF(COUNT(Captura_NoFin!R138)&lt;1,"",Captura_NoFin!R139/Captura_NoFin!R138-1)),""))</f>
        <v/>
      </c>
      <c r="N139" s="55">
        <f>IF(COUNT(Captura_NoFin!P139,Captura_NoFin!O139)&lt;2,"",IF(Captura_NoFin!O139&lt;=0,"",Captura_NoFin!P139/Captura_NoFin!O139))</f>
        <v/>
      </c>
      <c r="O139" s="56">
        <f>COUNT(F139:M139)</f>
        <v/>
      </c>
      <c r="P139" s="57">
        <f>IF(COUNT(Captura_NoFin!H139,Captura_NoFin!I139,Captura_NoFin!J139)&lt;3,"",IF(ABS(Captura_NoFin!H139-Captura_NoFin!I139-Captura_NoFin!J139)&lt;=0.005*ABS(Captura_NoFin!H139),"OK","REVISAR"))</f>
        <v/>
      </c>
    </row>
    <row r="140" ht="15" customHeight="1" s="31">
      <c r="A140" s="51">
        <f>Captura_NoFin!A140</f>
        <v/>
      </c>
      <c r="B140" s="51">
        <f>Captura_NoFin!B140</f>
        <v/>
      </c>
      <c r="C140" s="51">
        <f>Captura_NoFin!C140</f>
        <v/>
      </c>
      <c r="D140" s="52">
        <f>Captura_NoFin!D140</f>
        <v/>
      </c>
      <c r="E140" s="53">
        <f>IF(COUNT(Captura_NoFin!M140,Captura_NoFin!L140)&lt;2,"",Captura_NoFin!M140+ABS(Captura_NoFin!L140))</f>
        <v/>
      </c>
      <c r="F140" s="54">
        <f>IF(COUNT(Captura_NoFin!F140,Captura_NoFin!G140)&lt;2,"",IFERROR(Captura_NoFin!F140/Captura_NoFin!G140,""))</f>
        <v/>
      </c>
      <c r="G140" s="55">
        <f>IF(COUNT(Captura_NoFin!F140,Captura_NoFin!G140,Captura_NoFin!H140)&lt;3,"",IFERROR((Captura_NoFin!F140-Captura_NoFin!G140)/Captura_NoFin!H140,""))</f>
        <v/>
      </c>
      <c r="H140" s="55">
        <f>IF(OR(E140="",COUNT(Captura_NoFin!K140)&lt;1),"",IFERROR(E140/Captura_NoFin!K140,""))</f>
        <v/>
      </c>
      <c r="I140" s="55">
        <f>IF(COUNT(Captura_NoFin!N140,Captura_NoFin!H140)&lt;2,"",IFERROR(Captura_NoFin!N140/Captura_NoFin!H140,""))</f>
        <v/>
      </c>
      <c r="J140" s="55">
        <f>IF(COUNT(Captura_NoFin!I140,Captura_NoFin!H140)&lt;2,"",IFERROR(Captura_NoFin!I140/Captura_NoFin!H140,""))</f>
        <v/>
      </c>
      <c r="K140" s="54">
        <f>IF(OR(E140="",COUNT(Captura_NoFin!L140)&lt;1),"",IFERROR(E140/ABS(Captura_NoFin!L140),""))</f>
        <v/>
      </c>
      <c r="L140" s="54">
        <f>IF(COUNT(Captura_NoFin!K140,Captura_NoFin!H140)&lt;2,"",IFERROR(Captura_NoFin!K140/Captura_NoFin!H140,""))</f>
        <v/>
      </c>
      <c r="M140" s="55">
        <f>IF(COUNT(Captura_NoFin!R140)&lt;1,"",IFERROR(IF(D140=2017,Captura_NoFin!R140/INDEX(Empresas!$I$2:$I$23,MATCH($A140,Empresas!$B$2:$B$23,0))-1,IF(COUNT(Captura_NoFin!R139)&lt;1,"",Captura_NoFin!R140/Captura_NoFin!R139-1)),""))</f>
        <v/>
      </c>
      <c r="N140" s="55">
        <f>IF(COUNT(Captura_NoFin!P140,Captura_NoFin!O140)&lt;2,"",IF(Captura_NoFin!O140&lt;=0,"",Captura_NoFin!P140/Captura_NoFin!O140))</f>
        <v/>
      </c>
      <c r="O140" s="56">
        <f>COUNT(F140:M140)</f>
        <v/>
      </c>
      <c r="P140" s="57">
        <f>IF(COUNT(Captura_NoFin!H140,Captura_NoFin!I140,Captura_NoFin!J140)&lt;3,"",IF(ABS(Captura_NoFin!H140-Captura_NoFin!I140-Captura_NoFin!J140)&lt;=0.005*ABS(Captura_NoFin!H140),"OK","REVISAR"))</f>
        <v/>
      </c>
    </row>
    <row r="141" ht="15" customHeight="1" s="31">
      <c r="A141" s="51">
        <f>Captura_NoFin!A141</f>
        <v/>
      </c>
      <c r="B141" s="51">
        <f>Captura_NoFin!B141</f>
        <v/>
      </c>
      <c r="C141" s="51">
        <f>Captura_NoFin!C141</f>
        <v/>
      </c>
      <c r="D141" s="52">
        <f>Captura_NoFin!D141</f>
        <v/>
      </c>
      <c r="E141" s="53">
        <f>IF(COUNT(Captura_NoFin!M141,Captura_NoFin!L141)&lt;2,"",Captura_NoFin!M141+ABS(Captura_NoFin!L141))</f>
        <v/>
      </c>
      <c r="F141" s="54">
        <f>IF(COUNT(Captura_NoFin!F141,Captura_NoFin!G141)&lt;2,"",IFERROR(Captura_NoFin!F141/Captura_NoFin!G141,""))</f>
        <v/>
      </c>
      <c r="G141" s="55">
        <f>IF(COUNT(Captura_NoFin!F141,Captura_NoFin!G141,Captura_NoFin!H141)&lt;3,"",IFERROR((Captura_NoFin!F141-Captura_NoFin!G141)/Captura_NoFin!H141,""))</f>
        <v/>
      </c>
      <c r="H141" s="55">
        <f>IF(OR(E141="",COUNT(Captura_NoFin!K141)&lt;1),"",IFERROR(E141/Captura_NoFin!K141,""))</f>
        <v/>
      </c>
      <c r="I141" s="55">
        <f>IF(COUNT(Captura_NoFin!N141,Captura_NoFin!H141)&lt;2,"",IFERROR(Captura_NoFin!N141/Captura_NoFin!H141,""))</f>
        <v/>
      </c>
      <c r="J141" s="55">
        <f>IF(COUNT(Captura_NoFin!I141,Captura_NoFin!H141)&lt;2,"",IFERROR(Captura_NoFin!I141/Captura_NoFin!H141,""))</f>
        <v/>
      </c>
      <c r="K141" s="54">
        <f>IF(OR(E141="",COUNT(Captura_NoFin!L141)&lt;1),"",IFERROR(E141/ABS(Captura_NoFin!L141),""))</f>
        <v/>
      </c>
      <c r="L141" s="54">
        <f>IF(COUNT(Captura_NoFin!K141,Captura_NoFin!H141)&lt;2,"",IFERROR(Captura_NoFin!K141/Captura_NoFin!H141,""))</f>
        <v/>
      </c>
      <c r="M141" s="55">
        <f>IF(COUNT(Captura_NoFin!R141)&lt;1,"",IFERROR(IF(D141=2017,Captura_NoFin!R141/INDEX(Empresas!$I$2:$I$23,MATCH($A141,Empresas!$B$2:$B$23,0))-1,IF(COUNT(Captura_NoFin!R140)&lt;1,"",Captura_NoFin!R141/Captura_NoFin!R140-1)),""))</f>
        <v/>
      </c>
      <c r="N141" s="55">
        <f>IF(COUNT(Captura_NoFin!P141,Captura_NoFin!O141)&lt;2,"",IF(Captura_NoFin!O141&lt;=0,"",Captura_NoFin!P141/Captura_NoFin!O141))</f>
        <v/>
      </c>
      <c r="O141" s="56">
        <f>COUNT(F141:M141)</f>
        <v/>
      </c>
      <c r="P141" s="57">
        <f>IF(COUNT(Captura_NoFin!H141,Captura_NoFin!I141,Captura_NoFin!J141)&lt;3,"",IF(ABS(Captura_NoFin!H141-Captura_NoFin!I141-Captura_NoFin!J141)&lt;=0.005*ABS(Captura_NoFin!H141),"OK","REVISAR"))</f>
        <v/>
      </c>
    </row>
    <row r="142" ht="15" customHeight="1" s="31">
      <c r="A142" s="51">
        <f>Captura_NoFin!A142</f>
        <v/>
      </c>
      <c r="B142" s="51">
        <f>Captura_NoFin!B142</f>
        <v/>
      </c>
      <c r="C142" s="51">
        <f>Captura_NoFin!C142</f>
        <v/>
      </c>
      <c r="D142" s="52">
        <f>Captura_NoFin!D142</f>
        <v/>
      </c>
      <c r="E142" s="53">
        <f>IF(COUNT(Captura_NoFin!M142,Captura_NoFin!L142)&lt;2,"",Captura_NoFin!M142+ABS(Captura_NoFin!L142))</f>
        <v/>
      </c>
      <c r="F142" s="54">
        <f>IF(COUNT(Captura_NoFin!F142,Captura_NoFin!G142)&lt;2,"",IFERROR(Captura_NoFin!F142/Captura_NoFin!G142,""))</f>
        <v/>
      </c>
      <c r="G142" s="55">
        <f>IF(COUNT(Captura_NoFin!F142,Captura_NoFin!G142,Captura_NoFin!H142)&lt;3,"",IFERROR((Captura_NoFin!F142-Captura_NoFin!G142)/Captura_NoFin!H142,""))</f>
        <v/>
      </c>
      <c r="H142" s="55">
        <f>IF(OR(E142="",COUNT(Captura_NoFin!K142)&lt;1),"",IFERROR(E142/Captura_NoFin!K142,""))</f>
        <v/>
      </c>
      <c r="I142" s="55">
        <f>IF(COUNT(Captura_NoFin!N142,Captura_NoFin!H142)&lt;2,"",IFERROR(Captura_NoFin!N142/Captura_NoFin!H142,""))</f>
        <v/>
      </c>
      <c r="J142" s="55">
        <f>IF(COUNT(Captura_NoFin!I142,Captura_NoFin!H142)&lt;2,"",IFERROR(Captura_NoFin!I142/Captura_NoFin!H142,""))</f>
        <v/>
      </c>
      <c r="K142" s="54">
        <f>IF(OR(E142="",COUNT(Captura_NoFin!L142)&lt;1),"",IFERROR(E142/ABS(Captura_NoFin!L142),""))</f>
        <v/>
      </c>
      <c r="L142" s="54">
        <f>IF(COUNT(Captura_NoFin!K142,Captura_NoFin!H142)&lt;2,"",IFERROR(Captura_NoFin!K142/Captura_NoFin!H142,""))</f>
        <v/>
      </c>
      <c r="M142" s="55">
        <f>IF(COUNT(Captura_NoFin!R142)&lt;1,"",IFERROR(IF(D142=2017,Captura_NoFin!R142/INDEX(Empresas!$I$2:$I$23,MATCH($A142,Empresas!$B$2:$B$23,0))-1,IF(COUNT(Captura_NoFin!R141)&lt;1,"",Captura_NoFin!R142/Captura_NoFin!R141-1)),""))</f>
        <v/>
      </c>
      <c r="N142" s="55">
        <f>IF(COUNT(Captura_NoFin!P142,Captura_NoFin!O142)&lt;2,"",IF(Captura_NoFin!O142&lt;=0,"",Captura_NoFin!P142/Captura_NoFin!O142))</f>
        <v/>
      </c>
      <c r="O142" s="56">
        <f>COUNT(F142:M142)</f>
        <v/>
      </c>
      <c r="P142" s="57">
        <f>IF(COUNT(Captura_NoFin!H142,Captura_NoFin!I142,Captura_NoFin!J142)&lt;3,"",IF(ABS(Captura_NoFin!H142-Captura_NoFin!I142-Captura_NoFin!J142)&lt;=0.005*ABS(Captura_NoFin!H142),"OK","REVISAR"))</f>
        <v/>
      </c>
    </row>
    <row r="143" ht="15" customHeight="1" s="31">
      <c r="A143" s="51">
        <f>Captura_NoFin!A143</f>
        <v/>
      </c>
      <c r="B143" s="51">
        <f>Captura_NoFin!B143</f>
        <v/>
      </c>
      <c r="C143" s="51">
        <f>Captura_NoFin!C143</f>
        <v/>
      </c>
      <c r="D143" s="52">
        <f>Captura_NoFin!D143</f>
        <v/>
      </c>
      <c r="E143" s="53">
        <f>IF(COUNT(Captura_NoFin!M143,Captura_NoFin!L143)&lt;2,"",Captura_NoFin!M143+ABS(Captura_NoFin!L143))</f>
        <v/>
      </c>
      <c r="F143" s="54">
        <f>IF(COUNT(Captura_NoFin!F143,Captura_NoFin!G143)&lt;2,"",IFERROR(Captura_NoFin!F143/Captura_NoFin!G143,""))</f>
        <v/>
      </c>
      <c r="G143" s="55">
        <f>IF(COUNT(Captura_NoFin!F143,Captura_NoFin!G143,Captura_NoFin!H143)&lt;3,"",IFERROR((Captura_NoFin!F143-Captura_NoFin!G143)/Captura_NoFin!H143,""))</f>
        <v/>
      </c>
      <c r="H143" s="55">
        <f>IF(OR(E143="",COUNT(Captura_NoFin!K143)&lt;1),"",IFERROR(E143/Captura_NoFin!K143,""))</f>
        <v/>
      </c>
      <c r="I143" s="55">
        <f>IF(COUNT(Captura_NoFin!N143,Captura_NoFin!H143)&lt;2,"",IFERROR(Captura_NoFin!N143/Captura_NoFin!H143,""))</f>
        <v/>
      </c>
      <c r="J143" s="55">
        <f>IF(COUNT(Captura_NoFin!I143,Captura_NoFin!H143)&lt;2,"",IFERROR(Captura_NoFin!I143/Captura_NoFin!H143,""))</f>
        <v/>
      </c>
      <c r="K143" s="54">
        <f>IF(OR(E143="",COUNT(Captura_NoFin!L143)&lt;1),"",IFERROR(E143/ABS(Captura_NoFin!L143),""))</f>
        <v/>
      </c>
      <c r="L143" s="54">
        <f>IF(COUNT(Captura_NoFin!K143,Captura_NoFin!H143)&lt;2,"",IFERROR(Captura_NoFin!K143/Captura_NoFin!H143,""))</f>
        <v/>
      </c>
      <c r="M143" s="55">
        <f>IF(COUNT(Captura_NoFin!R143)&lt;1,"",IFERROR(IF(D143=2017,Captura_NoFin!R143/INDEX(Empresas!$I$2:$I$23,MATCH($A143,Empresas!$B$2:$B$23,0))-1,IF(COUNT(Captura_NoFin!R142)&lt;1,"",Captura_NoFin!R143/Captura_NoFin!R142-1)),""))</f>
        <v/>
      </c>
      <c r="N143" s="55">
        <f>IF(COUNT(Captura_NoFin!P143,Captura_NoFin!O143)&lt;2,"",IF(Captura_NoFin!O143&lt;=0,"",Captura_NoFin!P143/Captura_NoFin!O143))</f>
        <v/>
      </c>
      <c r="O143" s="56">
        <f>COUNT(F143:M143)</f>
        <v/>
      </c>
      <c r="P143" s="57">
        <f>IF(COUNT(Captura_NoFin!H143,Captura_NoFin!I143,Captura_NoFin!J143)&lt;3,"",IF(ABS(Captura_NoFin!H143-Captura_NoFin!I143-Captura_NoFin!J143)&lt;=0.005*ABS(Captura_NoFin!H143),"OK","REVISAR"))</f>
        <v/>
      </c>
    </row>
    <row r="144" ht="15" customHeight="1" s="31">
      <c r="A144" s="51">
        <f>Captura_NoFin!A144</f>
        <v/>
      </c>
      <c r="B144" s="51">
        <f>Captura_NoFin!B144</f>
        <v/>
      </c>
      <c r="C144" s="51">
        <f>Captura_NoFin!C144</f>
        <v/>
      </c>
      <c r="D144" s="52">
        <f>Captura_NoFin!D144</f>
        <v/>
      </c>
      <c r="E144" s="53">
        <f>IF(COUNT(Captura_NoFin!M144,Captura_NoFin!L144)&lt;2,"",Captura_NoFin!M144+ABS(Captura_NoFin!L144))</f>
        <v/>
      </c>
      <c r="F144" s="54">
        <f>IF(COUNT(Captura_NoFin!F144,Captura_NoFin!G144)&lt;2,"",IFERROR(Captura_NoFin!F144/Captura_NoFin!G144,""))</f>
        <v/>
      </c>
      <c r="G144" s="55">
        <f>IF(COUNT(Captura_NoFin!F144,Captura_NoFin!G144,Captura_NoFin!H144)&lt;3,"",IFERROR((Captura_NoFin!F144-Captura_NoFin!G144)/Captura_NoFin!H144,""))</f>
        <v/>
      </c>
      <c r="H144" s="55">
        <f>IF(OR(E144="",COUNT(Captura_NoFin!K144)&lt;1),"",IFERROR(E144/Captura_NoFin!K144,""))</f>
        <v/>
      </c>
      <c r="I144" s="55">
        <f>IF(COUNT(Captura_NoFin!N144,Captura_NoFin!H144)&lt;2,"",IFERROR(Captura_NoFin!N144/Captura_NoFin!H144,""))</f>
        <v/>
      </c>
      <c r="J144" s="55">
        <f>IF(COUNT(Captura_NoFin!I144,Captura_NoFin!H144)&lt;2,"",IFERROR(Captura_NoFin!I144/Captura_NoFin!H144,""))</f>
        <v/>
      </c>
      <c r="K144" s="54">
        <f>IF(OR(E144="",COUNT(Captura_NoFin!L144)&lt;1),"",IFERROR(E144/ABS(Captura_NoFin!L144),""))</f>
        <v/>
      </c>
      <c r="L144" s="54">
        <f>IF(COUNT(Captura_NoFin!K144,Captura_NoFin!H144)&lt;2,"",IFERROR(Captura_NoFin!K144/Captura_NoFin!H144,""))</f>
        <v/>
      </c>
      <c r="M144" s="55">
        <f>IF(COUNT(Captura_NoFin!R144)&lt;1,"",IFERROR(IF(D144=2017,Captura_NoFin!R144/INDEX(Empresas!$I$2:$I$23,MATCH($A144,Empresas!$B$2:$B$23,0))-1,IF(COUNT(Captura_NoFin!R143)&lt;1,"",Captura_NoFin!R144/Captura_NoFin!R143-1)),""))</f>
        <v/>
      </c>
      <c r="N144" s="55">
        <f>IF(COUNT(Captura_NoFin!P144,Captura_NoFin!O144)&lt;2,"",IF(Captura_NoFin!O144&lt;=0,"",Captura_NoFin!P144/Captura_NoFin!O144))</f>
        <v/>
      </c>
      <c r="O144" s="56">
        <f>COUNT(F144:M144)</f>
        <v/>
      </c>
      <c r="P144" s="57">
        <f>IF(COUNT(Captura_NoFin!H144,Captura_NoFin!I144,Captura_NoFin!J144)&lt;3,"",IF(ABS(Captura_NoFin!H144-Captura_NoFin!I144-Captura_NoFin!J144)&lt;=0.005*ABS(Captura_NoFin!H144),"OK","REVISAR"))</f>
        <v/>
      </c>
    </row>
    <row r="145" ht="15" customHeight="1" s="31">
      <c r="A145" s="51">
        <f>Captura_NoFin!A145</f>
        <v/>
      </c>
      <c r="B145" s="51">
        <f>Captura_NoFin!B145</f>
        <v/>
      </c>
      <c r="C145" s="51">
        <f>Captura_NoFin!C145</f>
        <v/>
      </c>
      <c r="D145" s="52">
        <f>Captura_NoFin!D145</f>
        <v/>
      </c>
      <c r="E145" s="53">
        <f>IF(COUNT(Captura_NoFin!M145,Captura_NoFin!L145)&lt;2,"",Captura_NoFin!M145+ABS(Captura_NoFin!L145))</f>
        <v/>
      </c>
      <c r="F145" s="54">
        <f>IF(COUNT(Captura_NoFin!F145,Captura_NoFin!G145)&lt;2,"",IFERROR(Captura_NoFin!F145/Captura_NoFin!G145,""))</f>
        <v/>
      </c>
      <c r="G145" s="55">
        <f>IF(COUNT(Captura_NoFin!F145,Captura_NoFin!G145,Captura_NoFin!H145)&lt;3,"",IFERROR((Captura_NoFin!F145-Captura_NoFin!G145)/Captura_NoFin!H145,""))</f>
        <v/>
      </c>
      <c r="H145" s="55">
        <f>IF(OR(E145="",COUNT(Captura_NoFin!K145)&lt;1),"",IFERROR(E145/Captura_NoFin!K145,""))</f>
        <v/>
      </c>
      <c r="I145" s="55">
        <f>IF(COUNT(Captura_NoFin!N145,Captura_NoFin!H145)&lt;2,"",IFERROR(Captura_NoFin!N145/Captura_NoFin!H145,""))</f>
        <v/>
      </c>
      <c r="J145" s="55">
        <f>IF(COUNT(Captura_NoFin!I145,Captura_NoFin!H145)&lt;2,"",IFERROR(Captura_NoFin!I145/Captura_NoFin!H145,""))</f>
        <v/>
      </c>
      <c r="K145" s="54">
        <f>IF(OR(E145="",COUNT(Captura_NoFin!L145)&lt;1),"",IFERROR(E145/ABS(Captura_NoFin!L145),""))</f>
        <v/>
      </c>
      <c r="L145" s="54">
        <f>IF(COUNT(Captura_NoFin!K145,Captura_NoFin!H145)&lt;2,"",IFERROR(Captura_NoFin!K145/Captura_NoFin!H145,""))</f>
        <v/>
      </c>
      <c r="M145" s="55">
        <f>IF(COUNT(Captura_NoFin!R145)&lt;1,"",IFERROR(IF(D145=2017,Captura_NoFin!R145/INDEX(Empresas!$I$2:$I$23,MATCH($A145,Empresas!$B$2:$B$23,0))-1,IF(COUNT(Captura_NoFin!R144)&lt;1,"",Captura_NoFin!R145/Captura_NoFin!R144-1)),""))</f>
        <v/>
      </c>
      <c r="N145" s="55">
        <f>IF(COUNT(Captura_NoFin!P145,Captura_NoFin!O145)&lt;2,"",IF(Captura_NoFin!O145&lt;=0,"",Captura_NoFin!P145/Captura_NoFin!O145))</f>
        <v/>
      </c>
      <c r="O145" s="56">
        <f>COUNT(F145:M145)</f>
        <v/>
      </c>
      <c r="P145" s="57">
        <f>IF(COUNT(Captura_NoFin!H145,Captura_NoFin!I145,Captura_NoFin!J145)&lt;3,"",IF(ABS(Captura_NoFin!H145-Captura_NoFin!I145-Captura_NoFin!J145)&lt;=0.005*ABS(Captura_NoFin!H145),"OK","REVISAR"))</f>
        <v/>
      </c>
    </row>
    <row r="146" ht="15" customHeight="1" s="31">
      <c r="A146" s="51">
        <f>Captura_NoFin!A146</f>
        <v/>
      </c>
      <c r="B146" s="51">
        <f>Captura_NoFin!B146</f>
        <v/>
      </c>
      <c r="C146" s="51">
        <f>Captura_NoFin!C146</f>
        <v/>
      </c>
      <c r="D146" s="52">
        <f>Captura_NoFin!D146</f>
        <v/>
      </c>
      <c r="E146" s="53">
        <f>IF(COUNT(Captura_NoFin!M146,Captura_NoFin!L146)&lt;2,"",Captura_NoFin!M146+ABS(Captura_NoFin!L146))</f>
        <v/>
      </c>
      <c r="F146" s="54">
        <f>IF(COUNT(Captura_NoFin!F146,Captura_NoFin!G146)&lt;2,"",IFERROR(Captura_NoFin!F146/Captura_NoFin!G146,""))</f>
        <v/>
      </c>
      <c r="G146" s="55">
        <f>IF(COUNT(Captura_NoFin!F146,Captura_NoFin!G146,Captura_NoFin!H146)&lt;3,"",IFERROR((Captura_NoFin!F146-Captura_NoFin!G146)/Captura_NoFin!H146,""))</f>
        <v/>
      </c>
      <c r="H146" s="55">
        <f>IF(OR(E146="",COUNT(Captura_NoFin!K146)&lt;1),"",IFERROR(E146/Captura_NoFin!K146,""))</f>
        <v/>
      </c>
      <c r="I146" s="55">
        <f>IF(COUNT(Captura_NoFin!N146,Captura_NoFin!H146)&lt;2,"",IFERROR(Captura_NoFin!N146/Captura_NoFin!H146,""))</f>
        <v/>
      </c>
      <c r="J146" s="55">
        <f>IF(COUNT(Captura_NoFin!I146,Captura_NoFin!H146)&lt;2,"",IFERROR(Captura_NoFin!I146/Captura_NoFin!H146,""))</f>
        <v/>
      </c>
      <c r="K146" s="54">
        <f>IF(OR(E146="",COUNT(Captura_NoFin!L146)&lt;1),"",IFERROR(E146/ABS(Captura_NoFin!L146),""))</f>
        <v/>
      </c>
      <c r="L146" s="54">
        <f>IF(COUNT(Captura_NoFin!K146,Captura_NoFin!H146)&lt;2,"",IFERROR(Captura_NoFin!K146/Captura_NoFin!H146,""))</f>
        <v/>
      </c>
      <c r="M146" s="55">
        <f>IF(COUNT(Captura_NoFin!R146)&lt;1,"",IFERROR(IF(D146=2017,Captura_NoFin!R146/INDEX(Empresas!$I$2:$I$23,MATCH($A146,Empresas!$B$2:$B$23,0))-1,IF(COUNT(Captura_NoFin!R145)&lt;1,"",Captura_NoFin!R146/Captura_NoFin!R145-1)),""))</f>
        <v/>
      </c>
      <c r="N146" s="55">
        <f>IF(COUNT(Captura_NoFin!P146,Captura_NoFin!O146)&lt;2,"",IF(Captura_NoFin!O146&lt;=0,"",Captura_NoFin!P146/Captura_NoFin!O146))</f>
        <v/>
      </c>
      <c r="O146" s="56">
        <f>COUNT(F146:M146)</f>
        <v/>
      </c>
      <c r="P146" s="57">
        <f>IF(COUNT(Captura_NoFin!H146,Captura_NoFin!I146,Captura_NoFin!J146)&lt;3,"",IF(ABS(Captura_NoFin!H146-Captura_NoFin!I146-Captura_NoFin!J146)&lt;=0.005*ABS(Captura_NoFin!H146),"OK","REVISAR"))</f>
        <v/>
      </c>
    </row>
    <row r="147" ht="15" customHeight="1" s="31">
      <c r="A147" s="51">
        <f>Captura_NoFin!A147</f>
        <v/>
      </c>
      <c r="B147" s="51">
        <f>Captura_NoFin!B147</f>
        <v/>
      </c>
      <c r="C147" s="51">
        <f>Captura_NoFin!C147</f>
        <v/>
      </c>
      <c r="D147" s="52">
        <f>Captura_NoFin!D147</f>
        <v/>
      </c>
      <c r="E147" s="53">
        <f>IF(COUNT(Captura_NoFin!M147,Captura_NoFin!L147)&lt;2,"",Captura_NoFin!M147+ABS(Captura_NoFin!L147))</f>
        <v/>
      </c>
      <c r="F147" s="54">
        <f>IF(COUNT(Captura_NoFin!F147,Captura_NoFin!G147)&lt;2,"",IFERROR(Captura_NoFin!F147/Captura_NoFin!G147,""))</f>
        <v/>
      </c>
      <c r="G147" s="55">
        <f>IF(COUNT(Captura_NoFin!F147,Captura_NoFin!G147,Captura_NoFin!H147)&lt;3,"",IFERROR((Captura_NoFin!F147-Captura_NoFin!G147)/Captura_NoFin!H147,""))</f>
        <v/>
      </c>
      <c r="H147" s="55">
        <f>IF(OR(E147="",COUNT(Captura_NoFin!K147)&lt;1),"",IFERROR(E147/Captura_NoFin!K147,""))</f>
        <v/>
      </c>
      <c r="I147" s="55">
        <f>IF(COUNT(Captura_NoFin!N147,Captura_NoFin!H147)&lt;2,"",IFERROR(Captura_NoFin!N147/Captura_NoFin!H147,""))</f>
        <v/>
      </c>
      <c r="J147" s="55">
        <f>IF(COUNT(Captura_NoFin!I147,Captura_NoFin!H147)&lt;2,"",IFERROR(Captura_NoFin!I147/Captura_NoFin!H147,""))</f>
        <v/>
      </c>
      <c r="K147" s="54">
        <f>IF(OR(E147="",COUNT(Captura_NoFin!L147)&lt;1),"",IFERROR(E147/ABS(Captura_NoFin!L147),""))</f>
        <v/>
      </c>
      <c r="L147" s="54">
        <f>IF(COUNT(Captura_NoFin!K147,Captura_NoFin!H147)&lt;2,"",IFERROR(Captura_NoFin!K147/Captura_NoFin!H147,""))</f>
        <v/>
      </c>
      <c r="M147" s="55">
        <f>IF(COUNT(Captura_NoFin!R147)&lt;1,"",IFERROR(IF(D147=2017,Captura_NoFin!R147/INDEX(Empresas!$I$2:$I$23,MATCH($A147,Empresas!$B$2:$B$23,0))-1,IF(COUNT(Captura_NoFin!R146)&lt;1,"",Captura_NoFin!R147/Captura_NoFin!R146-1)),""))</f>
        <v/>
      </c>
      <c r="N147" s="55">
        <f>IF(COUNT(Captura_NoFin!P147,Captura_NoFin!O147)&lt;2,"",IF(Captura_NoFin!O147&lt;=0,"",Captura_NoFin!P147/Captura_NoFin!O147))</f>
        <v/>
      </c>
      <c r="O147" s="56">
        <f>COUNT(F147:M147)</f>
        <v/>
      </c>
      <c r="P147" s="57">
        <f>IF(COUNT(Captura_NoFin!H147,Captura_NoFin!I147,Captura_NoFin!J147)&lt;3,"",IF(ABS(Captura_NoFin!H147-Captura_NoFin!I147-Captura_NoFin!J147)&lt;=0.005*ABS(Captura_NoFin!H147),"OK","REVISAR"))</f>
        <v/>
      </c>
    </row>
    <row r="148" ht="15" customHeight="1" s="31">
      <c r="A148" s="51">
        <f>Captura_NoFin!A148</f>
        <v/>
      </c>
      <c r="B148" s="51">
        <f>Captura_NoFin!B148</f>
        <v/>
      </c>
      <c r="C148" s="51">
        <f>Captura_NoFin!C148</f>
        <v/>
      </c>
      <c r="D148" s="52">
        <f>Captura_NoFin!D148</f>
        <v/>
      </c>
      <c r="E148" s="53">
        <f>IF(COUNT(Captura_NoFin!M148,Captura_NoFin!L148)&lt;2,"",Captura_NoFin!M148+ABS(Captura_NoFin!L148))</f>
        <v/>
      </c>
      <c r="F148" s="54">
        <f>IF(COUNT(Captura_NoFin!F148,Captura_NoFin!G148)&lt;2,"",IFERROR(Captura_NoFin!F148/Captura_NoFin!G148,""))</f>
        <v/>
      </c>
      <c r="G148" s="55">
        <f>IF(COUNT(Captura_NoFin!F148,Captura_NoFin!G148,Captura_NoFin!H148)&lt;3,"",IFERROR((Captura_NoFin!F148-Captura_NoFin!G148)/Captura_NoFin!H148,""))</f>
        <v/>
      </c>
      <c r="H148" s="55">
        <f>IF(OR(E148="",COUNT(Captura_NoFin!K148)&lt;1),"",IFERROR(E148/Captura_NoFin!K148,""))</f>
        <v/>
      </c>
      <c r="I148" s="55">
        <f>IF(COUNT(Captura_NoFin!N148,Captura_NoFin!H148)&lt;2,"",IFERROR(Captura_NoFin!N148/Captura_NoFin!H148,""))</f>
        <v/>
      </c>
      <c r="J148" s="55">
        <f>IF(COUNT(Captura_NoFin!I148,Captura_NoFin!H148)&lt;2,"",IFERROR(Captura_NoFin!I148/Captura_NoFin!H148,""))</f>
        <v/>
      </c>
      <c r="K148" s="54">
        <f>IF(OR(E148="",COUNT(Captura_NoFin!L148)&lt;1),"",IFERROR(E148/ABS(Captura_NoFin!L148),""))</f>
        <v/>
      </c>
      <c r="L148" s="54">
        <f>IF(COUNT(Captura_NoFin!K148,Captura_NoFin!H148)&lt;2,"",IFERROR(Captura_NoFin!K148/Captura_NoFin!H148,""))</f>
        <v/>
      </c>
      <c r="M148" s="55">
        <f>IF(COUNT(Captura_NoFin!R148)&lt;1,"",IFERROR(IF(D148=2017,Captura_NoFin!R148/INDEX(Empresas!$I$2:$I$23,MATCH($A148,Empresas!$B$2:$B$23,0))-1,IF(COUNT(Captura_NoFin!R147)&lt;1,"",Captura_NoFin!R148/Captura_NoFin!R147-1)),""))</f>
        <v/>
      </c>
      <c r="N148" s="55">
        <f>IF(COUNT(Captura_NoFin!P148,Captura_NoFin!O148)&lt;2,"",IF(Captura_NoFin!O148&lt;=0,"",Captura_NoFin!P148/Captura_NoFin!O148))</f>
        <v/>
      </c>
      <c r="O148" s="56">
        <f>COUNT(F148:M148)</f>
        <v/>
      </c>
      <c r="P148" s="57">
        <f>IF(COUNT(Captura_NoFin!H148,Captura_NoFin!I148,Captura_NoFin!J148)&lt;3,"",IF(ABS(Captura_NoFin!H148-Captura_NoFin!I148-Captura_NoFin!J148)&lt;=0.005*ABS(Captura_NoFin!H148),"OK","REVISAR"))</f>
        <v/>
      </c>
    </row>
    <row r="149" ht="15" customHeight="1" s="31">
      <c r="A149" s="51">
        <f>Captura_NoFin!A149</f>
        <v/>
      </c>
      <c r="B149" s="51">
        <f>Captura_NoFin!B149</f>
        <v/>
      </c>
      <c r="C149" s="51">
        <f>Captura_NoFin!C149</f>
        <v/>
      </c>
      <c r="D149" s="52">
        <f>Captura_NoFin!D149</f>
        <v/>
      </c>
      <c r="E149" s="53">
        <f>IF(COUNT(Captura_NoFin!M149,Captura_NoFin!L149)&lt;2,"",Captura_NoFin!M149+ABS(Captura_NoFin!L149))</f>
        <v/>
      </c>
      <c r="F149" s="54">
        <f>IF(COUNT(Captura_NoFin!F149,Captura_NoFin!G149)&lt;2,"",IFERROR(Captura_NoFin!F149/Captura_NoFin!G149,""))</f>
        <v/>
      </c>
      <c r="G149" s="55">
        <f>IF(COUNT(Captura_NoFin!F149,Captura_NoFin!G149,Captura_NoFin!H149)&lt;3,"",IFERROR((Captura_NoFin!F149-Captura_NoFin!G149)/Captura_NoFin!H149,""))</f>
        <v/>
      </c>
      <c r="H149" s="55">
        <f>IF(OR(E149="",COUNT(Captura_NoFin!K149)&lt;1),"",IFERROR(E149/Captura_NoFin!K149,""))</f>
        <v/>
      </c>
      <c r="I149" s="55">
        <f>IF(COUNT(Captura_NoFin!N149,Captura_NoFin!H149)&lt;2,"",IFERROR(Captura_NoFin!N149/Captura_NoFin!H149,""))</f>
        <v/>
      </c>
      <c r="J149" s="55">
        <f>IF(COUNT(Captura_NoFin!I149,Captura_NoFin!H149)&lt;2,"",IFERROR(Captura_NoFin!I149/Captura_NoFin!H149,""))</f>
        <v/>
      </c>
      <c r="K149" s="54">
        <f>IF(OR(E149="",COUNT(Captura_NoFin!L149)&lt;1),"",IFERROR(E149/ABS(Captura_NoFin!L149),""))</f>
        <v/>
      </c>
      <c r="L149" s="54">
        <f>IF(COUNT(Captura_NoFin!K149,Captura_NoFin!H149)&lt;2,"",IFERROR(Captura_NoFin!K149/Captura_NoFin!H149,""))</f>
        <v/>
      </c>
      <c r="M149" s="55">
        <f>IF(COUNT(Captura_NoFin!R149)&lt;1,"",IFERROR(IF(D149=2017,Captura_NoFin!R149/INDEX(Empresas!$I$2:$I$23,MATCH($A149,Empresas!$B$2:$B$23,0))-1,IF(COUNT(Captura_NoFin!R148)&lt;1,"",Captura_NoFin!R149/Captura_NoFin!R148-1)),""))</f>
        <v/>
      </c>
      <c r="N149" s="55">
        <f>IF(COUNT(Captura_NoFin!P149,Captura_NoFin!O149)&lt;2,"",IF(Captura_NoFin!O149&lt;=0,"",Captura_NoFin!P149/Captura_NoFin!O149))</f>
        <v/>
      </c>
      <c r="O149" s="56">
        <f>COUNT(F149:M149)</f>
        <v/>
      </c>
      <c r="P149" s="57">
        <f>IF(COUNT(Captura_NoFin!H149,Captura_NoFin!I149,Captura_NoFin!J149)&lt;3,"",IF(ABS(Captura_NoFin!H149-Captura_NoFin!I149-Captura_NoFin!J149)&lt;=0.005*ABS(Captura_NoFin!H149),"OK","REVISAR"))</f>
        <v/>
      </c>
    </row>
    <row r="150" ht="15" customHeight="1" s="31">
      <c r="A150" s="51">
        <f>Captura_NoFin!A150</f>
        <v/>
      </c>
      <c r="B150" s="51">
        <f>Captura_NoFin!B150</f>
        <v/>
      </c>
      <c r="C150" s="51">
        <f>Captura_NoFin!C150</f>
        <v/>
      </c>
      <c r="D150" s="52">
        <f>Captura_NoFin!D150</f>
        <v/>
      </c>
      <c r="E150" s="53">
        <f>IF(COUNT(Captura_NoFin!M150,Captura_NoFin!L150)&lt;2,"",Captura_NoFin!M150+ABS(Captura_NoFin!L150))</f>
        <v/>
      </c>
      <c r="F150" s="54">
        <f>IF(COUNT(Captura_NoFin!F150,Captura_NoFin!G150)&lt;2,"",IFERROR(Captura_NoFin!F150/Captura_NoFin!G150,""))</f>
        <v/>
      </c>
      <c r="G150" s="55">
        <f>IF(COUNT(Captura_NoFin!F150,Captura_NoFin!G150,Captura_NoFin!H150)&lt;3,"",IFERROR((Captura_NoFin!F150-Captura_NoFin!G150)/Captura_NoFin!H150,""))</f>
        <v/>
      </c>
      <c r="H150" s="55">
        <f>IF(OR(E150="",COUNT(Captura_NoFin!K150)&lt;1),"",IFERROR(E150/Captura_NoFin!K150,""))</f>
        <v/>
      </c>
      <c r="I150" s="55">
        <f>IF(COUNT(Captura_NoFin!N150,Captura_NoFin!H150)&lt;2,"",IFERROR(Captura_NoFin!N150/Captura_NoFin!H150,""))</f>
        <v/>
      </c>
      <c r="J150" s="55">
        <f>IF(COUNT(Captura_NoFin!I150,Captura_NoFin!H150)&lt;2,"",IFERROR(Captura_NoFin!I150/Captura_NoFin!H150,""))</f>
        <v/>
      </c>
      <c r="K150" s="54">
        <f>IF(OR(E150="",COUNT(Captura_NoFin!L150)&lt;1),"",IFERROR(E150/ABS(Captura_NoFin!L150),""))</f>
        <v/>
      </c>
      <c r="L150" s="54">
        <f>IF(COUNT(Captura_NoFin!K150,Captura_NoFin!H150)&lt;2,"",IFERROR(Captura_NoFin!K150/Captura_NoFin!H150,""))</f>
        <v/>
      </c>
      <c r="M150" s="55">
        <f>IF(COUNT(Captura_NoFin!R150)&lt;1,"",IFERROR(IF(D150=2017,Captura_NoFin!R150/INDEX(Empresas!$I$2:$I$23,MATCH($A150,Empresas!$B$2:$B$23,0))-1,IF(COUNT(Captura_NoFin!R149)&lt;1,"",Captura_NoFin!R150/Captura_NoFin!R149-1)),""))</f>
        <v/>
      </c>
      <c r="N150" s="55">
        <f>IF(COUNT(Captura_NoFin!P150,Captura_NoFin!O150)&lt;2,"",IF(Captura_NoFin!O150&lt;=0,"",Captura_NoFin!P150/Captura_NoFin!O150))</f>
        <v/>
      </c>
      <c r="O150" s="56">
        <f>COUNT(F150:M150)</f>
        <v/>
      </c>
      <c r="P150" s="57">
        <f>IF(COUNT(Captura_NoFin!H150,Captura_NoFin!I150,Captura_NoFin!J150)&lt;3,"",IF(ABS(Captura_NoFin!H150-Captura_NoFin!I150-Captura_NoFin!J150)&lt;=0.005*ABS(Captura_NoFin!H150),"OK","REVISAR"))</f>
        <v/>
      </c>
    </row>
    <row r="151" ht="15" customHeight="1" s="31">
      <c r="A151" s="51">
        <f>Captura_NoFin!A151</f>
        <v/>
      </c>
      <c r="B151" s="51">
        <f>Captura_NoFin!B151</f>
        <v/>
      </c>
      <c r="C151" s="51">
        <f>Captura_NoFin!C151</f>
        <v/>
      </c>
      <c r="D151" s="52">
        <f>Captura_NoFin!D151</f>
        <v/>
      </c>
      <c r="E151" s="53">
        <f>IF(COUNT(Captura_NoFin!M151,Captura_NoFin!L151)&lt;2,"",Captura_NoFin!M151+ABS(Captura_NoFin!L151))</f>
        <v/>
      </c>
      <c r="F151" s="54">
        <f>IF(COUNT(Captura_NoFin!F151,Captura_NoFin!G151)&lt;2,"",IFERROR(Captura_NoFin!F151/Captura_NoFin!G151,""))</f>
        <v/>
      </c>
      <c r="G151" s="55">
        <f>IF(COUNT(Captura_NoFin!F151,Captura_NoFin!G151,Captura_NoFin!H151)&lt;3,"",IFERROR((Captura_NoFin!F151-Captura_NoFin!G151)/Captura_NoFin!H151,""))</f>
        <v/>
      </c>
      <c r="H151" s="55">
        <f>IF(OR(E151="",COUNT(Captura_NoFin!K151)&lt;1),"",IFERROR(E151/Captura_NoFin!K151,""))</f>
        <v/>
      </c>
      <c r="I151" s="55">
        <f>IF(COUNT(Captura_NoFin!N151,Captura_NoFin!H151)&lt;2,"",IFERROR(Captura_NoFin!N151/Captura_NoFin!H151,""))</f>
        <v/>
      </c>
      <c r="J151" s="55">
        <f>IF(COUNT(Captura_NoFin!I151,Captura_NoFin!H151)&lt;2,"",IFERROR(Captura_NoFin!I151/Captura_NoFin!H151,""))</f>
        <v/>
      </c>
      <c r="K151" s="54">
        <f>IF(OR(E151="",COUNT(Captura_NoFin!L151)&lt;1),"",IFERROR(E151/ABS(Captura_NoFin!L151),""))</f>
        <v/>
      </c>
      <c r="L151" s="54">
        <f>IF(COUNT(Captura_NoFin!K151,Captura_NoFin!H151)&lt;2,"",IFERROR(Captura_NoFin!K151/Captura_NoFin!H151,""))</f>
        <v/>
      </c>
      <c r="M151" s="55">
        <f>IF(COUNT(Captura_NoFin!R151)&lt;1,"",IFERROR(IF(D151=2017,Captura_NoFin!R151/INDEX(Empresas!$I$2:$I$23,MATCH($A151,Empresas!$B$2:$B$23,0))-1,IF(COUNT(Captura_NoFin!R150)&lt;1,"",Captura_NoFin!R151/Captura_NoFin!R150-1)),""))</f>
        <v/>
      </c>
      <c r="N151" s="55">
        <f>IF(COUNT(Captura_NoFin!P151,Captura_NoFin!O151)&lt;2,"",IF(Captura_NoFin!O151&lt;=0,"",Captura_NoFin!P151/Captura_NoFin!O151))</f>
        <v/>
      </c>
      <c r="O151" s="56">
        <f>COUNT(F151:M151)</f>
        <v/>
      </c>
      <c r="P151" s="57">
        <f>IF(COUNT(Captura_NoFin!H151,Captura_NoFin!I151,Captura_NoFin!J151)&lt;3,"",IF(ABS(Captura_NoFin!H151-Captura_NoFin!I151-Captura_NoFin!J151)&lt;=0.005*ABS(Captura_NoFin!H151),"OK","REVISAR"))</f>
        <v/>
      </c>
    </row>
    <row r="152" ht="15" customHeight="1" s="31">
      <c r="A152" s="51">
        <f>Captura_NoFin!A152</f>
        <v/>
      </c>
      <c r="B152" s="51">
        <f>Captura_NoFin!B152</f>
        <v/>
      </c>
      <c r="C152" s="51">
        <f>Captura_NoFin!C152</f>
        <v/>
      </c>
      <c r="D152" s="52">
        <f>Captura_NoFin!D152</f>
        <v/>
      </c>
      <c r="E152" s="53">
        <f>IF(COUNT(Captura_NoFin!M152,Captura_NoFin!L152)&lt;2,"",Captura_NoFin!M152+ABS(Captura_NoFin!L152))</f>
        <v/>
      </c>
      <c r="F152" s="54">
        <f>IF(COUNT(Captura_NoFin!F152,Captura_NoFin!G152)&lt;2,"",IFERROR(Captura_NoFin!F152/Captura_NoFin!G152,""))</f>
        <v/>
      </c>
      <c r="G152" s="55">
        <f>IF(COUNT(Captura_NoFin!F152,Captura_NoFin!G152,Captura_NoFin!H152)&lt;3,"",IFERROR((Captura_NoFin!F152-Captura_NoFin!G152)/Captura_NoFin!H152,""))</f>
        <v/>
      </c>
      <c r="H152" s="55">
        <f>IF(OR(E152="",COUNT(Captura_NoFin!K152)&lt;1),"",IFERROR(E152/Captura_NoFin!K152,""))</f>
        <v/>
      </c>
      <c r="I152" s="55">
        <f>IF(COUNT(Captura_NoFin!N152,Captura_NoFin!H152)&lt;2,"",IFERROR(Captura_NoFin!N152/Captura_NoFin!H152,""))</f>
        <v/>
      </c>
      <c r="J152" s="55">
        <f>IF(COUNT(Captura_NoFin!I152,Captura_NoFin!H152)&lt;2,"",IFERROR(Captura_NoFin!I152/Captura_NoFin!H152,""))</f>
        <v/>
      </c>
      <c r="K152" s="54">
        <f>IF(OR(E152="",COUNT(Captura_NoFin!L152)&lt;1),"",IFERROR(E152/ABS(Captura_NoFin!L152),""))</f>
        <v/>
      </c>
      <c r="L152" s="54">
        <f>IF(COUNT(Captura_NoFin!K152,Captura_NoFin!H152)&lt;2,"",IFERROR(Captura_NoFin!K152/Captura_NoFin!H152,""))</f>
        <v/>
      </c>
      <c r="M152" s="55">
        <f>IF(COUNT(Captura_NoFin!R152)&lt;1,"",IFERROR(IF(D152=2017,Captura_NoFin!R152/INDEX(Empresas!$I$2:$I$23,MATCH($A152,Empresas!$B$2:$B$23,0))-1,IF(COUNT(Captura_NoFin!R151)&lt;1,"",Captura_NoFin!R152/Captura_NoFin!R151-1)),""))</f>
        <v/>
      </c>
      <c r="N152" s="55">
        <f>IF(COUNT(Captura_NoFin!P152,Captura_NoFin!O152)&lt;2,"",IF(Captura_NoFin!O152&lt;=0,"",Captura_NoFin!P152/Captura_NoFin!O152))</f>
        <v/>
      </c>
      <c r="O152" s="56">
        <f>COUNT(F152:M152)</f>
        <v/>
      </c>
      <c r="P152" s="57">
        <f>IF(COUNT(Captura_NoFin!H152,Captura_NoFin!I152,Captura_NoFin!J152)&lt;3,"",IF(ABS(Captura_NoFin!H152-Captura_NoFin!I152-Captura_NoFin!J152)&lt;=0.005*ABS(Captura_NoFin!H152),"OK","REVISAR"))</f>
        <v/>
      </c>
    </row>
    <row r="153" ht="15" customHeight="1" s="31">
      <c r="A153" s="51">
        <f>Captura_NoFin!A153</f>
        <v/>
      </c>
      <c r="B153" s="51">
        <f>Captura_NoFin!B153</f>
        <v/>
      </c>
      <c r="C153" s="51">
        <f>Captura_NoFin!C153</f>
        <v/>
      </c>
      <c r="D153" s="52">
        <f>Captura_NoFin!D153</f>
        <v/>
      </c>
      <c r="E153" s="53">
        <f>IF(COUNT(Captura_NoFin!M153,Captura_NoFin!L153)&lt;2,"",Captura_NoFin!M153+ABS(Captura_NoFin!L153))</f>
        <v/>
      </c>
      <c r="F153" s="54">
        <f>IF(COUNT(Captura_NoFin!F153,Captura_NoFin!G153)&lt;2,"",IFERROR(Captura_NoFin!F153/Captura_NoFin!G153,""))</f>
        <v/>
      </c>
      <c r="G153" s="55">
        <f>IF(COUNT(Captura_NoFin!F153,Captura_NoFin!G153,Captura_NoFin!H153)&lt;3,"",IFERROR((Captura_NoFin!F153-Captura_NoFin!G153)/Captura_NoFin!H153,""))</f>
        <v/>
      </c>
      <c r="H153" s="55">
        <f>IF(OR(E153="",COUNT(Captura_NoFin!K153)&lt;1),"",IFERROR(E153/Captura_NoFin!K153,""))</f>
        <v/>
      </c>
      <c r="I153" s="55">
        <f>IF(COUNT(Captura_NoFin!N153,Captura_NoFin!H153)&lt;2,"",IFERROR(Captura_NoFin!N153/Captura_NoFin!H153,""))</f>
        <v/>
      </c>
      <c r="J153" s="55">
        <f>IF(COUNT(Captura_NoFin!I153,Captura_NoFin!H153)&lt;2,"",IFERROR(Captura_NoFin!I153/Captura_NoFin!H153,""))</f>
        <v/>
      </c>
      <c r="K153" s="54">
        <f>IF(OR(E153="",COUNT(Captura_NoFin!L153)&lt;1),"",IFERROR(E153/ABS(Captura_NoFin!L153),""))</f>
        <v/>
      </c>
      <c r="L153" s="54">
        <f>IF(COUNT(Captura_NoFin!K153,Captura_NoFin!H153)&lt;2,"",IFERROR(Captura_NoFin!K153/Captura_NoFin!H153,""))</f>
        <v/>
      </c>
      <c r="M153" s="55">
        <f>IF(COUNT(Captura_NoFin!R153)&lt;1,"",IFERROR(IF(D153=2017,Captura_NoFin!R153/INDEX(Empresas!$I$2:$I$23,MATCH($A153,Empresas!$B$2:$B$23,0))-1,IF(COUNT(Captura_NoFin!R152)&lt;1,"",Captura_NoFin!R153/Captura_NoFin!R152-1)),""))</f>
        <v/>
      </c>
      <c r="N153" s="55">
        <f>IF(COUNT(Captura_NoFin!P153,Captura_NoFin!O153)&lt;2,"",IF(Captura_NoFin!O153&lt;=0,"",Captura_NoFin!P153/Captura_NoFin!O153))</f>
        <v/>
      </c>
      <c r="O153" s="56">
        <f>COUNT(F153:M153)</f>
        <v/>
      </c>
      <c r="P153" s="57">
        <f>IF(COUNT(Captura_NoFin!H153,Captura_NoFin!I153,Captura_NoFin!J153)&lt;3,"",IF(ABS(Captura_NoFin!H153-Captura_NoFin!I153-Captura_NoFin!J153)&lt;=0.005*ABS(Captura_NoFin!H153),"OK","REVISAR"))</f>
        <v/>
      </c>
    </row>
    <row r="154" ht="15" customHeight="1" s="31">
      <c r="A154" s="51">
        <f>Captura_NoFin!A154</f>
        <v/>
      </c>
      <c r="B154" s="51">
        <f>Captura_NoFin!B154</f>
        <v/>
      </c>
      <c r="C154" s="51">
        <f>Captura_NoFin!C154</f>
        <v/>
      </c>
      <c r="D154" s="52">
        <f>Captura_NoFin!D154</f>
        <v/>
      </c>
      <c r="E154" s="53">
        <f>IF(COUNT(Captura_NoFin!M154,Captura_NoFin!L154)&lt;2,"",Captura_NoFin!M154+ABS(Captura_NoFin!L154))</f>
        <v/>
      </c>
      <c r="F154" s="54">
        <f>IF(COUNT(Captura_NoFin!F154,Captura_NoFin!G154)&lt;2,"",IFERROR(Captura_NoFin!F154/Captura_NoFin!G154,""))</f>
        <v/>
      </c>
      <c r="G154" s="55">
        <f>IF(COUNT(Captura_NoFin!F154,Captura_NoFin!G154,Captura_NoFin!H154)&lt;3,"",IFERROR((Captura_NoFin!F154-Captura_NoFin!G154)/Captura_NoFin!H154,""))</f>
        <v/>
      </c>
      <c r="H154" s="55">
        <f>IF(OR(E154="",COUNT(Captura_NoFin!K154)&lt;1),"",IFERROR(E154/Captura_NoFin!K154,""))</f>
        <v/>
      </c>
      <c r="I154" s="55">
        <f>IF(COUNT(Captura_NoFin!N154,Captura_NoFin!H154)&lt;2,"",IFERROR(Captura_NoFin!N154/Captura_NoFin!H154,""))</f>
        <v/>
      </c>
      <c r="J154" s="55">
        <f>IF(COUNT(Captura_NoFin!I154,Captura_NoFin!H154)&lt;2,"",IFERROR(Captura_NoFin!I154/Captura_NoFin!H154,""))</f>
        <v/>
      </c>
      <c r="K154" s="54">
        <f>IF(OR(E154="",COUNT(Captura_NoFin!L154)&lt;1),"",IFERROR(E154/ABS(Captura_NoFin!L154),""))</f>
        <v/>
      </c>
      <c r="L154" s="54">
        <f>IF(COUNT(Captura_NoFin!K154,Captura_NoFin!H154)&lt;2,"",IFERROR(Captura_NoFin!K154/Captura_NoFin!H154,""))</f>
        <v/>
      </c>
      <c r="M154" s="55">
        <f>IF(COUNT(Captura_NoFin!R154)&lt;1,"",IFERROR(IF(D154=2017,Captura_NoFin!R154/INDEX(Empresas!$I$2:$I$23,MATCH($A154,Empresas!$B$2:$B$23,0))-1,IF(COUNT(Captura_NoFin!R153)&lt;1,"",Captura_NoFin!R154/Captura_NoFin!R153-1)),""))</f>
        <v/>
      </c>
      <c r="N154" s="55">
        <f>IF(COUNT(Captura_NoFin!P154,Captura_NoFin!O154)&lt;2,"",IF(Captura_NoFin!O154&lt;=0,"",Captura_NoFin!P154/Captura_NoFin!O154))</f>
        <v/>
      </c>
      <c r="O154" s="56">
        <f>COUNT(F154:M154)</f>
        <v/>
      </c>
      <c r="P154" s="57">
        <f>IF(COUNT(Captura_NoFin!H154,Captura_NoFin!I154,Captura_NoFin!J154)&lt;3,"",IF(ABS(Captura_NoFin!H154-Captura_NoFin!I154-Captura_NoFin!J154)&lt;=0.005*ABS(Captura_NoFin!H154),"OK","REVISAR"))</f>
        <v/>
      </c>
    </row>
    <row r="155" ht="15" customHeight="1" s="31">
      <c r="A155" s="51">
        <f>Captura_NoFin!A155</f>
        <v/>
      </c>
      <c r="B155" s="51">
        <f>Captura_NoFin!B155</f>
        <v/>
      </c>
      <c r="C155" s="51">
        <f>Captura_NoFin!C155</f>
        <v/>
      </c>
      <c r="D155" s="52">
        <f>Captura_NoFin!D155</f>
        <v/>
      </c>
      <c r="E155" s="53">
        <f>IF(COUNT(Captura_NoFin!M155,Captura_NoFin!L155)&lt;2,"",Captura_NoFin!M155+ABS(Captura_NoFin!L155))</f>
        <v/>
      </c>
      <c r="F155" s="54">
        <f>IF(COUNT(Captura_NoFin!F155,Captura_NoFin!G155)&lt;2,"",IFERROR(Captura_NoFin!F155/Captura_NoFin!G155,""))</f>
        <v/>
      </c>
      <c r="G155" s="55">
        <f>IF(COUNT(Captura_NoFin!F155,Captura_NoFin!G155,Captura_NoFin!H155)&lt;3,"",IFERROR((Captura_NoFin!F155-Captura_NoFin!G155)/Captura_NoFin!H155,""))</f>
        <v/>
      </c>
      <c r="H155" s="55">
        <f>IF(OR(E155="",COUNT(Captura_NoFin!K155)&lt;1),"",IFERROR(E155/Captura_NoFin!K155,""))</f>
        <v/>
      </c>
      <c r="I155" s="55">
        <f>IF(COUNT(Captura_NoFin!N155,Captura_NoFin!H155)&lt;2,"",IFERROR(Captura_NoFin!N155/Captura_NoFin!H155,""))</f>
        <v/>
      </c>
      <c r="J155" s="55">
        <f>IF(COUNT(Captura_NoFin!I155,Captura_NoFin!H155)&lt;2,"",IFERROR(Captura_NoFin!I155/Captura_NoFin!H155,""))</f>
        <v/>
      </c>
      <c r="K155" s="54">
        <f>IF(OR(E155="",COUNT(Captura_NoFin!L155)&lt;1),"",IFERROR(E155/ABS(Captura_NoFin!L155),""))</f>
        <v/>
      </c>
      <c r="L155" s="54">
        <f>IF(COUNT(Captura_NoFin!K155,Captura_NoFin!H155)&lt;2,"",IFERROR(Captura_NoFin!K155/Captura_NoFin!H155,""))</f>
        <v/>
      </c>
      <c r="M155" s="55">
        <f>IF(COUNT(Captura_NoFin!R155)&lt;1,"",IFERROR(IF(D155=2017,Captura_NoFin!R155/INDEX(Empresas!$I$2:$I$23,MATCH($A155,Empresas!$B$2:$B$23,0))-1,IF(COUNT(Captura_NoFin!R154)&lt;1,"",Captura_NoFin!R155/Captura_NoFin!R154-1)),""))</f>
        <v/>
      </c>
      <c r="N155" s="55">
        <f>IF(COUNT(Captura_NoFin!P155,Captura_NoFin!O155)&lt;2,"",IF(Captura_NoFin!O155&lt;=0,"",Captura_NoFin!P155/Captura_NoFin!O155))</f>
        <v/>
      </c>
      <c r="O155" s="56">
        <f>COUNT(F155:M155)</f>
        <v/>
      </c>
      <c r="P155" s="57">
        <f>IF(COUNT(Captura_NoFin!H155,Captura_NoFin!I155,Captura_NoFin!J155)&lt;3,"",IF(ABS(Captura_NoFin!H155-Captura_NoFin!I155-Captura_NoFin!J155)&lt;=0.005*ABS(Captura_NoFin!H155),"OK","REVISAR"))</f>
        <v/>
      </c>
    </row>
    <row r="156" ht="15" customHeight="1" s="31">
      <c r="A156" s="51">
        <f>Captura_NoFin!A156</f>
        <v/>
      </c>
      <c r="B156" s="51">
        <f>Captura_NoFin!B156</f>
        <v/>
      </c>
      <c r="C156" s="51">
        <f>Captura_NoFin!C156</f>
        <v/>
      </c>
      <c r="D156" s="52">
        <f>Captura_NoFin!D156</f>
        <v/>
      </c>
      <c r="E156" s="53">
        <f>IF(COUNT(Captura_NoFin!M156,Captura_NoFin!L156)&lt;2,"",Captura_NoFin!M156+ABS(Captura_NoFin!L156))</f>
        <v/>
      </c>
      <c r="F156" s="54">
        <f>IF(COUNT(Captura_NoFin!F156,Captura_NoFin!G156)&lt;2,"",IFERROR(Captura_NoFin!F156/Captura_NoFin!G156,""))</f>
        <v/>
      </c>
      <c r="G156" s="55">
        <f>IF(COUNT(Captura_NoFin!F156,Captura_NoFin!G156,Captura_NoFin!H156)&lt;3,"",IFERROR((Captura_NoFin!F156-Captura_NoFin!G156)/Captura_NoFin!H156,""))</f>
        <v/>
      </c>
      <c r="H156" s="55">
        <f>IF(OR(E156="",COUNT(Captura_NoFin!K156)&lt;1),"",IFERROR(E156/Captura_NoFin!K156,""))</f>
        <v/>
      </c>
      <c r="I156" s="55">
        <f>IF(COUNT(Captura_NoFin!N156,Captura_NoFin!H156)&lt;2,"",IFERROR(Captura_NoFin!N156/Captura_NoFin!H156,""))</f>
        <v/>
      </c>
      <c r="J156" s="55">
        <f>IF(COUNT(Captura_NoFin!I156,Captura_NoFin!H156)&lt;2,"",IFERROR(Captura_NoFin!I156/Captura_NoFin!H156,""))</f>
        <v/>
      </c>
      <c r="K156" s="54">
        <f>IF(OR(E156="",COUNT(Captura_NoFin!L156)&lt;1),"",IFERROR(E156/ABS(Captura_NoFin!L156),""))</f>
        <v/>
      </c>
      <c r="L156" s="54">
        <f>IF(COUNT(Captura_NoFin!K156,Captura_NoFin!H156)&lt;2,"",IFERROR(Captura_NoFin!K156/Captura_NoFin!H156,""))</f>
        <v/>
      </c>
      <c r="M156" s="55">
        <f>IF(COUNT(Captura_NoFin!R156)&lt;1,"",IFERROR(IF(D156=2017,Captura_NoFin!R156/INDEX(Empresas!$I$2:$I$23,MATCH($A156,Empresas!$B$2:$B$23,0))-1,IF(COUNT(Captura_NoFin!R155)&lt;1,"",Captura_NoFin!R156/Captura_NoFin!R155-1)),""))</f>
        <v/>
      </c>
      <c r="N156" s="55">
        <f>IF(COUNT(Captura_NoFin!P156,Captura_NoFin!O156)&lt;2,"",IF(Captura_NoFin!O156&lt;=0,"",Captura_NoFin!P156/Captura_NoFin!O156))</f>
        <v/>
      </c>
      <c r="O156" s="56">
        <f>COUNT(F156:M156)</f>
        <v/>
      </c>
      <c r="P156" s="57">
        <f>IF(COUNT(Captura_NoFin!H156,Captura_NoFin!I156,Captura_NoFin!J156)&lt;3,"",IF(ABS(Captura_NoFin!H156-Captura_NoFin!I156-Captura_NoFin!J156)&lt;=0.005*ABS(Captura_NoFin!H156),"OK","REVISAR"))</f>
        <v/>
      </c>
    </row>
    <row r="157" ht="15" customHeight="1" s="31">
      <c r="A157" s="51">
        <f>Captura_NoFin!A157</f>
        <v/>
      </c>
      <c r="B157" s="51">
        <f>Captura_NoFin!B157</f>
        <v/>
      </c>
      <c r="C157" s="51">
        <f>Captura_NoFin!C157</f>
        <v/>
      </c>
      <c r="D157" s="52">
        <f>Captura_NoFin!D157</f>
        <v/>
      </c>
      <c r="E157" s="53">
        <f>IF(COUNT(Captura_NoFin!M157,Captura_NoFin!L157)&lt;2,"",Captura_NoFin!M157+ABS(Captura_NoFin!L157))</f>
        <v/>
      </c>
      <c r="F157" s="54">
        <f>IF(COUNT(Captura_NoFin!F157,Captura_NoFin!G157)&lt;2,"",IFERROR(Captura_NoFin!F157/Captura_NoFin!G157,""))</f>
        <v/>
      </c>
      <c r="G157" s="55">
        <f>IF(COUNT(Captura_NoFin!F157,Captura_NoFin!G157,Captura_NoFin!H157)&lt;3,"",IFERROR((Captura_NoFin!F157-Captura_NoFin!G157)/Captura_NoFin!H157,""))</f>
        <v/>
      </c>
      <c r="H157" s="55">
        <f>IF(OR(E157="",COUNT(Captura_NoFin!K157)&lt;1),"",IFERROR(E157/Captura_NoFin!K157,""))</f>
        <v/>
      </c>
      <c r="I157" s="55">
        <f>IF(COUNT(Captura_NoFin!N157,Captura_NoFin!H157)&lt;2,"",IFERROR(Captura_NoFin!N157/Captura_NoFin!H157,""))</f>
        <v/>
      </c>
      <c r="J157" s="55">
        <f>IF(COUNT(Captura_NoFin!I157,Captura_NoFin!H157)&lt;2,"",IFERROR(Captura_NoFin!I157/Captura_NoFin!H157,""))</f>
        <v/>
      </c>
      <c r="K157" s="54">
        <f>IF(OR(E157="",COUNT(Captura_NoFin!L157)&lt;1),"",IFERROR(E157/ABS(Captura_NoFin!L157),""))</f>
        <v/>
      </c>
      <c r="L157" s="54">
        <f>IF(COUNT(Captura_NoFin!K157,Captura_NoFin!H157)&lt;2,"",IFERROR(Captura_NoFin!K157/Captura_NoFin!H157,""))</f>
        <v/>
      </c>
      <c r="M157" s="55">
        <f>IF(COUNT(Captura_NoFin!R157)&lt;1,"",IFERROR(IF(D157=2017,Captura_NoFin!R157/INDEX(Empresas!$I$2:$I$23,MATCH($A157,Empresas!$B$2:$B$23,0))-1,IF(COUNT(Captura_NoFin!R156)&lt;1,"",Captura_NoFin!R157/Captura_NoFin!R156-1)),""))</f>
        <v/>
      </c>
      <c r="N157" s="55">
        <f>IF(COUNT(Captura_NoFin!P157,Captura_NoFin!O157)&lt;2,"",IF(Captura_NoFin!O157&lt;=0,"",Captura_NoFin!P157/Captura_NoFin!O157))</f>
        <v/>
      </c>
      <c r="O157" s="56">
        <f>COUNT(F157:M157)</f>
        <v/>
      </c>
      <c r="P157" s="57">
        <f>IF(COUNT(Captura_NoFin!H157,Captura_NoFin!I157,Captura_NoFin!J157)&lt;3,"",IF(ABS(Captura_NoFin!H157-Captura_NoFin!I157-Captura_NoFin!J157)&lt;=0.005*ABS(Captura_NoFin!H157),"OK","REVISAR"))</f>
        <v/>
      </c>
    </row>
    <row r="158" ht="15" customHeight="1" s="31">
      <c r="A158" s="51">
        <f>Captura_NoFin!A158</f>
        <v/>
      </c>
      <c r="B158" s="51">
        <f>Captura_NoFin!B158</f>
        <v/>
      </c>
      <c r="C158" s="51">
        <f>Captura_NoFin!C158</f>
        <v/>
      </c>
      <c r="D158" s="52">
        <f>Captura_NoFin!D158</f>
        <v/>
      </c>
      <c r="E158" s="53">
        <f>IF(COUNT(Captura_NoFin!M158,Captura_NoFin!L158)&lt;2,"",Captura_NoFin!M158+ABS(Captura_NoFin!L158))</f>
        <v/>
      </c>
      <c r="F158" s="54">
        <f>IF(COUNT(Captura_NoFin!F158,Captura_NoFin!G158)&lt;2,"",IFERROR(Captura_NoFin!F158/Captura_NoFin!G158,""))</f>
        <v/>
      </c>
      <c r="G158" s="55">
        <f>IF(COUNT(Captura_NoFin!F158,Captura_NoFin!G158,Captura_NoFin!H158)&lt;3,"",IFERROR((Captura_NoFin!F158-Captura_NoFin!G158)/Captura_NoFin!H158,""))</f>
        <v/>
      </c>
      <c r="H158" s="55">
        <f>IF(OR(E158="",COUNT(Captura_NoFin!K158)&lt;1),"",IFERROR(E158/Captura_NoFin!K158,""))</f>
        <v/>
      </c>
      <c r="I158" s="55">
        <f>IF(COUNT(Captura_NoFin!N158,Captura_NoFin!H158)&lt;2,"",IFERROR(Captura_NoFin!N158/Captura_NoFin!H158,""))</f>
        <v/>
      </c>
      <c r="J158" s="55">
        <f>IF(COUNT(Captura_NoFin!I158,Captura_NoFin!H158)&lt;2,"",IFERROR(Captura_NoFin!I158/Captura_NoFin!H158,""))</f>
        <v/>
      </c>
      <c r="K158" s="54">
        <f>IF(OR(E158="",COUNT(Captura_NoFin!L158)&lt;1),"",IFERROR(E158/ABS(Captura_NoFin!L158),""))</f>
        <v/>
      </c>
      <c r="L158" s="54">
        <f>IF(COUNT(Captura_NoFin!K158,Captura_NoFin!H158)&lt;2,"",IFERROR(Captura_NoFin!K158/Captura_NoFin!H158,""))</f>
        <v/>
      </c>
      <c r="M158" s="55">
        <f>IF(COUNT(Captura_NoFin!R158)&lt;1,"",IFERROR(IF(D158=2017,Captura_NoFin!R158/INDEX(Empresas!$I$2:$I$23,MATCH($A158,Empresas!$B$2:$B$23,0))-1,IF(COUNT(Captura_NoFin!R157)&lt;1,"",Captura_NoFin!R158/Captura_NoFin!R157-1)),""))</f>
        <v/>
      </c>
      <c r="N158" s="55">
        <f>IF(COUNT(Captura_NoFin!P158,Captura_NoFin!O158)&lt;2,"",IF(Captura_NoFin!O158&lt;=0,"",Captura_NoFin!P158/Captura_NoFin!O158))</f>
        <v/>
      </c>
      <c r="O158" s="56">
        <f>COUNT(F158:M158)</f>
        <v/>
      </c>
      <c r="P158" s="57">
        <f>IF(COUNT(Captura_NoFin!H158,Captura_NoFin!I158,Captura_NoFin!J158)&lt;3,"",IF(ABS(Captura_NoFin!H158-Captura_NoFin!I158-Captura_NoFin!J158)&lt;=0.005*ABS(Captura_NoFin!H158),"OK","REVISAR"))</f>
        <v/>
      </c>
    </row>
    <row r="159" ht="15" customHeight="1" s="31">
      <c r="A159" s="51">
        <f>Captura_NoFin!A159</f>
        <v/>
      </c>
      <c r="B159" s="51">
        <f>Captura_NoFin!B159</f>
        <v/>
      </c>
      <c r="C159" s="51">
        <f>Captura_NoFin!C159</f>
        <v/>
      </c>
      <c r="D159" s="52">
        <f>Captura_NoFin!D159</f>
        <v/>
      </c>
      <c r="E159" s="53">
        <f>IF(COUNT(Captura_NoFin!M159,Captura_NoFin!L159)&lt;2,"",Captura_NoFin!M159+ABS(Captura_NoFin!L159))</f>
        <v/>
      </c>
      <c r="F159" s="54">
        <f>IF(COUNT(Captura_NoFin!F159,Captura_NoFin!G159)&lt;2,"",IFERROR(Captura_NoFin!F159/Captura_NoFin!G159,""))</f>
        <v/>
      </c>
      <c r="G159" s="55">
        <f>IF(COUNT(Captura_NoFin!F159,Captura_NoFin!G159,Captura_NoFin!H159)&lt;3,"",IFERROR((Captura_NoFin!F159-Captura_NoFin!G159)/Captura_NoFin!H159,""))</f>
        <v/>
      </c>
      <c r="H159" s="55">
        <f>IF(OR(E159="",COUNT(Captura_NoFin!K159)&lt;1),"",IFERROR(E159/Captura_NoFin!K159,""))</f>
        <v/>
      </c>
      <c r="I159" s="55">
        <f>IF(COUNT(Captura_NoFin!N159,Captura_NoFin!H159)&lt;2,"",IFERROR(Captura_NoFin!N159/Captura_NoFin!H159,""))</f>
        <v/>
      </c>
      <c r="J159" s="55">
        <f>IF(COUNT(Captura_NoFin!I159,Captura_NoFin!H159)&lt;2,"",IFERROR(Captura_NoFin!I159/Captura_NoFin!H159,""))</f>
        <v/>
      </c>
      <c r="K159" s="54">
        <f>IF(OR(E159="",COUNT(Captura_NoFin!L159)&lt;1),"",IFERROR(E159/ABS(Captura_NoFin!L159),""))</f>
        <v/>
      </c>
      <c r="L159" s="54">
        <f>IF(COUNT(Captura_NoFin!K159,Captura_NoFin!H159)&lt;2,"",IFERROR(Captura_NoFin!K159/Captura_NoFin!H159,""))</f>
        <v/>
      </c>
      <c r="M159" s="55">
        <f>IF(COUNT(Captura_NoFin!R159)&lt;1,"",IFERROR(IF(D159=2017,Captura_NoFin!R159/INDEX(Empresas!$I$2:$I$23,MATCH($A159,Empresas!$B$2:$B$23,0))-1,IF(COUNT(Captura_NoFin!R158)&lt;1,"",Captura_NoFin!R159/Captura_NoFin!R158-1)),""))</f>
        <v/>
      </c>
      <c r="N159" s="55">
        <f>IF(COUNT(Captura_NoFin!P159,Captura_NoFin!O159)&lt;2,"",IF(Captura_NoFin!O159&lt;=0,"",Captura_NoFin!P159/Captura_NoFin!O159))</f>
        <v/>
      </c>
      <c r="O159" s="56">
        <f>COUNT(F159:M159)</f>
        <v/>
      </c>
      <c r="P159" s="57">
        <f>IF(COUNT(Captura_NoFin!H159,Captura_NoFin!I159,Captura_NoFin!J159)&lt;3,"",IF(ABS(Captura_NoFin!H159-Captura_NoFin!I159-Captura_NoFin!J159)&lt;=0.005*ABS(Captura_NoFin!H159),"OK","REVISAR"))</f>
        <v/>
      </c>
    </row>
    <row r="160" ht="15" customHeight="1" s="31">
      <c r="A160" s="51">
        <f>Captura_NoFin!A160</f>
        <v/>
      </c>
      <c r="B160" s="51">
        <f>Captura_NoFin!B160</f>
        <v/>
      </c>
      <c r="C160" s="51">
        <f>Captura_NoFin!C160</f>
        <v/>
      </c>
      <c r="D160" s="52">
        <f>Captura_NoFin!D160</f>
        <v/>
      </c>
      <c r="E160" s="53">
        <f>IF(COUNT(Captura_NoFin!M160,Captura_NoFin!L160)&lt;2,"",Captura_NoFin!M160+ABS(Captura_NoFin!L160))</f>
        <v/>
      </c>
      <c r="F160" s="54">
        <f>IF(COUNT(Captura_NoFin!F160,Captura_NoFin!G160)&lt;2,"",IFERROR(Captura_NoFin!F160/Captura_NoFin!G160,""))</f>
        <v/>
      </c>
      <c r="G160" s="55">
        <f>IF(COUNT(Captura_NoFin!F160,Captura_NoFin!G160,Captura_NoFin!H160)&lt;3,"",IFERROR((Captura_NoFin!F160-Captura_NoFin!G160)/Captura_NoFin!H160,""))</f>
        <v/>
      </c>
      <c r="H160" s="55">
        <f>IF(OR(E160="",COUNT(Captura_NoFin!K160)&lt;1),"",IFERROR(E160/Captura_NoFin!K160,""))</f>
        <v/>
      </c>
      <c r="I160" s="55">
        <f>IF(COUNT(Captura_NoFin!N160,Captura_NoFin!H160)&lt;2,"",IFERROR(Captura_NoFin!N160/Captura_NoFin!H160,""))</f>
        <v/>
      </c>
      <c r="J160" s="55">
        <f>IF(COUNT(Captura_NoFin!I160,Captura_NoFin!H160)&lt;2,"",IFERROR(Captura_NoFin!I160/Captura_NoFin!H160,""))</f>
        <v/>
      </c>
      <c r="K160" s="54">
        <f>IF(OR(E160="",COUNT(Captura_NoFin!L160)&lt;1),"",IFERROR(E160/ABS(Captura_NoFin!L160),""))</f>
        <v/>
      </c>
      <c r="L160" s="54">
        <f>IF(COUNT(Captura_NoFin!K160,Captura_NoFin!H160)&lt;2,"",IFERROR(Captura_NoFin!K160/Captura_NoFin!H160,""))</f>
        <v/>
      </c>
      <c r="M160" s="55">
        <f>IF(COUNT(Captura_NoFin!R160)&lt;1,"",IFERROR(IF(D160=2017,Captura_NoFin!R160/INDEX(Empresas!$I$2:$I$23,MATCH($A160,Empresas!$B$2:$B$23,0))-1,IF(COUNT(Captura_NoFin!R159)&lt;1,"",Captura_NoFin!R160/Captura_NoFin!R159-1)),""))</f>
        <v/>
      </c>
      <c r="N160" s="55">
        <f>IF(COUNT(Captura_NoFin!P160,Captura_NoFin!O160)&lt;2,"",IF(Captura_NoFin!O160&lt;=0,"",Captura_NoFin!P160/Captura_NoFin!O160))</f>
        <v/>
      </c>
      <c r="O160" s="56">
        <f>COUNT(F160:M160)</f>
        <v/>
      </c>
      <c r="P160" s="57">
        <f>IF(COUNT(Captura_NoFin!H160,Captura_NoFin!I160,Captura_NoFin!J160)&lt;3,"",IF(ABS(Captura_NoFin!H160-Captura_NoFin!I160-Captura_NoFin!J160)&lt;=0.005*ABS(Captura_NoFin!H160),"OK","REVISAR"))</f>
        <v/>
      </c>
    </row>
    <row r="161" ht="15" customHeight="1" s="31">
      <c r="A161" s="51">
        <f>Captura_NoFin!A161</f>
        <v/>
      </c>
      <c r="B161" s="51">
        <f>Captura_NoFin!B161</f>
        <v/>
      </c>
      <c r="C161" s="51">
        <f>Captura_NoFin!C161</f>
        <v/>
      </c>
      <c r="D161" s="52">
        <f>Captura_NoFin!D161</f>
        <v/>
      </c>
      <c r="E161" s="53">
        <f>IF(COUNT(Captura_NoFin!M161,Captura_NoFin!L161)&lt;2,"",Captura_NoFin!M161+ABS(Captura_NoFin!L161))</f>
        <v/>
      </c>
      <c r="F161" s="54">
        <f>IF(COUNT(Captura_NoFin!F161,Captura_NoFin!G161)&lt;2,"",IFERROR(Captura_NoFin!F161/Captura_NoFin!G161,""))</f>
        <v/>
      </c>
      <c r="G161" s="55">
        <f>IF(COUNT(Captura_NoFin!F161,Captura_NoFin!G161,Captura_NoFin!H161)&lt;3,"",IFERROR((Captura_NoFin!F161-Captura_NoFin!G161)/Captura_NoFin!H161,""))</f>
        <v/>
      </c>
      <c r="H161" s="55">
        <f>IF(OR(E161="",COUNT(Captura_NoFin!K161)&lt;1),"",IFERROR(E161/Captura_NoFin!K161,""))</f>
        <v/>
      </c>
      <c r="I161" s="55">
        <f>IF(COUNT(Captura_NoFin!N161,Captura_NoFin!H161)&lt;2,"",IFERROR(Captura_NoFin!N161/Captura_NoFin!H161,""))</f>
        <v/>
      </c>
      <c r="J161" s="55">
        <f>IF(COUNT(Captura_NoFin!I161,Captura_NoFin!H161)&lt;2,"",IFERROR(Captura_NoFin!I161/Captura_NoFin!H161,""))</f>
        <v/>
      </c>
      <c r="K161" s="54">
        <f>IF(OR(E161="",COUNT(Captura_NoFin!L161)&lt;1),"",IFERROR(E161/ABS(Captura_NoFin!L161),""))</f>
        <v/>
      </c>
      <c r="L161" s="54">
        <f>IF(COUNT(Captura_NoFin!K161,Captura_NoFin!H161)&lt;2,"",IFERROR(Captura_NoFin!K161/Captura_NoFin!H161,""))</f>
        <v/>
      </c>
      <c r="M161" s="55">
        <f>IF(COUNT(Captura_NoFin!R161)&lt;1,"",IFERROR(IF(D161=2017,Captura_NoFin!R161/INDEX(Empresas!$I$2:$I$23,MATCH($A161,Empresas!$B$2:$B$23,0))-1,IF(COUNT(Captura_NoFin!R160)&lt;1,"",Captura_NoFin!R161/Captura_NoFin!R160-1)),""))</f>
        <v/>
      </c>
      <c r="N161" s="55">
        <f>IF(COUNT(Captura_NoFin!P161,Captura_NoFin!O161)&lt;2,"",IF(Captura_NoFin!O161&lt;=0,"",Captura_NoFin!P161/Captura_NoFin!O161))</f>
        <v/>
      </c>
      <c r="O161" s="56">
        <f>COUNT(F161:M161)</f>
        <v/>
      </c>
      <c r="P161" s="57">
        <f>IF(COUNT(Captura_NoFin!H161,Captura_NoFin!I161,Captura_NoFin!J161)&lt;3,"",IF(ABS(Captura_NoFin!H161-Captura_NoFin!I161-Captura_NoFin!J161)&lt;=0.005*ABS(Captura_NoFin!H161),"OK","REVISAR"))</f>
        <v/>
      </c>
    </row>
    <row r="162" ht="15" customHeight="1" s="31">
      <c r="A162" s="51">
        <f>Captura_NoFin!A162</f>
        <v/>
      </c>
      <c r="B162" s="51">
        <f>Captura_NoFin!B162</f>
        <v/>
      </c>
      <c r="C162" s="51">
        <f>Captura_NoFin!C162</f>
        <v/>
      </c>
      <c r="D162" s="52">
        <f>Captura_NoFin!D162</f>
        <v/>
      </c>
      <c r="E162" s="53">
        <f>IF(COUNT(Captura_NoFin!M162,Captura_NoFin!L162)&lt;2,"",Captura_NoFin!M162+ABS(Captura_NoFin!L162))</f>
        <v/>
      </c>
      <c r="F162" s="54">
        <f>IF(COUNT(Captura_NoFin!F162,Captura_NoFin!G162)&lt;2,"",IFERROR(Captura_NoFin!F162/Captura_NoFin!G162,""))</f>
        <v/>
      </c>
      <c r="G162" s="55">
        <f>IF(COUNT(Captura_NoFin!F162,Captura_NoFin!G162,Captura_NoFin!H162)&lt;3,"",IFERROR((Captura_NoFin!F162-Captura_NoFin!G162)/Captura_NoFin!H162,""))</f>
        <v/>
      </c>
      <c r="H162" s="55">
        <f>IF(OR(E162="",COUNT(Captura_NoFin!K162)&lt;1),"",IFERROR(E162/Captura_NoFin!K162,""))</f>
        <v/>
      </c>
      <c r="I162" s="55">
        <f>IF(COUNT(Captura_NoFin!N162,Captura_NoFin!H162)&lt;2,"",IFERROR(Captura_NoFin!N162/Captura_NoFin!H162,""))</f>
        <v/>
      </c>
      <c r="J162" s="55">
        <f>IF(COUNT(Captura_NoFin!I162,Captura_NoFin!H162)&lt;2,"",IFERROR(Captura_NoFin!I162/Captura_NoFin!H162,""))</f>
        <v/>
      </c>
      <c r="K162" s="54">
        <f>IF(OR(E162="",COUNT(Captura_NoFin!L162)&lt;1),"",IFERROR(E162/ABS(Captura_NoFin!L162),""))</f>
        <v/>
      </c>
      <c r="L162" s="54">
        <f>IF(COUNT(Captura_NoFin!K162,Captura_NoFin!H162)&lt;2,"",IFERROR(Captura_NoFin!K162/Captura_NoFin!H162,""))</f>
        <v/>
      </c>
      <c r="M162" s="55">
        <f>IF(COUNT(Captura_NoFin!R162)&lt;1,"",IFERROR(IF(D162=2017,Captura_NoFin!R162/INDEX(Empresas!$I$2:$I$23,MATCH($A162,Empresas!$B$2:$B$23,0))-1,IF(COUNT(Captura_NoFin!R161)&lt;1,"",Captura_NoFin!R162/Captura_NoFin!R161-1)),""))</f>
        <v/>
      </c>
      <c r="N162" s="55">
        <f>IF(COUNT(Captura_NoFin!P162,Captura_NoFin!O162)&lt;2,"",IF(Captura_NoFin!O162&lt;=0,"",Captura_NoFin!P162/Captura_NoFin!O162))</f>
        <v/>
      </c>
      <c r="O162" s="56">
        <f>COUNT(F162:M162)</f>
        <v/>
      </c>
      <c r="P162" s="57">
        <f>IF(COUNT(Captura_NoFin!H162,Captura_NoFin!I162,Captura_NoFin!J162)&lt;3,"",IF(ABS(Captura_NoFin!H162-Captura_NoFin!I162-Captura_NoFin!J162)&lt;=0.005*ABS(Captura_NoFin!H162),"OK","REVISAR"))</f>
        <v/>
      </c>
    </row>
    <row r="163" ht="15" customHeight="1" s="31">
      <c r="A163" s="51">
        <f>Captura_NoFin!A163</f>
        <v/>
      </c>
      <c r="B163" s="51">
        <f>Captura_NoFin!B163</f>
        <v/>
      </c>
      <c r="C163" s="51">
        <f>Captura_NoFin!C163</f>
        <v/>
      </c>
      <c r="D163" s="52">
        <f>Captura_NoFin!D163</f>
        <v/>
      </c>
      <c r="E163" s="53">
        <f>IF(COUNT(Captura_NoFin!M163,Captura_NoFin!L163)&lt;2,"",Captura_NoFin!M163+ABS(Captura_NoFin!L163))</f>
        <v/>
      </c>
      <c r="F163" s="54">
        <f>IF(COUNT(Captura_NoFin!F163,Captura_NoFin!G163)&lt;2,"",IFERROR(Captura_NoFin!F163/Captura_NoFin!G163,""))</f>
        <v/>
      </c>
      <c r="G163" s="55">
        <f>IF(COUNT(Captura_NoFin!F163,Captura_NoFin!G163,Captura_NoFin!H163)&lt;3,"",IFERROR((Captura_NoFin!F163-Captura_NoFin!G163)/Captura_NoFin!H163,""))</f>
        <v/>
      </c>
      <c r="H163" s="55">
        <f>IF(OR(E163="",COUNT(Captura_NoFin!K163)&lt;1),"",IFERROR(E163/Captura_NoFin!K163,""))</f>
        <v/>
      </c>
      <c r="I163" s="55">
        <f>IF(COUNT(Captura_NoFin!N163,Captura_NoFin!H163)&lt;2,"",IFERROR(Captura_NoFin!N163/Captura_NoFin!H163,""))</f>
        <v/>
      </c>
      <c r="J163" s="55">
        <f>IF(COUNT(Captura_NoFin!I163,Captura_NoFin!H163)&lt;2,"",IFERROR(Captura_NoFin!I163/Captura_NoFin!H163,""))</f>
        <v/>
      </c>
      <c r="K163" s="54">
        <f>IF(OR(E163="",COUNT(Captura_NoFin!L163)&lt;1),"",IFERROR(E163/ABS(Captura_NoFin!L163),""))</f>
        <v/>
      </c>
      <c r="L163" s="54">
        <f>IF(COUNT(Captura_NoFin!K163,Captura_NoFin!H163)&lt;2,"",IFERROR(Captura_NoFin!K163/Captura_NoFin!H163,""))</f>
        <v/>
      </c>
      <c r="M163" s="55">
        <f>IF(COUNT(Captura_NoFin!R163)&lt;1,"",IFERROR(IF(D163=2017,Captura_NoFin!R163/INDEX(Empresas!$I$2:$I$23,MATCH($A163,Empresas!$B$2:$B$23,0))-1,IF(COUNT(Captura_NoFin!R162)&lt;1,"",Captura_NoFin!R163/Captura_NoFin!R162-1)),""))</f>
        <v/>
      </c>
      <c r="N163" s="55">
        <f>IF(COUNT(Captura_NoFin!P163,Captura_NoFin!O163)&lt;2,"",IF(Captura_NoFin!O163&lt;=0,"",Captura_NoFin!P163/Captura_NoFin!O163))</f>
        <v/>
      </c>
      <c r="O163" s="56">
        <f>COUNT(F163:M163)</f>
        <v/>
      </c>
      <c r="P163" s="57">
        <f>IF(COUNT(Captura_NoFin!H163,Captura_NoFin!I163,Captura_NoFin!J163)&lt;3,"",IF(ABS(Captura_NoFin!H163-Captura_NoFin!I163-Captura_NoFin!J163)&lt;=0.005*ABS(Captura_NoFin!H163),"OK","REVISAR"))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N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3" customWidth="1" style="30" min="1" max="1"/>
    <col width="7" customWidth="1" style="30" min="2" max="2"/>
    <col width="12" customWidth="1" style="30" min="3" max="3"/>
    <col width="7" customWidth="1" style="30" min="4" max="4"/>
    <col width="11" customWidth="1" style="30" min="5" max="5"/>
    <col width="12" customWidth="1" style="30" min="6" max="7"/>
    <col width="13" customWidth="1" style="30" min="8" max="8"/>
    <col width="11" customWidth="1" style="30" min="9" max="10"/>
    <col width="12" customWidth="1" style="30" min="11" max="12"/>
    <col width="10" customWidth="1" style="30" min="13" max="13"/>
    <col width="12" customWidth="1" style="30" min="14" max="14"/>
  </cols>
  <sheetData>
    <row r="1" ht="42" customHeight="1" s="31">
      <c r="A1" s="43" t="inlineStr">
        <is>
          <t>nemotecnico</t>
        </is>
      </c>
      <c r="B1" s="43" t="inlineStr">
        <is>
          <t>cod_sector</t>
        </is>
      </c>
      <c r="C1" s="43" t="inlineStr">
        <is>
          <t>sector</t>
        </is>
      </c>
      <c r="D1" s="43" t="inlineStr">
        <is>
          <t>anio</t>
        </is>
      </c>
      <c r="E1" s="43" t="inlineStr">
        <is>
          <t>F1_liquidez</t>
        </is>
      </c>
      <c r="F1" s="43" t="inlineStr">
        <is>
          <t>F3_eficiencia</t>
        </is>
      </c>
      <c r="G1" s="43" t="inlineStr">
        <is>
          <t>F4_rentabilidad_ROA</t>
        </is>
      </c>
      <c r="H1" s="43" t="inlineStr">
        <is>
          <t>F5_endeudamiento</t>
        </is>
      </c>
      <c r="I1" s="43" t="inlineStr">
        <is>
          <t>F6_cobertura</t>
        </is>
      </c>
      <c r="J1" s="43" t="inlineStr">
        <is>
          <t>F7_uso_activos</t>
        </is>
      </c>
      <c r="K1" s="43" t="inlineStr">
        <is>
          <t>F8_mercado_retorno</t>
        </is>
      </c>
      <c r="L1" s="43" t="inlineStr">
        <is>
          <t>ROE_descriptivo</t>
        </is>
      </c>
      <c r="M1" s="43" t="inlineStr">
        <is>
          <t>familias_validas</t>
        </is>
      </c>
      <c r="N1" s="43" t="inlineStr">
        <is>
          <t>cuadre_contable</t>
        </is>
      </c>
    </row>
    <row r="2" ht="15" customHeight="1" s="31">
      <c r="A2" s="51">
        <f>Captura_Fin!A2</f>
        <v/>
      </c>
      <c r="B2" s="51">
        <f>Captura_Fin!B2</f>
        <v/>
      </c>
      <c r="C2" s="51">
        <f>Captura_Fin!C2</f>
        <v/>
      </c>
      <c r="D2" s="52">
        <f>Captura_Fin!D2</f>
        <v/>
      </c>
      <c r="E2" s="55">
        <f>IF(COUNT(Captura_Fin!I2,Captura_Fin!J2)&lt;2,"",IFERROR(Captura_Fin!I2/Captura_Fin!J2,""))</f>
        <v/>
      </c>
      <c r="F2" s="55">
        <f>IF(COUNT(Captura_Fin!M2,Captura_Fin!L2)&lt;2,"",IFERROR(ABS(Captura_Fin!M2)/Captura_Fin!L2,""))</f>
        <v/>
      </c>
      <c r="G2" s="55">
        <f>IF(COUNT(Captura_Fin!P2,Captura_Fin!F2)&lt;2,"",IFERROR(Captura_Fin!P2/Captura_Fin!F2,""))</f>
        <v/>
      </c>
      <c r="H2" s="55">
        <f>IF(COUNT(Captura_Fin!G2,Captura_Fin!F2)&lt;2,"",IFERROR(Captura_Fin!G2/Captura_Fin!F2,""))</f>
        <v/>
      </c>
      <c r="I2" s="54">
        <f>IF(COUNT(Captura_Fin!O2,Captura_Fin!N2)&lt;2,"",IFERROR((Captura_Fin!O2+ABS(Captura_Fin!N2))/ABS(Captura_Fin!N2),""))</f>
        <v/>
      </c>
      <c r="J2" s="55">
        <f>IF(COUNT(Captura_Fin!L2,Captura_Fin!F2)&lt;2,"",IFERROR(Captura_Fin!L2/Captura_Fin!F2,""))</f>
        <v/>
      </c>
      <c r="K2" s="55">
        <f>IF(COUNT(Captura_Fin!Q2)&lt;1,"",IFERROR(IF(D2=2017,Captura_Fin!Q2/INDEX(Empresas!$I$2:$I$23,MATCH($A2,Empresas!$B$2:$B$23,0))-1,IF(COUNT(Captura_Fin!Q1)&lt;1,"",Captura_Fin!Q2/Captura_Fin!Q1-1)),""))</f>
        <v/>
      </c>
      <c r="L2" s="55">
        <f>IF(COUNT(Captura_Fin!P2,Captura_Fin!H2)&lt;2,"",IF(Captura_Fin!H2&lt;=0,"",Captura_Fin!P2/Captura_Fin!H2))</f>
        <v/>
      </c>
      <c r="M2" s="56">
        <f>COUNT(E2:K2)</f>
        <v/>
      </c>
      <c r="N2" s="57">
        <f>IF(COUNT(Captura_Fin!F2,Captura_Fin!G2,Captura_Fin!H2)&lt;3,"",IF(ABS(Captura_Fin!F2-Captura_Fin!G2-Captura_Fin!H2)&lt;=0.005*ABS(Captura_Fin!F2),"OK","REVISAR"))</f>
        <v/>
      </c>
    </row>
    <row r="3" ht="15" customHeight="1" s="31">
      <c r="A3" s="51">
        <f>Captura_Fin!A3</f>
        <v/>
      </c>
      <c r="B3" s="51">
        <f>Captura_Fin!B3</f>
        <v/>
      </c>
      <c r="C3" s="51">
        <f>Captura_Fin!C3</f>
        <v/>
      </c>
      <c r="D3" s="52">
        <f>Captura_Fin!D3</f>
        <v/>
      </c>
      <c r="E3" s="55">
        <f>IF(COUNT(Captura_Fin!I3,Captura_Fin!J3)&lt;2,"",IFERROR(Captura_Fin!I3/Captura_Fin!J3,""))</f>
        <v/>
      </c>
      <c r="F3" s="55">
        <f>IF(COUNT(Captura_Fin!M3,Captura_Fin!L3)&lt;2,"",IFERROR(ABS(Captura_Fin!M3)/Captura_Fin!L3,""))</f>
        <v/>
      </c>
      <c r="G3" s="55">
        <f>IF(COUNT(Captura_Fin!P3,Captura_Fin!F3)&lt;2,"",IFERROR(Captura_Fin!P3/Captura_Fin!F3,""))</f>
        <v/>
      </c>
      <c r="H3" s="55">
        <f>IF(COUNT(Captura_Fin!G3,Captura_Fin!F3)&lt;2,"",IFERROR(Captura_Fin!G3/Captura_Fin!F3,""))</f>
        <v/>
      </c>
      <c r="I3" s="54">
        <f>IF(COUNT(Captura_Fin!O3,Captura_Fin!N3)&lt;2,"",IFERROR((Captura_Fin!O3+ABS(Captura_Fin!N3))/ABS(Captura_Fin!N3),""))</f>
        <v/>
      </c>
      <c r="J3" s="55">
        <f>IF(COUNT(Captura_Fin!L3,Captura_Fin!F3)&lt;2,"",IFERROR(Captura_Fin!L3/Captura_Fin!F3,""))</f>
        <v/>
      </c>
      <c r="K3" s="55">
        <f>IF(COUNT(Captura_Fin!Q3)&lt;1,"",IFERROR(IF(D3=2017,Captura_Fin!Q3/INDEX(Empresas!$I$2:$I$23,MATCH($A3,Empresas!$B$2:$B$23,0))-1,IF(COUNT(Captura_Fin!Q2)&lt;1,"",Captura_Fin!Q3/Captura_Fin!Q2-1)),""))</f>
        <v/>
      </c>
      <c r="L3" s="55">
        <f>IF(COUNT(Captura_Fin!P3,Captura_Fin!H3)&lt;2,"",IF(Captura_Fin!H3&lt;=0,"",Captura_Fin!P3/Captura_Fin!H3))</f>
        <v/>
      </c>
      <c r="M3" s="56">
        <f>COUNT(E3:K3)</f>
        <v/>
      </c>
      <c r="N3" s="57">
        <f>IF(COUNT(Captura_Fin!F3,Captura_Fin!G3,Captura_Fin!H3)&lt;3,"",IF(ABS(Captura_Fin!F3-Captura_Fin!G3-Captura_Fin!H3)&lt;=0.005*ABS(Captura_Fin!F3),"OK","REVISAR"))</f>
        <v/>
      </c>
    </row>
    <row r="4" ht="15" customHeight="1" s="31">
      <c r="A4" s="51">
        <f>Captura_Fin!A4</f>
        <v/>
      </c>
      <c r="B4" s="51">
        <f>Captura_Fin!B4</f>
        <v/>
      </c>
      <c r="C4" s="51">
        <f>Captura_Fin!C4</f>
        <v/>
      </c>
      <c r="D4" s="52">
        <f>Captura_Fin!D4</f>
        <v/>
      </c>
      <c r="E4" s="55">
        <f>IF(COUNT(Captura_Fin!I4,Captura_Fin!J4)&lt;2,"",IFERROR(Captura_Fin!I4/Captura_Fin!J4,""))</f>
        <v/>
      </c>
      <c r="F4" s="55">
        <f>IF(COUNT(Captura_Fin!M4,Captura_Fin!L4)&lt;2,"",IFERROR(ABS(Captura_Fin!M4)/Captura_Fin!L4,""))</f>
        <v/>
      </c>
      <c r="G4" s="55">
        <f>IF(COUNT(Captura_Fin!P4,Captura_Fin!F4)&lt;2,"",IFERROR(Captura_Fin!P4/Captura_Fin!F4,""))</f>
        <v/>
      </c>
      <c r="H4" s="55">
        <f>IF(COUNT(Captura_Fin!G4,Captura_Fin!F4)&lt;2,"",IFERROR(Captura_Fin!G4/Captura_Fin!F4,""))</f>
        <v/>
      </c>
      <c r="I4" s="54">
        <f>IF(COUNT(Captura_Fin!O4,Captura_Fin!N4)&lt;2,"",IFERROR((Captura_Fin!O4+ABS(Captura_Fin!N4))/ABS(Captura_Fin!N4),""))</f>
        <v/>
      </c>
      <c r="J4" s="55">
        <f>IF(COUNT(Captura_Fin!L4,Captura_Fin!F4)&lt;2,"",IFERROR(Captura_Fin!L4/Captura_Fin!F4,""))</f>
        <v/>
      </c>
      <c r="K4" s="55">
        <f>IF(COUNT(Captura_Fin!Q4)&lt;1,"",IFERROR(IF(D4=2017,Captura_Fin!Q4/INDEX(Empresas!$I$2:$I$23,MATCH($A4,Empresas!$B$2:$B$23,0))-1,IF(COUNT(Captura_Fin!Q3)&lt;1,"",Captura_Fin!Q4/Captura_Fin!Q3-1)),""))</f>
        <v/>
      </c>
      <c r="L4" s="55">
        <f>IF(COUNT(Captura_Fin!P4,Captura_Fin!H4)&lt;2,"",IF(Captura_Fin!H4&lt;=0,"",Captura_Fin!P4/Captura_Fin!H4))</f>
        <v/>
      </c>
      <c r="M4" s="56">
        <f>COUNT(E4:K4)</f>
        <v/>
      </c>
      <c r="N4" s="57">
        <f>IF(COUNT(Captura_Fin!F4,Captura_Fin!G4,Captura_Fin!H4)&lt;3,"",IF(ABS(Captura_Fin!F4-Captura_Fin!G4-Captura_Fin!H4)&lt;=0.005*ABS(Captura_Fin!F4),"OK","REVISAR"))</f>
        <v/>
      </c>
    </row>
    <row r="5" ht="15" customHeight="1" s="31">
      <c r="A5" s="51">
        <f>Captura_Fin!A5</f>
        <v/>
      </c>
      <c r="B5" s="51">
        <f>Captura_Fin!B5</f>
        <v/>
      </c>
      <c r="C5" s="51">
        <f>Captura_Fin!C5</f>
        <v/>
      </c>
      <c r="D5" s="52">
        <f>Captura_Fin!D5</f>
        <v/>
      </c>
      <c r="E5" s="55">
        <f>IF(COUNT(Captura_Fin!I5,Captura_Fin!J5)&lt;2,"",IFERROR(Captura_Fin!I5/Captura_Fin!J5,""))</f>
        <v/>
      </c>
      <c r="F5" s="55">
        <f>IF(COUNT(Captura_Fin!M5,Captura_Fin!L5)&lt;2,"",IFERROR(ABS(Captura_Fin!M5)/Captura_Fin!L5,""))</f>
        <v/>
      </c>
      <c r="G5" s="55">
        <f>IF(COUNT(Captura_Fin!P5,Captura_Fin!F5)&lt;2,"",IFERROR(Captura_Fin!P5/Captura_Fin!F5,""))</f>
        <v/>
      </c>
      <c r="H5" s="55">
        <f>IF(COUNT(Captura_Fin!G5,Captura_Fin!F5)&lt;2,"",IFERROR(Captura_Fin!G5/Captura_Fin!F5,""))</f>
        <v/>
      </c>
      <c r="I5" s="54">
        <f>IF(COUNT(Captura_Fin!O5,Captura_Fin!N5)&lt;2,"",IFERROR((Captura_Fin!O5+ABS(Captura_Fin!N5))/ABS(Captura_Fin!N5),""))</f>
        <v/>
      </c>
      <c r="J5" s="55">
        <f>IF(COUNT(Captura_Fin!L5,Captura_Fin!F5)&lt;2,"",IFERROR(Captura_Fin!L5/Captura_Fin!F5,""))</f>
        <v/>
      </c>
      <c r="K5" s="55">
        <f>IF(COUNT(Captura_Fin!Q5)&lt;1,"",IFERROR(IF(D5=2017,Captura_Fin!Q5/INDEX(Empresas!$I$2:$I$23,MATCH($A5,Empresas!$B$2:$B$23,0))-1,IF(COUNT(Captura_Fin!Q4)&lt;1,"",Captura_Fin!Q5/Captura_Fin!Q4-1)),""))</f>
        <v/>
      </c>
      <c r="L5" s="55">
        <f>IF(COUNT(Captura_Fin!P5,Captura_Fin!H5)&lt;2,"",IF(Captura_Fin!H5&lt;=0,"",Captura_Fin!P5/Captura_Fin!H5))</f>
        <v/>
      </c>
      <c r="M5" s="56">
        <f>COUNT(E5:K5)</f>
        <v/>
      </c>
      <c r="N5" s="57">
        <f>IF(COUNT(Captura_Fin!F5,Captura_Fin!G5,Captura_Fin!H5)&lt;3,"",IF(ABS(Captura_Fin!F5-Captura_Fin!G5-Captura_Fin!H5)&lt;=0.005*ABS(Captura_Fin!F5),"OK","REVISAR"))</f>
        <v/>
      </c>
    </row>
    <row r="6" ht="15" customHeight="1" s="31">
      <c r="A6" s="51">
        <f>Captura_Fin!A6</f>
        <v/>
      </c>
      <c r="B6" s="51">
        <f>Captura_Fin!B6</f>
        <v/>
      </c>
      <c r="C6" s="51">
        <f>Captura_Fin!C6</f>
        <v/>
      </c>
      <c r="D6" s="52">
        <f>Captura_Fin!D6</f>
        <v/>
      </c>
      <c r="E6" s="55">
        <f>IF(COUNT(Captura_Fin!I6,Captura_Fin!J6)&lt;2,"",IFERROR(Captura_Fin!I6/Captura_Fin!J6,""))</f>
        <v/>
      </c>
      <c r="F6" s="55">
        <f>IF(COUNT(Captura_Fin!M6,Captura_Fin!L6)&lt;2,"",IFERROR(ABS(Captura_Fin!M6)/Captura_Fin!L6,""))</f>
        <v/>
      </c>
      <c r="G6" s="55">
        <f>IF(COUNT(Captura_Fin!P6,Captura_Fin!F6)&lt;2,"",IFERROR(Captura_Fin!P6/Captura_Fin!F6,""))</f>
        <v/>
      </c>
      <c r="H6" s="55">
        <f>IF(COUNT(Captura_Fin!G6,Captura_Fin!F6)&lt;2,"",IFERROR(Captura_Fin!G6/Captura_Fin!F6,""))</f>
        <v/>
      </c>
      <c r="I6" s="54">
        <f>IF(COUNT(Captura_Fin!O6,Captura_Fin!N6)&lt;2,"",IFERROR((Captura_Fin!O6+ABS(Captura_Fin!N6))/ABS(Captura_Fin!N6),""))</f>
        <v/>
      </c>
      <c r="J6" s="55">
        <f>IF(COUNT(Captura_Fin!L6,Captura_Fin!F6)&lt;2,"",IFERROR(Captura_Fin!L6/Captura_Fin!F6,""))</f>
        <v/>
      </c>
      <c r="K6" s="55">
        <f>IF(COUNT(Captura_Fin!Q6)&lt;1,"",IFERROR(IF(D6=2017,Captura_Fin!Q6/INDEX(Empresas!$I$2:$I$23,MATCH($A6,Empresas!$B$2:$B$23,0))-1,IF(COUNT(Captura_Fin!Q5)&lt;1,"",Captura_Fin!Q6/Captura_Fin!Q5-1)),""))</f>
        <v/>
      </c>
      <c r="L6" s="55">
        <f>IF(COUNT(Captura_Fin!P6,Captura_Fin!H6)&lt;2,"",IF(Captura_Fin!H6&lt;=0,"",Captura_Fin!P6/Captura_Fin!H6))</f>
        <v/>
      </c>
      <c r="M6" s="56">
        <f>COUNT(E6:K6)</f>
        <v/>
      </c>
      <c r="N6" s="57">
        <f>IF(COUNT(Captura_Fin!F6,Captura_Fin!G6,Captura_Fin!H6)&lt;3,"",IF(ABS(Captura_Fin!F6-Captura_Fin!G6-Captura_Fin!H6)&lt;=0.005*ABS(Captura_Fin!F6),"OK","REVISAR"))</f>
        <v/>
      </c>
    </row>
    <row r="7" ht="15" customHeight="1" s="31">
      <c r="A7" s="51">
        <f>Captura_Fin!A7</f>
        <v/>
      </c>
      <c r="B7" s="51">
        <f>Captura_Fin!B7</f>
        <v/>
      </c>
      <c r="C7" s="51">
        <f>Captura_Fin!C7</f>
        <v/>
      </c>
      <c r="D7" s="52">
        <f>Captura_Fin!D7</f>
        <v/>
      </c>
      <c r="E7" s="55">
        <f>IF(COUNT(Captura_Fin!I7,Captura_Fin!J7)&lt;2,"",IFERROR(Captura_Fin!I7/Captura_Fin!J7,""))</f>
        <v/>
      </c>
      <c r="F7" s="55">
        <f>IF(COUNT(Captura_Fin!M7,Captura_Fin!L7)&lt;2,"",IFERROR(ABS(Captura_Fin!M7)/Captura_Fin!L7,""))</f>
        <v/>
      </c>
      <c r="G7" s="55">
        <f>IF(COUNT(Captura_Fin!P7,Captura_Fin!F7)&lt;2,"",IFERROR(Captura_Fin!P7/Captura_Fin!F7,""))</f>
        <v/>
      </c>
      <c r="H7" s="55">
        <f>IF(COUNT(Captura_Fin!G7,Captura_Fin!F7)&lt;2,"",IFERROR(Captura_Fin!G7/Captura_Fin!F7,""))</f>
        <v/>
      </c>
      <c r="I7" s="54">
        <f>IF(COUNT(Captura_Fin!O7,Captura_Fin!N7)&lt;2,"",IFERROR((Captura_Fin!O7+ABS(Captura_Fin!N7))/ABS(Captura_Fin!N7),""))</f>
        <v/>
      </c>
      <c r="J7" s="55">
        <f>IF(COUNT(Captura_Fin!L7,Captura_Fin!F7)&lt;2,"",IFERROR(Captura_Fin!L7/Captura_Fin!F7,""))</f>
        <v/>
      </c>
      <c r="K7" s="55">
        <f>IF(COUNT(Captura_Fin!Q7)&lt;1,"",IFERROR(IF(D7=2017,Captura_Fin!Q7/INDEX(Empresas!$I$2:$I$23,MATCH($A7,Empresas!$B$2:$B$23,0))-1,IF(COUNT(Captura_Fin!Q6)&lt;1,"",Captura_Fin!Q7/Captura_Fin!Q6-1)),""))</f>
        <v/>
      </c>
      <c r="L7" s="55">
        <f>IF(COUNT(Captura_Fin!P7,Captura_Fin!H7)&lt;2,"",IF(Captura_Fin!H7&lt;=0,"",Captura_Fin!P7/Captura_Fin!H7))</f>
        <v/>
      </c>
      <c r="M7" s="56">
        <f>COUNT(E7:K7)</f>
        <v/>
      </c>
      <c r="N7" s="57">
        <f>IF(COUNT(Captura_Fin!F7,Captura_Fin!G7,Captura_Fin!H7)&lt;3,"",IF(ABS(Captura_Fin!F7-Captura_Fin!G7-Captura_Fin!H7)&lt;=0.005*ABS(Captura_Fin!F7),"OK","REVISAR"))</f>
        <v/>
      </c>
    </row>
    <row r="8" ht="15" customHeight="1" s="31">
      <c r="A8" s="51">
        <f>Captura_Fin!A8</f>
        <v/>
      </c>
      <c r="B8" s="51">
        <f>Captura_Fin!B8</f>
        <v/>
      </c>
      <c r="C8" s="51">
        <f>Captura_Fin!C8</f>
        <v/>
      </c>
      <c r="D8" s="52">
        <f>Captura_Fin!D8</f>
        <v/>
      </c>
      <c r="E8" s="55">
        <f>IF(COUNT(Captura_Fin!I8,Captura_Fin!J8)&lt;2,"",IFERROR(Captura_Fin!I8/Captura_Fin!J8,""))</f>
        <v/>
      </c>
      <c r="F8" s="55">
        <f>IF(COUNT(Captura_Fin!M8,Captura_Fin!L8)&lt;2,"",IFERROR(ABS(Captura_Fin!M8)/Captura_Fin!L8,""))</f>
        <v/>
      </c>
      <c r="G8" s="55">
        <f>IF(COUNT(Captura_Fin!P8,Captura_Fin!F8)&lt;2,"",IFERROR(Captura_Fin!P8/Captura_Fin!F8,""))</f>
        <v/>
      </c>
      <c r="H8" s="55">
        <f>IF(COUNT(Captura_Fin!G8,Captura_Fin!F8)&lt;2,"",IFERROR(Captura_Fin!G8/Captura_Fin!F8,""))</f>
        <v/>
      </c>
      <c r="I8" s="54">
        <f>IF(COUNT(Captura_Fin!O8,Captura_Fin!N8)&lt;2,"",IFERROR((Captura_Fin!O8+ABS(Captura_Fin!N8))/ABS(Captura_Fin!N8),""))</f>
        <v/>
      </c>
      <c r="J8" s="55">
        <f>IF(COUNT(Captura_Fin!L8,Captura_Fin!F8)&lt;2,"",IFERROR(Captura_Fin!L8/Captura_Fin!F8,""))</f>
        <v/>
      </c>
      <c r="K8" s="55">
        <f>IF(COUNT(Captura_Fin!Q8)&lt;1,"",IFERROR(IF(D8=2017,Captura_Fin!Q8/INDEX(Empresas!$I$2:$I$23,MATCH($A8,Empresas!$B$2:$B$23,0))-1,IF(COUNT(Captura_Fin!Q7)&lt;1,"",Captura_Fin!Q8/Captura_Fin!Q7-1)),""))</f>
        <v/>
      </c>
      <c r="L8" s="55">
        <f>IF(COUNT(Captura_Fin!P8,Captura_Fin!H8)&lt;2,"",IF(Captura_Fin!H8&lt;=0,"",Captura_Fin!P8/Captura_Fin!H8))</f>
        <v/>
      </c>
      <c r="M8" s="56">
        <f>COUNT(E8:K8)</f>
        <v/>
      </c>
      <c r="N8" s="57">
        <f>IF(COUNT(Captura_Fin!F8,Captura_Fin!G8,Captura_Fin!H8)&lt;3,"",IF(ABS(Captura_Fin!F8-Captura_Fin!G8-Captura_Fin!H8)&lt;=0.005*ABS(Captura_Fin!F8),"OK","REVISAR"))</f>
        <v/>
      </c>
    </row>
    <row r="9" ht="15" customHeight="1" s="31">
      <c r="A9" s="51">
        <f>Captura_Fin!A9</f>
        <v/>
      </c>
      <c r="B9" s="51">
        <f>Captura_Fin!B9</f>
        <v/>
      </c>
      <c r="C9" s="51">
        <f>Captura_Fin!C9</f>
        <v/>
      </c>
      <c r="D9" s="52">
        <f>Captura_Fin!D9</f>
        <v/>
      </c>
      <c r="E9" s="55">
        <f>IF(COUNT(Captura_Fin!I9,Captura_Fin!J9)&lt;2,"",IFERROR(Captura_Fin!I9/Captura_Fin!J9,""))</f>
        <v/>
      </c>
      <c r="F9" s="55">
        <f>IF(COUNT(Captura_Fin!M9,Captura_Fin!L9)&lt;2,"",IFERROR(ABS(Captura_Fin!M9)/Captura_Fin!L9,""))</f>
        <v/>
      </c>
      <c r="G9" s="55">
        <f>IF(COUNT(Captura_Fin!P9,Captura_Fin!F9)&lt;2,"",IFERROR(Captura_Fin!P9/Captura_Fin!F9,""))</f>
        <v/>
      </c>
      <c r="H9" s="55">
        <f>IF(COUNT(Captura_Fin!G9,Captura_Fin!F9)&lt;2,"",IFERROR(Captura_Fin!G9/Captura_Fin!F9,""))</f>
        <v/>
      </c>
      <c r="I9" s="54">
        <f>IF(COUNT(Captura_Fin!O9,Captura_Fin!N9)&lt;2,"",IFERROR((Captura_Fin!O9+ABS(Captura_Fin!N9))/ABS(Captura_Fin!N9),""))</f>
        <v/>
      </c>
      <c r="J9" s="55">
        <f>IF(COUNT(Captura_Fin!L9,Captura_Fin!F9)&lt;2,"",IFERROR(Captura_Fin!L9/Captura_Fin!F9,""))</f>
        <v/>
      </c>
      <c r="K9" s="55">
        <f>IF(COUNT(Captura_Fin!Q9)&lt;1,"",IFERROR(IF(D9=2017,Captura_Fin!Q9/INDEX(Empresas!$I$2:$I$23,MATCH($A9,Empresas!$B$2:$B$23,0))-1,IF(COUNT(Captura_Fin!Q8)&lt;1,"",Captura_Fin!Q9/Captura_Fin!Q8-1)),""))</f>
        <v/>
      </c>
      <c r="L9" s="55">
        <f>IF(COUNT(Captura_Fin!P9,Captura_Fin!H9)&lt;2,"",IF(Captura_Fin!H9&lt;=0,"",Captura_Fin!P9/Captura_Fin!H9))</f>
        <v/>
      </c>
      <c r="M9" s="56">
        <f>COUNT(E9:K9)</f>
        <v/>
      </c>
      <c r="N9" s="57">
        <f>IF(COUNT(Captura_Fin!F9,Captura_Fin!G9,Captura_Fin!H9)&lt;3,"",IF(ABS(Captura_Fin!F9-Captura_Fin!G9-Captura_Fin!H9)&lt;=0.005*ABS(Captura_Fin!F9),"OK","REVISAR"))</f>
        <v/>
      </c>
    </row>
    <row r="10" ht="15" customHeight="1" s="31">
      <c r="A10" s="51">
        <f>Captura_Fin!A10</f>
        <v/>
      </c>
      <c r="B10" s="51">
        <f>Captura_Fin!B10</f>
        <v/>
      </c>
      <c r="C10" s="51">
        <f>Captura_Fin!C10</f>
        <v/>
      </c>
      <c r="D10" s="52">
        <f>Captura_Fin!D10</f>
        <v/>
      </c>
      <c r="E10" s="55">
        <f>IF(COUNT(Captura_Fin!I10,Captura_Fin!J10)&lt;2,"",IFERROR(Captura_Fin!I10/Captura_Fin!J10,""))</f>
        <v/>
      </c>
      <c r="F10" s="55">
        <f>IF(COUNT(Captura_Fin!M10,Captura_Fin!L10)&lt;2,"",IFERROR(ABS(Captura_Fin!M10)/Captura_Fin!L10,""))</f>
        <v/>
      </c>
      <c r="G10" s="55">
        <f>IF(COUNT(Captura_Fin!P10,Captura_Fin!F10)&lt;2,"",IFERROR(Captura_Fin!P10/Captura_Fin!F10,""))</f>
        <v/>
      </c>
      <c r="H10" s="55">
        <f>IF(COUNT(Captura_Fin!G10,Captura_Fin!F10)&lt;2,"",IFERROR(Captura_Fin!G10/Captura_Fin!F10,""))</f>
        <v/>
      </c>
      <c r="I10" s="54">
        <f>IF(COUNT(Captura_Fin!O10,Captura_Fin!N10)&lt;2,"",IFERROR((Captura_Fin!O10+ABS(Captura_Fin!N10))/ABS(Captura_Fin!N10),""))</f>
        <v/>
      </c>
      <c r="J10" s="55">
        <f>IF(COUNT(Captura_Fin!L10,Captura_Fin!F10)&lt;2,"",IFERROR(Captura_Fin!L10/Captura_Fin!F10,""))</f>
        <v/>
      </c>
      <c r="K10" s="55">
        <f>IF(COUNT(Captura_Fin!Q10)&lt;1,"",IFERROR(IF(D10=2017,Captura_Fin!Q10/INDEX(Empresas!$I$2:$I$23,MATCH($A10,Empresas!$B$2:$B$23,0))-1,IF(COUNT(Captura_Fin!Q9)&lt;1,"",Captura_Fin!Q10/Captura_Fin!Q9-1)),""))</f>
        <v/>
      </c>
      <c r="L10" s="55">
        <f>IF(COUNT(Captura_Fin!P10,Captura_Fin!H10)&lt;2,"",IF(Captura_Fin!H10&lt;=0,"",Captura_Fin!P10/Captura_Fin!H10))</f>
        <v/>
      </c>
      <c r="M10" s="56">
        <f>COUNT(E10:K10)</f>
        <v/>
      </c>
      <c r="N10" s="57">
        <f>IF(COUNT(Captura_Fin!F10,Captura_Fin!G10,Captura_Fin!H10)&lt;3,"",IF(ABS(Captura_Fin!F10-Captura_Fin!G10-Captura_Fin!H10)&lt;=0.005*ABS(Captura_Fin!F10),"OK","REVISAR"))</f>
        <v/>
      </c>
    </row>
    <row r="11" ht="15" customHeight="1" s="31">
      <c r="A11" s="51">
        <f>Captura_Fin!A11</f>
        <v/>
      </c>
      <c r="B11" s="51">
        <f>Captura_Fin!B11</f>
        <v/>
      </c>
      <c r="C11" s="51">
        <f>Captura_Fin!C11</f>
        <v/>
      </c>
      <c r="D11" s="52">
        <f>Captura_Fin!D11</f>
        <v/>
      </c>
      <c r="E11" s="55">
        <f>IF(COUNT(Captura_Fin!I11,Captura_Fin!J11)&lt;2,"",IFERROR(Captura_Fin!I11/Captura_Fin!J11,""))</f>
        <v/>
      </c>
      <c r="F11" s="55">
        <f>IF(COUNT(Captura_Fin!M11,Captura_Fin!L11)&lt;2,"",IFERROR(ABS(Captura_Fin!M11)/Captura_Fin!L11,""))</f>
        <v/>
      </c>
      <c r="G11" s="55">
        <f>IF(COUNT(Captura_Fin!P11,Captura_Fin!F11)&lt;2,"",IFERROR(Captura_Fin!P11/Captura_Fin!F11,""))</f>
        <v/>
      </c>
      <c r="H11" s="55">
        <f>IF(COUNT(Captura_Fin!G11,Captura_Fin!F11)&lt;2,"",IFERROR(Captura_Fin!G11/Captura_Fin!F11,""))</f>
        <v/>
      </c>
      <c r="I11" s="54">
        <f>IF(COUNT(Captura_Fin!O11,Captura_Fin!N11)&lt;2,"",IFERROR((Captura_Fin!O11+ABS(Captura_Fin!N11))/ABS(Captura_Fin!N11),""))</f>
        <v/>
      </c>
      <c r="J11" s="55">
        <f>IF(COUNT(Captura_Fin!L11,Captura_Fin!F11)&lt;2,"",IFERROR(Captura_Fin!L11/Captura_Fin!F11,""))</f>
        <v/>
      </c>
      <c r="K11" s="55">
        <f>IF(COUNT(Captura_Fin!Q11)&lt;1,"",IFERROR(IF(D11=2017,Captura_Fin!Q11/INDEX(Empresas!$I$2:$I$23,MATCH($A11,Empresas!$B$2:$B$23,0))-1,IF(COUNT(Captura_Fin!Q10)&lt;1,"",Captura_Fin!Q11/Captura_Fin!Q10-1)),""))</f>
        <v/>
      </c>
      <c r="L11" s="55">
        <f>IF(COUNT(Captura_Fin!P11,Captura_Fin!H11)&lt;2,"",IF(Captura_Fin!H11&lt;=0,"",Captura_Fin!P11/Captura_Fin!H11))</f>
        <v/>
      </c>
      <c r="M11" s="56">
        <f>COUNT(E11:K11)</f>
        <v/>
      </c>
      <c r="N11" s="57">
        <f>IF(COUNT(Captura_Fin!F11,Captura_Fin!G11,Captura_Fin!H11)&lt;3,"",IF(ABS(Captura_Fin!F11-Captura_Fin!G11-Captura_Fin!H11)&lt;=0.005*ABS(Captura_Fin!F11),"OK","REVISAR"))</f>
        <v/>
      </c>
    </row>
    <row r="12" ht="15" customHeight="1" s="31">
      <c r="A12" s="51">
        <f>Captura_Fin!A12</f>
        <v/>
      </c>
      <c r="B12" s="51">
        <f>Captura_Fin!B12</f>
        <v/>
      </c>
      <c r="C12" s="51">
        <f>Captura_Fin!C12</f>
        <v/>
      </c>
      <c r="D12" s="52">
        <f>Captura_Fin!D12</f>
        <v/>
      </c>
      <c r="E12" s="55">
        <f>IF(COUNT(Captura_Fin!I12,Captura_Fin!J12)&lt;2,"",IFERROR(Captura_Fin!I12/Captura_Fin!J12,""))</f>
        <v/>
      </c>
      <c r="F12" s="55">
        <f>IF(COUNT(Captura_Fin!M12,Captura_Fin!L12)&lt;2,"",IFERROR(ABS(Captura_Fin!M12)/Captura_Fin!L12,""))</f>
        <v/>
      </c>
      <c r="G12" s="55">
        <f>IF(COUNT(Captura_Fin!P12,Captura_Fin!F12)&lt;2,"",IFERROR(Captura_Fin!P12/Captura_Fin!F12,""))</f>
        <v/>
      </c>
      <c r="H12" s="55">
        <f>IF(COUNT(Captura_Fin!G12,Captura_Fin!F12)&lt;2,"",IFERROR(Captura_Fin!G12/Captura_Fin!F12,""))</f>
        <v/>
      </c>
      <c r="I12" s="54">
        <f>IF(COUNT(Captura_Fin!O12,Captura_Fin!N12)&lt;2,"",IFERROR((Captura_Fin!O12+ABS(Captura_Fin!N12))/ABS(Captura_Fin!N12),""))</f>
        <v/>
      </c>
      <c r="J12" s="55">
        <f>IF(COUNT(Captura_Fin!L12,Captura_Fin!F12)&lt;2,"",IFERROR(Captura_Fin!L12/Captura_Fin!F12,""))</f>
        <v/>
      </c>
      <c r="K12" s="55">
        <f>IF(COUNT(Captura_Fin!Q12)&lt;1,"",IFERROR(IF(D12=2017,Captura_Fin!Q12/INDEX(Empresas!$I$2:$I$23,MATCH($A12,Empresas!$B$2:$B$23,0))-1,IF(COUNT(Captura_Fin!Q11)&lt;1,"",Captura_Fin!Q12/Captura_Fin!Q11-1)),""))</f>
        <v/>
      </c>
      <c r="L12" s="55">
        <f>IF(COUNT(Captura_Fin!P12,Captura_Fin!H12)&lt;2,"",IF(Captura_Fin!H12&lt;=0,"",Captura_Fin!P12/Captura_Fin!H12))</f>
        <v/>
      </c>
      <c r="M12" s="56">
        <f>COUNT(E12:K12)</f>
        <v/>
      </c>
      <c r="N12" s="57">
        <f>IF(COUNT(Captura_Fin!F12,Captura_Fin!G12,Captura_Fin!H12)&lt;3,"",IF(ABS(Captura_Fin!F12-Captura_Fin!G12-Captura_Fin!H12)&lt;=0.005*ABS(Captura_Fin!F12),"OK","REVISAR"))</f>
        <v/>
      </c>
    </row>
    <row r="13" ht="15" customHeight="1" s="31">
      <c r="A13" s="51">
        <f>Captura_Fin!A13</f>
        <v/>
      </c>
      <c r="B13" s="51">
        <f>Captura_Fin!B13</f>
        <v/>
      </c>
      <c r="C13" s="51">
        <f>Captura_Fin!C13</f>
        <v/>
      </c>
      <c r="D13" s="52">
        <f>Captura_Fin!D13</f>
        <v/>
      </c>
      <c r="E13" s="55">
        <f>IF(COUNT(Captura_Fin!I13,Captura_Fin!J13)&lt;2,"",IFERROR(Captura_Fin!I13/Captura_Fin!J13,""))</f>
        <v/>
      </c>
      <c r="F13" s="55">
        <f>IF(COUNT(Captura_Fin!M13,Captura_Fin!L13)&lt;2,"",IFERROR(ABS(Captura_Fin!M13)/Captura_Fin!L13,""))</f>
        <v/>
      </c>
      <c r="G13" s="55">
        <f>IF(COUNT(Captura_Fin!P13,Captura_Fin!F13)&lt;2,"",IFERROR(Captura_Fin!P13/Captura_Fin!F13,""))</f>
        <v/>
      </c>
      <c r="H13" s="55">
        <f>IF(COUNT(Captura_Fin!G13,Captura_Fin!F13)&lt;2,"",IFERROR(Captura_Fin!G13/Captura_Fin!F13,""))</f>
        <v/>
      </c>
      <c r="I13" s="54">
        <f>IF(COUNT(Captura_Fin!O13,Captura_Fin!N13)&lt;2,"",IFERROR((Captura_Fin!O13+ABS(Captura_Fin!N13))/ABS(Captura_Fin!N13),""))</f>
        <v/>
      </c>
      <c r="J13" s="55">
        <f>IF(COUNT(Captura_Fin!L13,Captura_Fin!F13)&lt;2,"",IFERROR(Captura_Fin!L13/Captura_Fin!F13,""))</f>
        <v/>
      </c>
      <c r="K13" s="55">
        <f>IF(COUNT(Captura_Fin!Q13)&lt;1,"",IFERROR(IF(D13=2017,Captura_Fin!Q13/INDEX(Empresas!$I$2:$I$23,MATCH($A13,Empresas!$B$2:$B$23,0))-1,IF(COUNT(Captura_Fin!Q12)&lt;1,"",Captura_Fin!Q13/Captura_Fin!Q12-1)),""))</f>
        <v/>
      </c>
      <c r="L13" s="55">
        <f>IF(COUNT(Captura_Fin!P13,Captura_Fin!H13)&lt;2,"",IF(Captura_Fin!H13&lt;=0,"",Captura_Fin!P13/Captura_Fin!H13))</f>
        <v/>
      </c>
      <c r="M13" s="56">
        <f>COUNT(E13:K13)</f>
        <v/>
      </c>
      <c r="N13" s="57">
        <f>IF(COUNT(Captura_Fin!F13,Captura_Fin!G13,Captura_Fin!H13)&lt;3,"",IF(ABS(Captura_Fin!F13-Captura_Fin!G13-Captura_Fin!H13)&lt;=0.005*ABS(Captura_Fin!F13),"OK","REVISAR"))</f>
        <v/>
      </c>
    </row>
    <row r="14" ht="15" customHeight="1" s="31">
      <c r="A14" s="51">
        <f>Captura_Fin!A14</f>
        <v/>
      </c>
      <c r="B14" s="51">
        <f>Captura_Fin!B14</f>
        <v/>
      </c>
      <c r="C14" s="51">
        <f>Captura_Fin!C14</f>
        <v/>
      </c>
      <c r="D14" s="52">
        <f>Captura_Fin!D14</f>
        <v/>
      </c>
      <c r="E14" s="55">
        <f>IF(COUNT(Captura_Fin!I14,Captura_Fin!J14)&lt;2,"",IFERROR(Captura_Fin!I14/Captura_Fin!J14,""))</f>
        <v/>
      </c>
      <c r="F14" s="55">
        <f>IF(COUNT(Captura_Fin!M14,Captura_Fin!L14)&lt;2,"",IFERROR(ABS(Captura_Fin!M14)/Captura_Fin!L14,""))</f>
        <v/>
      </c>
      <c r="G14" s="55">
        <f>IF(COUNT(Captura_Fin!P14,Captura_Fin!F14)&lt;2,"",IFERROR(Captura_Fin!P14/Captura_Fin!F14,""))</f>
        <v/>
      </c>
      <c r="H14" s="55">
        <f>IF(COUNT(Captura_Fin!G14,Captura_Fin!F14)&lt;2,"",IFERROR(Captura_Fin!G14/Captura_Fin!F14,""))</f>
        <v/>
      </c>
      <c r="I14" s="54">
        <f>IF(COUNT(Captura_Fin!O14,Captura_Fin!N14)&lt;2,"",IFERROR((Captura_Fin!O14+ABS(Captura_Fin!N14))/ABS(Captura_Fin!N14),""))</f>
        <v/>
      </c>
      <c r="J14" s="55">
        <f>IF(COUNT(Captura_Fin!L14,Captura_Fin!F14)&lt;2,"",IFERROR(Captura_Fin!L14/Captura_Fin!F14,""))</f>
        <v/>
      </c>
      <c r="K14" s="55">
        <f>IF(COUNT(Captura_Fin!Q14)&lt;1,"",IFERROR(IF(D14=2017,Captura_Fin!Q14/INDEX(Empresas!$I$2:$I$23,MATCH($A14,Empresas!$B$2:$B$23,0))-1,IF(COUNT(Captura_Fin!Q13)&lt;1,"",Captura_Fin!Q14/Captura_Fin!Q13-1)),""))</f>
        <v/>
      </c>
      <c r="L14" s="55">
        <f>IF(COUNT(Captura_Fin!P14,Captura_Fin!H14)&lt;2,"",IF(Captura_Fin!H14&lt;=0,"",Captura_Fin!P14/Captura_Fin!H14))</f>
        <v/>
      </c>
      <c r="M14" s="56">
        <f>COUNT(E14:K14)</f>
        <v/>
      </c>
      <c r="N14" s="57">
        <f>IF(COUNT(Captura_Fin!F14,Captura_Fin!G14,Captura_Fin!H14)&lt;3,"",IF(ABS(Captura_Fin!F14-Captura_Fin!G14-Captura_Fin!H14)&lt;=0.005*ABS(Captura_Fin!F14),"OK","REVISAR"))</f>
        <v/>
      </c>
    </row>
    <row r="15" ht="15" customHeight="1" s="31">
      <c r="A15" s="51">
        <f>Captura_Fin!A15</f>
        <v/>
      </c>
      <c r="B15" s="51">
        <f>Captura_Fin!B15</f>
        <v/>
      </c>
      <c r="C15" s="51">
        <f>Captura_Fin!C15</f>
        <v/>
      </c>
      <c r="D15" s="52">
        <f>Captura_Fin!D15</f>
        <v/>
      </c>
      <c r="E15" s="55">
        <f>IF(COUNT(Captura_Fin!I15,Captura_Fin!J15)&lt;2,"",IFERROR(Captura_Fin!I15/Captura_Fin!J15,""))</f>
        <v/>
      </c>
      <c r="F15" s="55">
        <f>IF(COUNT(Captura_Fin!M15,Captura_Fin!L15)&lt;2,"",IFERROR(ABS(Captura_Fin!M15)/Captura_Fin!L15,""))</f>
        <v/>
      </c>
      <c r="G15" s="55">
        <f>IF(COUNT(Captura_Fin!P15,Captura_Fin!F15)&lt;2,"",IFERROR(Captura_Fin!P15/Captura_Fin!F15,""))</f>
        <v/>
      </c>
      <c r="H15" s="55">
        <f>IF(COUNT(Captura_Fin!G15,Captura_Fin!F15)&lt;2,"",IFERROR(Captura_Fin!G15/Captura_Fin!F15,""))</f>
        <v/>
      </c>
      <c r="I15" s="54">
        <f>IF(COUNT(Captura_Fin!O15,Captura_Fin!N15)&lt;2,"",IFERROR((Captura_Fin!O15+ABS(Captura_Fin!N15))/ABS(Captura_Fin!N15),""))</f>
        <v/>
      </c>
      <c r="J15" s="55">
        <f>IF(COUNT(Captura_Fin!L15,Captura_Fin!F15)&lt;2,"",IFERROR(Captura_Fin!L15/Captura_Fin!F15,""))</f>
        <v/>
      </c>
      <c r="K15" s="55">
        <f>IF(COUNT(Captura_Fin!Q15)&lt;1,"",IFERROR(IF(D15=2017,Captura_Fin!Q15/INDEX(Empresas!$I$2:$I$23,MATCH($A15,Empresas!$B$2:$B$23,0))-1,IF(COUNT(Captura_Fin!Q14)&lt;1,"",Captura_Fin!Q15/Captura_Fin!Q14-1)),""))</f>
        <v/>
      </c>
      <c r="L15" s="55">
        <f>IF(COUNT(Captura_Fin!P15,Captura_Fin!H15)&lt;2,"",IF(Captura_Fin!H15&lt;=0,"",Captura_Fin!P15/Captura_Fin!H15))</f>
        <v/>
      </c>
      <c r="M15" s="56">
        <f>COUNT(E15:K15)</f>
        <v/>
      </c>
      <c r="N15" s="57">
        <f>IF(COUNT(Captura_Fin!F15,Captura_Fin!G15,Captura_Fin!H15)&lt;3,"",IF(ABS(Captura_Fin!F15-Captura_Fin!G15-Captura_Fin!H15)&lt;=0.005*ABS(Captura_Fin!F15),"OK","REVISAR"))</f>
        <v/>
      </c>
    </row>
    <row r="16" ht="15" customHeight="1" s="31">
      <c r="A16" s="51">
        <f>Captura_Fin!A16</f>
        <v/>
      </c>
      <c r="B16" s="51">
        <f>Captura_Fin!B16</f>
        <v/>
      </c>
      <c r="C16" s="51">
        <f>Captura_Fin!C16</f>
        <v/>
      </c>
      <c r="D16" s="52">
        <f>Captura_Fin!D16</f>
        <v/>
      </c>
      <c r="E16" s="55">
        <f>IF(COUNT(Captura_Fin!I16,Captura_Fin!J16)&lt;2,"",IFERROR(Captura_Fin!I16/Captura_Fin!J16,""))</f>
        <v/>
      </c>
      <c r="F16" s="55">
        <f>IF(COUNT(Captura_Fin!M16,Captura_Fin!L16)&lt;2,"",IFERROR(ABS(Captura_Fin!M16)/Captura_Fin!L16,""))</f>
        <v/>
      </c>
      <c r="G16" s="55">
        <f>IF(COUNT(Captura_Fin!P16,Captura_Fin!F16)&lt;2,"",IFERROR(Captura_Fin!P16/Captura_Fin!F16,""))</f>
        <v/>
      </c>
      <c r="H16" s="55">
        <f>IF(COUNT(Captura_Fin!G16,Captura_Fin!F16)&lt;2,"",IFERROR(Captura_Fin!G16/Captura_Fin!F16,""))</f>
        <v/>
      </c>
      <c r="I16" s="54">
        <f>IF(COUNT(Captura_Fin!O16,Captura_Fin!N16)&lt;2,"",IFERROR((Captura_Fin!O16+ABS(Captura_Fin!N16))/ABS(Captura_Fin!N16),""))</f>
        <v/>
      </c>
      <c r="J16" s="55">
        <f>IF(COUNT(Captura_Fin!L16,Captura_Fin!F16)&lt;2,"",IFERROR(Captura_Fin!L16/Captura_Fin!F16,""))</f>
        <v/>
      </c>
      <c r="K16" s="55">
        <f>IF(COUNT(Captura_Fin!Q16)&lt;1,"",IFERROR(IF(D16=2017,Captura_Fin!Q16/INDEX(Empresas!$I$2:$I$23,MATCH($A16,Empresas!$B$2:$B$23,0))-1,IF(COUNT(Captura_Fin!Q15)&lt;1,"",Captura_Fin!Q16/Captura_Fin!Q15-1)),""))</f>
        <v/>
      </c>
      <c r="L16" s="55">
        <f>IF(COUNT(Captura_Fin!P16,Captura_Fin!H16)&lt;2,"",IF(Captura_Fin!H16&lt;=0,"",Captura_Fin!P16/Captura_Fin!H16))</f>
        <v/>
      </c>
      <c r="M16" s="56">
        <f>COUNT(E16:K16)</f>
        <v/>
      </c>
      <c r="N16" s="57">
        <f>IF(COUNT(Captura_Fin!F16,Captura_Fin!G16,Captura_Fin!H16)&lt;3,"",IF(ABS(Captura_Fin!F16-Captura_Fin!G16-Captura_Fin!H16)&lt;=0.005*ABS(Captura_Fin!F16),"OK","REVISAR"))</f>
        <v/>
      </c>
    </row>
    <row r="17" ht="15" customHeight="1" s="31">
      <c r="A17" s="51">
        <f>Captura_Fin!A17</f>
        <v/>
      </c>
      <c r="B17" s="51">
        <f>Captura_Fin!B17</f>
        <v/>
      </c>
      <c r="C17" s="51">
        <f>Captura_Fin!C17</f>
        <v/>
      </c>
      <c r="D17" s="52">
        <f>Captura_Fin!D17</f>
        <v/>
      </c>
      <c r="E17" s="55">
        <f>IF(COUNT(Captura_Fin!I17,Captura_Fin!J17)&lt;2,"",IFERROR(Captura_Fin!I17/Captura_Fin!J17,""))</f>
        <v/>
      </c>
      <c r="F17" s="55">
        <f>IF(COUNT(Captura_Fin!M17,Captura_Fin!L17)&lt;2,"",IFERROR(ABS(Captura_Fin!M17)/Captura_Fin!L17,""))</f>
        <v/>
      </c>
      <c r="G17" s="55">
        <f>IF(COUNT(Captura_Fin!P17,Captura_Fin!F17)&lt;2,"",IFERROR(Captura_Fin!P17/Captura_Fin!F17,""))</f>
        <v/>
      </c>
      <c r="H17" s="55">
        <f>IF(COUNT(Captura_Fin!G17,Captura_Fin!F17)&lt;2,"",IFERROR(Captura_Fin!G17/Captura_Fin!F17,""))</f>
        <v/>
      </c>
      <c r="I17" s="54">
        <f>IF(COUNT(Captura_Fin!O17,Captura_Fin!N17)&lt;2,"",IFERROR((Captura_Fin!O17+ABS(Captura_Fin!N17))/ABS(Captura_Fin!N17),""))</f>
        <v/>
      </c>
      <c r="J17" s="55">
        <f>IF(COUNT(Captura_Fin!L17,Captura_Fin!F17)&lt;2,"",IFERROR(Captura_Fin!L17/Captura_Fin!F17,""))</f>
        <v/>
      </c>
      <c r="K17" s="55">
        <f>IF(COUNT(Captura_Fin!Q17)&lt;1,"",IFERROR(IF(D17=2017,Captura_Fin!Q17/INDEX(Empresas!$I$2:$I$23,MATCH($A17,Empresas!$B$2:$B$23,0))-1,IF(COUNT(Captura_Fin!Q16)&lt;1,"",Captura_Fin!Q17/Captura_Fin!Q16-1)),""))</f>
        <v/>
      </c>
      <c r="L17" s="55">
        <f>IF(COUNT(Captura_Fin!P17,Captura_Fin!H17)&lt;2,"",IF(Captura_Fin!H17&lt;=0,"",Captura_Fin!P17/Captura_Fin!H17))</f>
        <v/>
      </c>
      <c r="M17" s="56">
        <f>COUNT(E17:K17)</f>
        <v/>
      </c>
      <c r="N17" s="57">
        <f>IF(COUNT(Captura_Fin!F17,Captura_Fin!G17,Captura_Fin!H17)&lt;3,"",IF(ABS(Captura_Fin!F17-Captura_Fin!G17-Captura_Fin!H17)&lt;=0.005*ABS(Captura_Fin!F17),"OK","REVISAR"))</f>
        <v/>
      </c>
    </row>
    <row r="18" ht="15" customHeight="1" s="31">
      <c r="A18" s="51">
        <f>Captura_Fin!A18</f>
        <v/>
      </c>
      <c r="B18" s="51">
        <f>Captura_Fin!B18</f>
        <v/>
      </c>
      <c r="C18" s="51">
        <f>Captura_Fin!C18</f>
        <v/>
      </c>
      <c r="D18" s="52">
        <f>Captura_Fin!D18</f>
        <v/>
      </c>
      <c r="E18" s="55">
        <f>IF(COUNT(Captura_Fin!I18,Captura_Fin!J18)&lt;2,"",IFERROR(Captura_Fin!I18/Captura_Fin!J18,""))</f>
        <v/>
      </c>
      <c r="F18" s="55">
        <f>IF(COUNT(Captura_Fin!M18,Captura_Fin!L18)&lt;2,"",IFERROR(ABS(Captura_Fin!M18)/Captura_Fin!L18,""))</f>
        <v/>
      </c>
      <c r="G18" s="55">
        <f>IF(COUNT(Captura_Fin!P18,Captura_Fin!F18)&lt;2,"",IFERROR(Captura_Fin!P18/Captura_Fin!F18,""))</f>
        <v/>
      </c>
      <c r="H18" s="55">
        <f>IF(COUNT(Captura_Fin!G18,Captura_Fin!F18)&lt;2,"",IFERROR(Captura_Fin!G18/Captura_Fin!F18,""))</f>
        <v/>
      </c>
      <c r="I18" s="54">
        <f>IF(COUNT(Captura_Fin!O18,Captura_Fin!N18)&lt;2,"",IFERROR((Captura_Fin!O18+ABS(Captura_Fin!N18))/ABS(Captura_Fin!N18),""))</f>
        <v/>
      </c>
      <c r="J18" s="55">
        <f>IF(COUNT(Captura_Fin!L18,Captura_Fin!F18)&lt;2,"",IFERROR(Captura_Fin!L18/Captura_Fin!F18,""))</f>
        <v/>
      </c>
      <c r="K18" s="55">
        <f>IF(COUNT(Captura_Fin!Q18)&lt;1,"",IFERROR(IF(D18=2017,Captura_Fin!Q18/INDEX(Empresas!$I$2:$I$23,MATCH($A18,Empresas!$B$2:$B$23,0))-1,IF(COUNT(Captura_Fin!Q17)&lt;1,"",Captura_Fin!Q18/Captura_Fin!Q17-1)),""))</f>
        <v/>
      </c>
      <c r="L18" s="55">
        <f>IF(COUNT(Captura_Fin!P18,Captura_Fin!H18)&lt;2,"",IF(Captura_Fin!H18&lt;=0,"",Captura_Fin!P18/Captura_Fin!H18))</f>
        <v/>
      </c>
      <c r="M18" s="56">
        <f>COUNT(E18:K18)</f>
        <v/>
      </c>
      <c r="N18" s="57">
        <f>IF(COUNT(Captura_Fin!F18,Captura_Fin!G18,Captura_Fin!H18)&lt;3,"",IF(ABS(Captura_Fin!F18-Captura_Fin!G18-Captura_Fin!H18)&lt;=0.005*ABS(Captura_Fin!F18),"OK","REVISAR"))</f>
        <v/>
      </c>
    </row>
    <row r="19" ht="15" customHeight="1" s="31">
      <c r="A19" s="51">
        <f>Captura_Fin!A19</f>
        <v/>
      </c>
      <c r="B19" s="51">
        <f>Captura_Fin!B19</f>
        <v/>
      </c>
      <c r="C19" s="51">
        <f>Captura_Fin!C19</f>
        <v/>
      </c>
      <c r="D19" s="52">
        <f>Captura_Fin!D19</f>
        <v/>
      </c>
      <c r="E19" s="55">
        <f>IF(COUNT(Captura_Fin!I19,Captura_Fin!J19)&lt;2,"",IFERROR(Captura_Fin!I19/Captura_Fin!J19,""))</f>
        <v/>
      </c>
      <c r="F19" s="55">
        <f>IF(COUNT(Captura_Fin!M19,Captura_Fin!L19)&lt;2,"",IFERROR(ABS(Captura_Fin!M19)/Captura_Fin!L19,""))</f>
        <v/>
      </c>
      <c r="G19" s="55">
        <f>IF(COUNT(Captura_Fin!P19,Captura_Fin!F19)&lt;2,"",IFERROR(Captura_Fin!P19/Captura_Fin!F19,""))</f>
        <v/>
      </c>
      <c r="H19" s="55">
        <f>IF(COUNT(Captura_Fin!G19,Captura_Fin!F19)&lt;2,"",IFERROR(Captura_Fin!G19/Captura_Fin!F19,""))</f>
        <v/>
      </c>
      <c r="I19" s="54">
        <f>IF(COUNT(Captura_Fin!O19,Captura_Fin!N19)&lt;2,"",IFERROR((Captura_Fin!O19+ABS(Captura_Fin!N19))/ABS(Captura_Fin!N19),""))</f>
        <v/>
      </c>
      <c r="J19" s="55">
        <f>IF(COUNT(Captura_Fin!L19,Captura_Fin!F19)&lt;2,"",IFERROR(Captura_Fin!L19/Captura_Fin!F19,""))</f>
        <v/>
      </c>
      <c r="K19" s="55">
        <f>IF(COUNT(Captura_Fin!Q19)&lt;1,"",IFERROR(IF(D19=2017,Captura_Fin!Q19/INDEX(Empresas!$I$2:$I$23,MATCH($A19,Empresas!$B$2:$B$23,0))-1,IF(COUNT(Captura_Fin!Q18)&lt;1,"",Captura_Fin!Q19/Captura_Fin!Q18-1)),""))</f>
        <v/>
      </c>
      <c r="L19" s="55">
        <f>IF(COUNT(Captura_Fin!P19,Captura_Fin!H19)&lt;2,"",IF(Captura_Fin!H19&lt;=0,"",Captura_Fin!P19/Captura_Fin!H19))</f>
        <v/>
      </c>
      <c r="M19" s="56">
        <f>COUNT(E19:K19)</f>
        <v/>
      </c>
      <c r="N19" s="57">
        <f>IF(COUNT(Captura_Fin!F19,Captura_Fin!G19,Captura_Fin!H19)&lt;3,"",IF(ABS(Captura_Fin!F19-Captura_Fin!G19-Captura_Fin!H19)&lt;=0.005*ABS(Captura_Fin!F19),"OK","REVISAR"))</f>
        <v/>
      </c>
    </row>
    <row r="20" ht="15" customHeight="1" s="31">
      <c r="A20" s="51">
        <f>Captura_Fin!A20</f>
        <v/>
      </c>
      <c r="B20" s="51">
        <f>Captura_Fin!B20</f>
        <v/>
      </c>
      <c r="C20" s="51">
        <f>Captura_Fin!C20</f>
        <v/>
      </c>
      <c r="D20" s="52">
        <f>Captura_Fin!D20</f>
        <v/>
      </c>
      <c r="E20" s="55">
        <f>IF(COUNT(Captura_Fin!I20,Captura_Fin!J20)&lt;2,"",IFERROR(Captura_Fin!I20/Captura_Fin!J20,""))</f>
        <v/>
      </c>
      <c r="F20" s="55">
        <f>IF(COUNT(Captura_Fin!M20,Captura_Fin!L20)&lt;2,"",IFERROR(ABS(Captura_Fin!M20)/Captura_Fin!L20,""))</f>
        <v/>
      </c>
      <c r="G20" s="55">
        <f>IF(COUNT(Captura_Fin!P20,Captura_Fin!F20)&lt;2,"",IFERROR(Captura_Fin!P20/Captura_Fin!F20,""))</f>
        <v/>
      </c>
      <c r="H20" s="55">
        <f>IF(COUNT(Captura_Fin!G20,Captura_Fin!F20)&lt;2,"",IFERROR(Captura_Fin!G20/Captura_Fin!F20,""))</f>
        <v/>
      </c>
      <c r="I20" s="54">
        <f>IF(COUNT(Captura_Fin!O20,Captura_Fin!N20)&lt;2,"",IFERROR((Captura_Fin!O20+ABS(Captura_Fin!N20))/ABS(Captura_Fin!N20),""))</f>
        <v/>
      </c>
      <c r="J20" s="55">
        <f>IF(COUNT(Captura_Fin!L20,Captura_Fin!F20)&lt;2,"",IFERROR(Captura_Fin!L20/Captura_Fin!F20,""))</f>
        <v/>
      </c>
      <c r="K20" s="55">
        <f>IF(COUNT(Captura_Fin!Q20)&lt;1,"",IFERROR(IF(D20=2017,Captura_Fin!Q20/INDEX(Empresas!$I$2:$I$23,MATCH($A20,Empresas!$B$2:$B$23,0))-1,IF(COUNT(Captura_Fin!Q19)&lt;1,"",Captura_Fin!Q20/Captura_Fin!Q19-1)),""))</f>
        <v/>
      </c>
      <c r="L20" s="55">
        <f>IF(COUNT(Captura_Fin!P20,Captura_Fin!H20)&lt;2,"",IF(Captura_Fin!H20&lt;=0,"",Captura_Fin!P20/Captura_Fin!H20))</f>
        <v/>
      </c>
      <c r="M20" s="56">
        <f>COUNT(E20:K20)</f>
        <v/>
      </c>
      <c r="N20" s="57">
        <f>IF(COUNT(Captura_Fin!F20,Captura_Fin!G20,Captura_Fin!H20)&lt;3,"",IF(ABS(Captura_Fin!F20-Captura_Fin!G20-Captura_Fin!H20)&lt;=0.005*ABS(Captura_Fin!F20),"OK","REVISAR"))</f>
        <v/>
      </c>
    </row>
    <row r="21" ht="15" customHeight="1" s="31">
      <c r="A21" s="51">
        <f>Captura_Fin!A21</f>
        <v/>
      </c>
      <c r="B21" s="51">
        <f>Captura_Fin!B21</f>
        <v/>
      </c>
      <c r="C21" s="51">
        <f>Captura_Fin!C21</f>
        <v/>
      </c>
      <c r="D21" s="52">
        <f>Captura_Fin!D21</f>
        <v/>
      </c>
      <c r="E21" s="55">
        <f>IF(COUNT(Captura_Fin!I21,Captura_Fin!J21)&lt;2,"",IFERROR(Captura_Fin!I21/Captura_Fin!J21,""))</f>
        <v/>
      </c>
      <c r="F21" s="55">
        <f>IF(COUNT(Captura_Fin!M21,Captura_Fin!L21)&lt;2,"",IFERROR(ABS(Captura_Fin!M21)/Captura_Fin!L21,""))</f>
        <v/>
      </c>
      <c r="G21" s="55">
        <f>IF(COUNT(Captura_Fin!P21,Captura_Fin!F21)&lt;2,"",IFERROR(Captura_Fin!P21/Captura_Fin!F21,""))</f>
        <v/>
      </c>
      <c r="H21" s="55">
        <f>IF(COUNT(Captura_Fin!G21,Captura_Fin!F21)&lt;2,"",IFERROR(Captura_Fin!G21/Captura_Fin!F21,""))</f>
        <v/>
      </c>
      <c r="I21" s="54">
        <f>IF(COUNT(Captura_Fin!O21,Captura_Fin!N21)&lt;2,"",IFERROR((Captura_Fin!O21+ABS(Captura_Fin!N21))/ABS(Captura_Fin!N21),""))</f>
        <v/>
      </c>
      <c r="J21" s="55">
        <f>IF(COUNT(Captura_Fin!L21,Captura_Fin!F21)&lt;2,"",IFERROR(Captura_Fin!L21/Captura_Fin!F21,""))</f>
        <v/>
      </c>
      <c r="K21" s="55">
        <f>IF(COUNT(Captura_Fin!Q21)&lt;1,"",IFERROR(IF(D21=2017,Captura_Fin!Q21/INDEX(Empresas!$I$2:$I$23,MATCH($A21,Empresas!$B$2:$B$23,0))-1,IF(COUNT(Captura_Fin!Q20)&lt;1,"",Captura_Fin!Q21/Captura_Fin!Q20-1)),""))</f>
        <v/>
      </c>
      <c r="L21" s="55">
        <f>IF(COUNT(Captura_Fin!P21,Captura_Fin!H21)&lt;2,"",IF(Captura_Fin!H21&lt;=0,"",Captura_Fin!P21/Captura_Fin!H21))</f>
        <v/>
      </c>
      <c r="M21" s="56">
        <f>COUNT(E21:K21)</f>
        <v/>
      </c>
      <c r="N21" s="57">
        <f>IF(COUNT(Captura_Fin!F21,Captura_Fin!G21,Captura_Fin!H21)&lt;3,"",IF(ABS(Captura_Fin!F21-Captura_Fin!G21-Captura_Fin!H21)&lt;=0.005*ABS(Captura_Fin!F21),"OK","REVISAR"))</f>
        <v/>
      </c>
    </row>
    <row r="22" ht="15" customHeight="1" s="31">
      <c r="A22" s="51">
        <f>Captura_Fin!A22</f>
        <v/>
      </c>
      <c r="B22" s="51">
        <f>Captura_Fin!B22</f>
        <v/>
      </c>
      <c r="C22" s="51">
        <f>Captura_Fin!C22</f>
        <v/>
      </c>
      <c r="D22" s="52">
        <f>Captura_Fin!D22</f>
        <v/>
      </c>
      <c r="E22" s="55">
        <f>IF(COUNT(Captura_Fin!I22,Captura_Fin!J22)&lt;2,"",IFERROR(Captura_Fin!I22/Captura_Fin!J22,""))</f>
        <v/>
      </c>
      <c r="F22" s="55">
        <f>IF(COUNT(Captura_Fin!M22,Captura_Fin!L22)&lt;2,"",IFERROR(ABS(Captura_Fin!M22)/Captura_Fin!L22,""))</f>
        <v/>
      </c>
      <c r="G22" s="55">
        <f>IF(COUNT(Captura_Fin!P22,Captura_Fin!F22)&lt;2,"",IFERROR(Captura_Fin!P22/Captura_Fin!F22,""))</f>
        <v/>
      </c>
      <c r="H22" s="55">
        <f>IF(COUNT(Captura_Fin!G22,Captura_Fin!F22)&lt;2,"",IFERROR(Captura_Fin!G22/Captura_Fin!F22,""))</f>
        <v/>
      </c>
      <c r="I22" s="54">
        <f>IF(COUNT(Captura_Fin!O22,Captura_Fin!N22)&lt;2,"",IFERROR((Captura_Fin!O22+ABS(Captura_Fin!N22))/ABS(Captura_Fin!N22),""))</f>
        <v/>
      </c>
      <c r="J22" s="55">
        <f>IF(COUNT(Captura_Fin!L22,Captura_Fin!F22)&lt;2,"",IFERROR(Captura_Fin!L22/Captura_Fin!F22,""))</f>
        <v/>
      </c>
      <c r="K22" s="55">
        <f>IF(COUNT(Captura_Fin!Q22)&lt;1,"",IFERROR(IF(D22=2017,Captura_Fin!Q22/INDEX(Empresas!$I$2:$I$23,MATCH($A22,Empresas!$B$2:$B$23,0))-1,IF(COUNT(Captura_Fin!Q21)&lt;1,"",Captura_Fin!Q22/Captura_Fin!Q21-1)),""))</f>
        <v/>
      </c>
      <c r="L22" s="55">
        <f>IF(COUNT(Captura_Fin!P22,Captura_Fin!H22)&lt;2,"",IF(Captura_Fin!H22&lt;=0,"",Captura_Fin!P22/Captura_Fin!H22))</f>
        <v/>
      </c>
      <c r="M22" s="56">
        <f>COUNT(E22:K22)</f>
        <v/>
      </c>
      <c r="N22" s="57">
        <f>IF(COUNT(Captura_Fin!F22,Captura_Fin!G22,Captura_Fin!H22)&lt;3,"",IF(ABS(Captura_Fin!F22-Captura_Fin!G22-Captura_Fin!H22)&lt;=0.005*ABS(Captura_Fin!F22),"OK","REVISAR"))</f>
        <v/>
      </c>
    </row>
    <row r="23" ht="15" customHeight="1" s="31">
      <c r="A23" s="51">
        <f>Captura_Fin!A23</f>
        <v/>
      </c>
      <c r="B23" s="51">
        <f>Captura_Fin!B23</f>
        <v/>
      </c>
      <c r="C23" s="51">
        <f>Captura_Fin!C23</f>
        <v/>
      </c>
      <c r="D23" s="52">
        <f>Captura_Fin!D23</f>
        <v/>
      </c>
      <c r="E23" s="55">
        <f>IF(COUNT(Captura_Fin!I23,Captura_Fin!J23)&lt;2,"",IFERROR(Captura_Fin!I23/Captura_Fin!J23,""))</f>
        <v/>
      </c>
      <c r="F23" s="55">
        <f>IF(COUNT(Captura_Fin!M23,Captura_Fin!L23)&lt;2,"",IFERROR(ABS(Captura_Fin!M23)/Captura_Fin!L23,""))</f>
        <v/>
      </c>
      <c r="G23" s="55">
        <f>IF(COUNT(Captura_Fin!P23,Captura_Fin!F23)&lt;2,"",IFERROR(Captura_Fin!P23/Captura_Fin!F23,""))</f>
        <v/>
      </c>
      <c r="H23" s="55">
        <f>IF(COUNT(Captura_Fin!G23,Captura_Fin!F23)&lt;2,"",IFERROR(Captura_Fin!G23/Captura_Fin!F23,""))</f>
        <v/>
      </c>
      <c r="I23" s="54">
        <f>IF(COUNT(Captura_Fin!O23,Captura_Fin!N23)&lt;2,"",IFERROR((Captura_Fin!O23+ABS(Captura_Fin!N23))/ABS(Captura_Fin!N23),""))</f>
        <v/>
      </c>
      <c r="J23" s="55">
        <f>IF(COUNT(Captura_Fin!L23,Captura_Fin!F23)&lt;2,"",IFERROR(Captura_Fin!L23/Captura_Fin!F23,""))</f>
        <v/>
      </c>
      <c r="K23" s="55">
        <f>IF(COUNT(Captura_Fin!Q23)&lt;1,"",IFERROR(IF(D23=2017,Captura_Fin!Q23/INDEX(Empresas!$I$2:$I$23,MATCH($A23,Empresas!$B$2:$B$23,0))-1,IF(COUNT(Captura_Fin!Q22)&lt;1,"",Captura_Fin!Q23/Captura_Fin!Q22-1)),""))</f>
        <v/>
      </c>
      <c r="L23" s="55">
        <f>IF(COUNT(Captura_Fin!P23,Captura_Fin!H23)&lt;2,"",IF(Captura_Fin!H23&lt;=0,"",Captura_Fin!P23/Captura_Fin!H23))</f>
        <v/>
      </c>
      <c r="M23" s="56">
        <f>COUNT(E23:K23)</f>
        <v/>
      </c>
      <c r="N23" s="57">
        <f>IF(COUNT(Captura_Fin!F23,Captura_Fin!G23,Captura_Fin!H23)&lt;3,"",IF(ABS(Captura_Fin!F23-Captura_Fin!G23-Captura_Fin!H23)&lt;=0.005*ABS(Captura_Fin!F23),"OK","REVISAR"))</f>
        <v/>
      </c>
    </row>
    <row r="24" ht="15" customHeight="1" s="31">
      <c r="A24" s="51">
        <f>Captura_Fin!A24</f>
        <v/>
      </c>
      <c r="B24" s="51">
        <f>Captura_Fin!B24</f>
        <v/>
      </c>
      <c r="C24" s="51">
        <f>Captura_Fin!C24</f>
        <v/>
      </c>
      <c r="D24" s="52">
        <f>Captura_Fin!D24</f>
        <v/>
      </c>
      <c r="E24" s="55">
        <f>IF(COUNT(Captura_Fin!I24,Captura_Fin!J24)&lt;2,"",IFERROR(Captura_Fin!I24/Captura_Fin!J24,""))</f>
        <v/>
      </c>
      <c r="F24" s="55">
        <f>IF(COUNT(Captura_Fin!M24,Captura_Fin!L24)&lt;2,"",IFERROR(ABS(Captura_Fin!M24)/Captura_Fin!L24,""))</f>
        <v/>
      </c>
      <c r="G24" s="55">
        <f>IF(COUNT(Captura_Fin!P24,Captura_Fin!F24)&lt;2,"",IFERROR(Captura_Fin!P24/Captura_Fin!F24,""))</f>
        <v/>
      </c>
      <c r="H24" s="55">
        <f>IF(COUNT(Captura_Fin!G24,Captura_Fin!F24)&lt;2,"",IFERROR(Captura_Fin!G24/Captura_Fin!F24,""))</f>
        <v/>
      </c>
      <c r="I24" s="54">
        <f>IF(COUNT(Captura_Fin!O24,Captura_Fin!N24)&lt;2,"",IFERROR((Captura_Fin!O24+ABS(Captura_Fin!N24))/ABS(Captura_Fin!N24),""))</f>
        <v/>
      </c>
      <c r="J24" s="55">
        <f>IF(COUNT(Captura_Fin!L24,Captura_Fin!F24)&lt;2,"",IFERROR(Captura_Fin!L24/Captura_Fin!F24,""))</f>
        <v/>
      </c>
      <c r="K24" s="55">
        <f>IF(COUNT(Captura_Fin!Q24)&lt;1,"",IFERROR(IF(D24=2017,Captura_Fin!Q24/INDEX(Empresas!$I$2:$I$23,MATCH($A24,Empresas!$B$2:$B$23,0))-1,IF(COUNT(Captura_Fin!Q23)&lt;1,"",Captura_Fin!Q24/Captura_Fin!Q23-1)),""))</f>
        <v/>
      </c>
      <c r="L24" s="55">
        <f>IF(COUNT(Captura_Fin!P24,Captura_Fin!H24)&lt;2,"",IF(Captura_Fin!H24&lt;=0,"",Captura_Fin!P24/Captura_Fin!H24))</f>
        <v/>
      </c>
      <c r="M24" s="56">
        <f>COUNT(E24:K24)</f>
        <v/>
      </c>
      <c r="N24" s="57">
        <f>IF(COUNT(Captura_Fin!F24,Captura_Fin!G24,Captura_Fin!H24)&lt;3,"",IF(ABS(Captura_Fin!F24-Captura_Fin!G24-Captura_Fin!H24)&lt;=0.005*ABS(Captura_Fin!F24),"OK","REVISAR"))</f>
        <v/>
      </c>
    </row>
    <row r="25" ht="15" customHeight="1" s="31">
      <c r="A25" s="51">
        <f>Captura_Fin!A25</f>
        <v/>
      </c>
      <c r="B25" s="51">
        <f>Captura_Fin!B25</f>
        <v/>
      </c>
      <c r="C25" s="51">
        <f>Captura_Fin!C25</f>
        <v/>
      </c>
      <c r="D25" s="52">
        <f>Captura_Fin!D25</f>
        <v/>
      </c>
      <c r="E25" s="55">
        <f>IF(COUNT(Captura_Fin!I25,Captura_Fin!J25)&lt;2,"",IFERROR(Captura_Fin!I25/Captura_Fin!J25,""))</f>
        <v/>
      </c>
      <c r="F25" s="55">
        <f>IF(COUNT(Captura_Fin!M25,Captura_Fin!L25)&lt;2,"",IFERROR(ABS(Captura_Fin!M25)/Captura_Fin!L25,""))</f>
        <v/>
      </c>
      <c r="G25" s="55">
        <f>IF(COUNT(Captura_Fin!P25,Captura_Fin!F25)&lt;2,"",IFERROR(Captura_Fin!P25/Captura_Fin!F25,""))</f>
        <v/>
      </c>
      <c r="H25" s="55">
        <f>IF(COUNT(Captura_Fin!G25,Captura_Fin!F25)&lt;2,"",IFERROR(Captura_Fin!G25/Captura_Fin!F25,""))</f>
        <v/>
      </c>
      <c r="I25" s="54">
        <f>IF(COUNT(Captura_Fin!O25,Captura_Fin!N25)&lt;2,"",IFERROR((Captura_Fin!O25+ABS(Captura_Fin!N25))/ABS(Captura_Fin!N25),""))</f>
        <v/>
      </c>
      <c r="J25" s="55">
        <f>IF(COUNT(Captura_Fin!L25,Captura_Fin!F25)&lt;2,"",IFERROR(Captura_Fin!L25/Captura_Fin!F25,""))</f>
        <v/>
      </c>
      <c r="K25" s="55">
        <f>IF(COUNT(Captura_Fin!Q25)&lt;1,"",IFERROR(IF(D25=2017,Captura_Fin!Q25/INDEX(Empresas!$I$2:$I$23,MATCH($A25,Empresas!$B$2:$B$23,0))-1,IF(COUNT(Captura_Fin!Q24)&lt;1,"",Captura_Fin!Q25/Captura_Fin!Q24-1)),""))</f>
        <v/>
      </c>
      <c r="L25" s="55">
        <f>IF(COUNT(Captura_Fin!P25,Captura_Fin!H25)&lt;2,"",IF(Captura_Fin!H25&lt;=0,"",Captura_Fin!P25/Captura_Fin!H25))</f>
        <v/>
      </c>
      <c r="M25" s="56">
        <f>COUNT(E25:K25)</f>
        <v/>
      </c>
      <c r="N25" s="57">
        <f>IF(COUNT(Captura_Fin!F25,Captura_Fin!G25,Captura_Fin!H25)&lt;3,"",IF(ABS(Captura_Fin!F25-Captura_Fin!G25-Captura_Fin!H25)&lt;=0.005*ABS(Captura_Fin!F25),"OK","REVISAR"))</f>
        <v/>
      </c>
    </row>
    <row r="26" ht="15" customHeight="1" s="31">
      <c r="A26" s="51">
        <f>Captura_Fin!A26</f>
        <v/>
      </c>
      <c r="B26" s="51">
        <f>Captura_Fin!B26</f>
        <v/>
      </c>
      <c r="C26" s="51">
        <f>Captura_Fin!C26</f>
        <v/>
      </c>
      <c r="D26" s="52">
        <f>Captura_Fin!D26</f>
        <v/>
      </c>
      <c r="E26" s="55">
        <f>IF(COUNT(Captura_Fin!I26,Captura_Fin!J26)&lt;2,"",IFERROR(Captura_Fin!I26/Captura_Fin!J26,""))</f>
        <v/>
      </c>
      <c r="F26" s="55">
        <f>IF(COUNT(Captura_Fin!M26,Captura_Fin!L26)&lt;2,"",IFERROR(ABS(Captura_Fin!M26)/Captura_Fin!L26,""))</f>
        <v/>
      </c>
      <c r="G26" s="55">
        <f>IF(COUNT(Captura_Fin!P26,Captura_Fin!F26)&lt;2,"",IFERROR(Captura_Fin!P26/Captura_Fin!F26,""))</f>
        <v/>
      </c>
      <c r="H26" s="55">
        <f>IF(COUNT(Captura_Fin!G26,Captura_Fin!F26)&lt;2,"",IFERROR(Captura_Fin!G26/Captura_Fin!F26,""))</f>
        <v/>
      </c>
      <c r="I26" s="54">
        <f>IF(COUNT(Captura_Fin!O26,Captura_Fin!N26)&lt;2,"",IFERROR((Captura_Fin!O26+ABS(Captura_Fin!N26))/ABS(Captura_Fin!N26),""))</f>
        <v/>
      </c>
      <c r="J26" s="55">
        <f>IF(COUNT(Captura_Fin!L26,Captura_Fin!F26)&lt;2,"",IFERROR(Captura_Fin!L26/Captura_Fin!F26,""))</f>
        <v/>
      </c>
      <c r="K26" s="55">
        <f>IF(COUNT(Captura_Fin!Q26)&lt;1,"",IFERROR(IF(D26=2017,Captura_Fin!Q26/INDEX(Empresas!$I$2:$I$23,MATCH($A26,Empresas!$B$2:$B$23,0))-1,IF(COUNT(Captura_Fin!Q25)&lt;1,"",Captura_Fin!Q26/Captura_Fin!Q25-1)),""))</f>
        <v/>
      </c>
      <c r="L26" s="55">
        <f>IF(COUNT(Captura_Fin!P26,Captura_Fin!H26)&lt;2,"",IF(Captura_Fin!H26&lt;=0,"",Captura_Fin!P26/Captura_Fin!H26))</f>
        <v/>
      </c>
      <c r="M26" s="56">
        <f>COUNT(E26:K26)</f>
        <v/>
      </c>
      <c r="N26" s="57">
        <f>IF(COUNT(Captura_Fin!F26,Captura_Fin!G26,Captura_Fin!H26)&lt;3,"",IF(ABS(Captura_Fin!F26-Captura_Fin!G26-Captura_Fin!H26)&lt;=0.005*ABS(Captura_Fin!F26),"OK","REVISAR"))</f>
        <v/>
      </c>
    </row>
    <row r="27" ht="15" customHeight="1" s="31">
      <c r="A27" s="51">
        <f>Captura_Fin!A27</f>
        <v/>
      </c>
      <c r="B27" s="51">
        <f>Captura_Fin!B27</f>
        <v/>
      </c>
      <c r="C27" s="51">
        <f>Captura_Fin!C27</f>
        <v/>
      </c>
      <c r="D27" s="52">
        <f>Captura_Fin!D27</f>
        <v/>
      </c>
      <c r="E27" s="55">
        <f>IF(COUNT(Captura_Fin!I27,Captura_Fin!J27)&lt;2,"",IFERROR(Captura_Fin!I27/Captura_Fin!J27,""))</f>
        <v/>
      </c>
      <c r="F27" s="55">
        <f>IF(COUNT(Captura_Fin!M27,Captura_Fin!L27)&lt;2,"",IFERROR(ABS(Captura_Fin!M27)/Captura_Fin!L27,""))</f>
        <v/>
      </c>
      <c r="G27" s="55">
        <f>IF(COUNT(Captura_Fin!P27,Captura_Fin!F27)&lt;2,"",IFERROR(Captura_Fin!P27/Captura_Fin!F27,""))</f>
        <v/>
      </c>
      <c r="H27" s="55">
        <f>IF(COUNT(Captura_Fin!G27,Captura_Fin!F27)&lt;2,"",IFERROR(Captura_Fin!G27/Captura_Fin!F27,""))</f>
        <v/>
      </c>
      <c r="I27" s="54">
        <f>IF(COUNT(Captura_Fin!O27,Captura_Fin!N27)&lt;2,"",IFERROR((Captura_Fin!O27+ABS(Captura_Fin!N27))/ABS(Captura_Fin!N27),""))</f>
        <v/>
      </c>
      <c r="J27" s="55">
        <f>IF(COUNT(Captura_Fin!L27,Captura_Fin!F27)&lt;2,"",IFERROR(Captura_Fin!L27/Captura_Fin!F27,""))</f>
        <v/>
      </c>
      <c r="K27" s="55">
        <f>IF(COUNT(Captura_Fin!Q27)&lt;1,"",IFERROR(IF(D27=2017,Captura_Fin!Q27/INDEX(Empresas!$I$2:$I$23,MATCH($A27,Empresas!$B$2:$B$23,0))-1,IF(COUNT(Captura_Fin!Q26)&lt;1,"",Captura_Fin!Q27/Captura_Fin!Q26-1)),""))</f>
        <v/>
      </c>
      <c r="L27" s="55">
        <f>IF(COUNT(Captura_Fin!P27,Captura_Fin!H27)&lt;2,"",IF(Captura_Fin!H27&lt;=0,"",Captura_Fin!P27/Captura_Fin!H27))</f>
        <v/>
      </c>
      <c r="M27" s="56">
        <f>COUNT(E27:K27)</f>
        <v/>
      </c>
      <c r="N27" s="57">
        <f>IF(COUNT(Captura_Fin!F27,Captura_Fin!G27,Captura_Fin!H27)&lt;3,"",IF(ABS(Captura_Fin!F27-Captura_Fin!G27-Captura_Fin!H27)&lt;=0.005*ABS(Captura_Fin!F27),"OK","REVISAR"))</f>
        <v/>
      </c>
    </row>
    <row r="28" ht="15" customHeight="1" s="31">
      <c r="A28" s="51">
        <f>Captura_Fin!A28</f>
        <v/>
      </c>
      <c r="B28" s="51">
        <f>Captura_Fin!B28</f>
        <v/>
      </c>
      <c r="C28" s="51">
        <f>Captura_Fin!C28</f>
        <v/>
      </c>
      <c r="D28" s="52">
        <f>Captura_Fin!D28</f>
        <v/>
      </c>
      <c r="E28" s="55">
        <f>IF(COUNT(Captura_Fin!I28,Captura_Fin!J28)&lt;2,"",IFERROR(Captura_Fin!I28/Captura_Fin!J28,""))</f>
        <v/>
      </c>
      <c r="F28" s="55">
        <f>IF(COUNT(Captura_Fin!M28,Captura_Fin!L28)&lt;2,"",IFERROR(ABS(Captura_Fin!M28)/Captura_Fin!L28,""))</f>
        <v/>
      </c>
      <c r="G28" s="55">
        <f>IF(COUNT(Captura_Fin!P28,Captura_Fin!F28)&lt;2,"",IFERROR(Captura_Fin!P28/Captura_Fin!F28,""))</f>
        <v/>
      </c>
      <c r="H28" s="55">
        <f>IF(COUNT(Captura_Fin!G28,Captura_Fin!F28)&lt;2,"",IFERROR(Captura_Fin!G28/Captura_Fin!F28,""))</f>
        <v/>
      </c>
      <c r="I28" s="54">
        <f>IF(COUNT(Captura_Fin!O28,Captura_Fin!N28)&lt;2,"",IFERROR((Captura_Fin!O28+ABS(Captura_Fin!N28))/ABS(Captura_Fin!N28),""))</f>
        <v/>
      </c>
      <c r="J28" s="55">
        <f>IF(COUNT(Captura_Fin!L28,Captura_Fin!F28)&lt;2,"",IFERROR(Captura_Fin!L28/Captura_Fin!F28,""))</f>
        <v/>
      </c>
      <c r="K28" s="55">
        <f>IF(COUNT(Captura_Fin!Q28)&lt;1,"",IFERROR(IF(D28=2017,Captura_Fin!Q28/INDEX(Empresas!$I$2:$I$23,MATCH($A28,Empresas!$B$2:$B$23,0))-1,IF(COUNT(Captura_Fin!Q27)&lt;1,"",Captura_Fin!Q28/Captura_Fin!Q27-1)),""))</f>
        <v/>
      </c>
      <c r="L28" s="55">
        <f>IF(COUNT(Captura_Fin!P28,Captura_Fin!H28)&lt;2,"",IF(Captura_Fin!H28&lt;=0,"",Captura_Fin!P28/Captura_Fin!H28))</f>
        <v/>
      </c>
      <c r="M28" s="56">
        <f>COUNT(E28:K28)</f>
        <v/>
      </c>
      <c r="N28" s="57">
        <f>IF(COUNT(Captura_Fin!F28,Captura_Fin!G28,Captura_Fin!H28)&lt;3,"",IF(ABS(Captura_Fin!F28-Captura_Fin!G28-Captura_Fin!H28)&lt;=0.005*ABS(Captura_Fin!F28),"OK","REVISAR"))</f>
        <v/>
      </c>
    </row>
    <row r="29" ht="15" customHeight="1" s="31">
      <c r="A29" s="51">
        <f>Captura_Fin!A29</f>
        <v/>
      </c>
      <c r="B29" s="51">
        <f>Captura_Fin!B29</f>
        <v/>
      </c>
      <c r="C29" s="51">
        <f>Captura_Fin!C29</f>
        <v/>
      </c>
      <c r="D29" s="52">
        <f>Captura_Fin!D29</f>
        <v/>
      </c>
      <c r="E29" s="55">
        <f>IF(COUNT(Captura_Fin!I29,Captura_Fin!J29)&lt;2,"",IFERROR(Captura_Fin!I29/Captura_Fin!J29,""))</f>
        <v/>
      </c>
      <c r="F29" s="55">
        <f>IF(COUNT(Captura_Fin!M29,Captura_Fin!L29)&lt;2,"",IFERROR(ABS(Captura_Fin!M29)/Captura_Fin!L29,""))</f>
        <v/>
      </c>
      <c r="G29" s="55">
        <f>IF(COUNT(Captura_Fin!P29,Captura_Fin!F29)&lt;2,"",IFERROR(Captura_Fin!P29/Captura_Fin!F29,""))</f>
        <v/>
      </c>
      <c r="H29" s="55">
        <f>IF(COUNT(Captura_Fin!G29,Captura_Fin!F29)&lt;2,"",IFERROR(Captura_Fin!G29/Captura_Fin!F29,""))</f>
        <v/>
      </c>
      <c r="I29" s="54">
        <f>IF(COUNT(Captura_Fin!O29,Captura_Fin!N29)&lt;2,"",IFERROR((Captura_Fin!O29+ABS(Captura_Fin!N29))/ABS(Captura_Fin!N29),""))</f>
        <v/>
      </c>
      <c r="J29" s="55">
        <f>IF(COUNT(Captura_Fin!L29,Captura_Fin!F29)&lt;2,"",IFERROR(Captura_Fin!L29/Captura_Fin!F29,""))</f>
        <v/>
      </c>
      <c r="K29" s="55">
        <f>IF(COUNT(Captura_Fin!Q29)&lt;1,"",IFERROR(IF(D29=2017,Captura_Fin!Q29/INDEX(Empresas!$I$2:$I$23,MATCH($A29,Empresas!$B$2:$B$23,0))-1,IF(COUNT(Captura_Fin!Q28)&lt;1,"",Captura_Fin!Q29/Captura_Fin!Q28-1)),""))</f>
        <v/>
      </c>
      <c r="L29" s="55">
        <f>IF(COUNT(Captura_Fin!P29,Captura_Fin!H29)&lt;2,"",IF(Captura_Fin!H29&lt;=0,"",Captura_Fin!P29/Captura_Fin!H29))</f>
        <v/>
      </c>
      <c r="M29" s="56">
        <f>COUNT(E29:K29)</f>
        <v/>
      </c>
      <c r="N29" s="57">
        <f>IF(COUNT(Captura_Fin!F29,Captura_Fin!G29,Captura_Fin!H29)&lt;3,"",IF(ABS(Captura_Fin!F29-Captura_Fin!G29-Captura_Fin!H29)&lt;=0.005*ABS(Captura_Fin!F29),"OK","REVISAR"))</f>
        <v/>
      </c>
    </row>
    <row r="30" ht="15" customHeight="1" s="31">
      <c r="A30" s="51">
        <f>Captura_Fin!A30</f>
        <v/>
      </c>
      <c r="B30" s="51">
        <f>Captura_Fin!B30</f>
        <v/>
      </c>
      <c r="C30" s="51">
        <f>Captura_Fin!C30</f>
        <v/>
      </c>
      <c r="D30" s="52">
        <f>Captura_Fin!D30</f>
        <v/>
      </c>
      <c r="E30" s="55">
        <f>IF(COUNT(Captura_Fin!I30,Captura_Fin!J30)&lt;2,"",IFERROR(Captura_Fin!I30/Captura_Fin!J30,""))</f>
        <v/>
      </c>
      <c r="F30" s="55">
        <f>IF(COUNT(Captura_Fin!M30,Captura_Fin!L30)&lt;2,"",IFERROR(ABS(Captura_Fin!M30)/Captura_Fin!L30,""))</f>
        <v/>
      </c>
      <c r="G30" s="55">
        <f>IF(COUNT(Captura_Fin!P30,Captura_Fin!F30)&lt;2,"",IFERROR(Captura_Fin!P30/Captura_Fin!F30,""))</f>
        <v/>
      </c>
      <c r="H30" s="55">
        <f>IF(COUNT(Captura_Fin!G30,Captura_Fin!F30)&lt;2,"",IFERROR(Captura_Fin!G30/Captura_Fin!F30,""))</f>
        <v/>
      </c>
      <c r="I30" s="54">
        <f>IF(COUNT(Captura_Fin!O30,Captura_Fin!N30)&lt;2,"",IFERROR((Captura_Fin!O30+ABS(Captura_Fin!N30))/ABS(Captura_Fin!N30),""))</f>
        <v/>
      </c>
      <c r="J30" s="55">
        <f>IF(COUNT(Captura_Fin!L30,Captura_Fin!F30)&lt;2,"",IFERROR(Captura_Fin!L30/Captura_Fin!F30,""))</f>
        <v/>
      </c>
      <c r="K30" s="55">
        <f>IF(COUNT(Captura_Fin!Q30)&lt;1,"",IFERROR(IF(D30=2017,Captura_Fin!Q30/INDEX(Empresas!$I$2:$I$23,MATCH($A30,Empresas!$B$2:$B$23,0))-1,IF(COUNT(Captura_Fin!Q29)&lt;1,"",Captura_Fin!Q30/Captura_Fin!Q29-1)),""))</f>
        <v/>
      </c>
      <c r="L30" s="55">
        <f>IF(COUNT(Captura_Fin!P30,Captura_Fin!H30)&lt;2,"",IF(Captura_Fin!H30&lt;=0,"",Captura_Fin!P30/Captura_Fin!H30))</f>
        <v/>
      </c>
      <c r="M30" s="56">
        <f>COUNT(E30:K30)</f>
        <v/>
      </c>
      <c r="N30" s="57">
        <f>IF(COUNT(Captura_Fin!F30,Captura_Fin!G30,Captura_Fin!H30)&lt;3,"",IF(ABS(Captura_Fin!F30-Captura_Fin!G30-Captura_Fin!H30)&lt;=0.005*ABS(Captura_Fin!F30),"OK","REVISAR"))</f>
        <v/>
      </c>
    </row>
    <row r="31" ht="15" customHeight="1" s="31">
      <c r="A31" s="51">
        <f>Captura_Fin!A31</f>
        <v/>
      </c>
      <c r="B31" s="51">
        <f>Captura_Fin!B31</f>
        <v/>
      </c>
      <c r="C31" s="51">
        <f>Captura_Fin!C31</f>
        <v/>
      </c>
      <c r="D31" s="52">
        <f>Captura_Fin!D31</f>
        <v/>
      </c>
      <c r="E31" s="55">
        <f>IF(COUNT(Captura_Fin!I31,Captura_Fin!J31)&lt;2,"",IFERROR(Captura_Fin!I31/Captura_Fin!J31,""))</f>
        <v/>
      </c>
      <c r="F31" s="55">
        <f>IF(COUNT(Captura_Fin!M31,Captura_Fin!L31)&lt;2,"",IFERROR(ABS(Captura_Fin!M31)/Captura_Fin!L31,""))</f>
        <v/>
      </c>
      <c r="G31" s="55">
        <f>IF(COUNT(Captura_Fin!P31,Captura_Fin!F31)&lt;2,"",IFERROR(Captura_Fin!P31/Captura_Fin!F31,""))</f>
        <v/>
      </c>
      <c r="H31" s="55">
        <f>IF(COUNT(Captura_Fin!G31,Captura_Fin!F31)&lt;2,"",IFERROR(Captura_Fin!G31/Captura_Fin!F31,""))</f>
        <v/>
      </c>
      <c r="I31" s="54">
        <f>IF(COUNT(Captura_Fin!O31,Captura_Fin!N31)&lt;2,"",IFERROR((Captura_Fin!O31+ABS(Captura_Fin!N31))/ABS(Captura_Fin!N31),""))</f>
        <v/>
      </c>
      <c r="J31" s="55">
        <f>IF(COUNT(Captura_Fin!L31,Captura_Fin!F31)&lt;2,"",IFERROR(Captura_Fin!L31/Captura_Fin!F31,""))</f>
        <v/>
      </c>
      <c r="K31" s="55">
        <f>IF(COUNT(Captura_Fin!Q31)&lt;1,"",IFERROR(IF(D31=2017,Captura_Fin!Q31/INDEX(Empresas!$I$2:$I$23,MATCH($A31,Empresas!$B$2:$B$23,0))-1,IF(COUNT(Captura_Fin!Q30)&lt;1,"",Captura_Fin!Q31/Captura_Fin!Q30-1)),""))</f>
        <v/>
      </c>
      <c r="L31" s="55">
        <f>IF(COUNT(Captura_Fin!P31,Captura_Fin!H31)&lt;2,"",IF(Captura_Fin!H31&lt;=0,"",Captura_Fin!P31/Captura_Fin!H31))</f>
        <v/>
      </c>
      <c r="M31" s="56">
        <f>COUNT(E31:K31)</f>
        <v/>
      </c>
      <c r="N31" s="57">
        <f>IF(COUNT(Captura_Fin!F31,Captura_Fin!G31,Captura_Fin!H31)&lt;3,"",IF(ABS(Captura_Fin!F31-Captura_Fin!G31-Captura_Fin!H31)&lt;=0.005*ABS(Captura_Fin!F31),"OK","REVISAR"))</f>
        <v/>
      </c>
    </row>
    <row r="32" ht="15" customHeight="1" s="31">
      <c r="A32" s="51">
        <f>Captura_Fin!A32</f>
        <v/>
      </c>
      <c r="B32" s="51">
        <f>Captura_Fin!B32</f>
        <v/>
      </c>
      <c r="C32" s="51">
        <f>Captura_Fin!C32</f>
        <v/>
      </c>
      <c r="D32" s="52">
        <f>Captura_Fin!D32</f>
        <v/>
      </c>
      <c r="E32" s="55">
        <f>IF(COUNT(Captura_Fin!I32,Captura_Fin!J32)&lt;2,"",IFERROR(Captura_Fin!I32/Captura_Fin!J32,""))</f>
        <v/>
      </c>
      <c r="F32" s="55">
        <f>IF(COUNT(Captura_Fin!M32,Captura_Fin!L32)&lt;2,"",IFERROR(ABS(Captura_Fin!M32)/Captura_Fin!L32,""))</f>
        <v/>
      </c>
      <c r="G32" s="55">
        <f>IF(COUNT(Captura_Fin!P32,Captura_Fin!F32)&lt;2,"",IFERROR(Captura_Fin!P32/Captura_Fin!F32,""))</f>
        <v/>
      </c>
      <c r="H32" s="55">
        <f>IF(COUNT(Captura_Fin!G32,Captura_Fin!F32)&lt;2,"",IFERROR(Captura_Fin!G32/Captura_Fin!F32,""))</f>
        <v/>
      </c>
      <c r="I32" s="54">
        <f>IF(COUNT(Captura_Fin!O32,Captura_Fin!N32)&lt;2,"",IFERROR((Captura_Fin!O32+ABS(Captura_Fin!N32))/ABS(Captura_Fin!N32),""))</f>
        <v/>
      </c>
      <c r="J32" s="55">
        <f>IF(COUNT(Captura_Fin!L32,Captura_Fin!F32)&lt;2,"",IFERROR(Captura_Fin!L32/Captura_Fin!F32,""))</f>
        <v/>
      </c>
      <c r="K32" s="55">
        <f>IF(COUNT(Captura_Fin!Q32)&lt;1,"",IFERROR(IF(D32=2017,Captura_Fin!Q32/INDEX(Empresas!$I$2:$I$23,MATCH($A32,Empresas!$B$2:$B$23,0))-1,IF(COUNT(Captura_Fin!Q31)&lt;1,"",Captura_Fin!Q32/Captura_Fin!Q31-1)),""))</f>
        <v/>
      </c>
      <c r="L32" s="55">
        <f>IF(COUNT(Captura_Fin!P32,Captura_Fin!H32)&lt;2,"",IF(Captura_Fin!H32&lt;=0,"",Captura_Fin!P32/Captura_Fin!H32))</f>
        <v/>
      </c>
      <c r="M32" s="56">
        <f>COUNT(E32:K32)</f>
        <v/>
      </c>
      <c r="N32" s="57">
        <f>IF(COUNT(Captura_Fin!F32,Captura_Fin!G32,Captura_Fin!H32)&lt;3,"",IF(ABS(Captura_Fin!F32-Captura_Fin!G32-Captura_Fin!H32)&lt;=0.005*ABS(Captura_Fin!F32),"OK","REVISAR"))</f>
        <v/>
      </c>
    </row>
    <row r="33" ht="15" customHeight="1" s="31">
      <c r="A33" s="51">
        <f>Captura_Fin!A33</f>
        <v/>
      </c>
      <c r="B33" s="51">
        <f>Captura_Fin!B33</f>
        <v/>
      </c>
      <c r="C33" s="51">
        <f>Captura_Fin!C33</f>
        <v/>
      </c>
      <c r="D33" s="52">
        <f>Captura_Fin!D33</f>
        <v/>
      </c>
      <c r="E33" s="55">
        <f>IF(COUNT(Captura_Fin!I33,Captura_Fin!J33)&lt;2,"",IFERROR(Captura_Fin!I33/Captura_Fin!J33,""))</f>
        <v/>
      </c>
      <c r="F33" s="55">
        <f>IF(COUNT(Captura_Fin!M33,Captura_Fin!L33)&lt;2,"",IFERROR(ABS(Captura_Fin!M33)/Captura_Fin!L33,""))</f>
        <v/>
      </c>
      <c r="G33" s="55">
        <f>IF(COUNT(Captura_Fin!P33,Captura_Fin!F33)&lt;2,"",IFERROR(Captura_Fin!P33/Captura_Fin!F33,""))</f>
        <v/>
      </c>
      <c r="H33" s="55">
        <f>IF(COUNT(Captura_Fin!G33,Captura_Fin!F33)&lt;2,"",IFERROR(Captura_Fin!G33/Captura_Fin!F33,""))</f>
        <v/>
      </c>
      <c r="I33" s="54">
        <f>IF(COUNT(Captura_Fin!O33,Captura_Fin!N33)&lt;2,"",IFERROR((Captura_Fin!O33+ABS(Captura_Fin!N33))/ABS(Captura_Fin!N33),""))</f>
        <v/>
      </c>
      <c r="J33" s="55">
        <f>IF(COUNT(Captura_Fin!L33,Captura_Fin!F33)&lt;2,"",IFERROR(Captura_Fin!L33/Captura_Fin!F33,""))</f>
        <v/>
      </c>
      <c r="K33" s="55">
        <f>IF(COUNT(Captura_Fin!Q33)&lt;1,"",IFERROR(IF(D33=2017,Captura_Fin!Q33/INDEX(Empresas!$I$2:$I$23,MATCH($A33,Empresas!$B$2:$B$23,0))-1,IF(COUNT(Captura_Fin!Q32)&lt;1,"",Captura_Fin!Q33/Captura_Fin!Q32-1)),""))</f>
        <v/>
      </c>
      <c r="L33" s="55">
        <f>IF(COUNT(Captura_Fin!P33,Captura_Fin!H33)&lt;2,"",IF(Captura_Fin!H33&lt;=0,"",Captura_Fin!P33/Captura_Fin!H33))</f>
        <v/>
      </c>
      <c r="M33" s="56">
        <f>COUNT(E33:K33)</f>
        <v/>
      </c>
      <c r="N33" s="57">
        <f>IF(COUNT(Captura_Fin!F33,Captura_Fin!G33,Captura_Fin!H33)&lt;3,"",IF(ABS(Captura_Fin!F33-Captura_Fin!G33-Captura_Fin!H33)&lt;=0.005*ABS(Captura_Fin!F33),"OK","REVISAR"))</f>
        <v/>
      </c>
    </row>
    <row r="34" ht="15" customHeight="1" s="31">
      <c r="A34" s="51">
        <f>Captura_Fin!A34</f>
        <v/>
      </c>
      <c r="B34" s="51">
        <f>Captura_Fin!B34</f>
        <v/>
      </c>
      <c r="C34" s="51">
        <f>Captura_Fin!C34</f>
        <v/>
      </c>
      <c r="D34" s="52">
        <f>Captura_Fin!D34</f>
        <v/>
      </c>
      <c r="E34" s="55">
        <f>IF(COUNT(Captura_Fin!I34,Captura_Fin!J34)&lt;2,"",IFERROR(Captura_Fin!I34/Captura_Fin!J34,""))</f>
        <v/>
      </c>
      <c r="F34" s="55">
        <f>IF(COUNT(Captura_Fin!M34,Captura_Fin!L34)&lt;2,"",IFERROR(ABS(Captura_Fin!M34)/Captura_Fin!L34,""))</f>
        <v/>
      </c>
      <c r="G34" s="55">
        <f>IF(COUNT(Captura_Fin!P34,Captura_Fin!F34)&lt;2,"",IFERROR(Captura_Fin!P34/Captura_Fin!F34,""))</f>
        <v/>
      </c>
      <c r="H34" s="55">
        <f>IF(COUNT(Captura_Fin!G34,Captura_Fin!F34)&lt;2,"",IFERROR(Captura_Fin!G34/Captura_Fin!F34,""))</f>
        <v/>
      </c>
      <c r="I34" s="54">
        <f>IF(COUNT(Captura_Fin!O34,Captura_Fin!N34)&lt;2,"",IFERROR((Captura_Fin!O34+ABS(Captura_Fin!N34))/ABS(Captura_Fin!N34),""))</f>
        <v/>
      </c>
      <c r="J34" s="55">
        <f>IF(COUNT(Captura_Fin!L34,Captura_Fin!F34)&lt;2,"",IFERROR(Captura_Fin!L34/Captura_Fin!F34,""))</f>
        <v/>
      </c>
      <c r="K34" s="55">
        <f>IF(COUNT(Captura_Fin!Q34)&lt;1,"",IFERROR(IF(D34=2017,Captura_Fin!Q34/INDEX(Empresas!$I$2:$I$23,MATCH($A34,Empresas!$B$2:$B$23,0))-1,IF(COUNT(Captura_Fin!Q33)&lt;1,"",Captura_Fin!Q34/Captura_Fin!Q33-1)),""))</f>
        <v/>
      </c>
      <c r="L34" s="55">
        <f>IF(COUNT(Captura_Fin!P34,Captura_Fin!H34)&lt;2,"",IF(Captura_Fin!H34&lt;=0,"",Captura_Fin!P34/Captura_Fin!H34))</f>
        <v/>
      </c>
      <c r="M34" s="56">
        <f>COUNT(E34:K34)</f>
        <v/>
      </c>
      <c r="N34" s="57">
        <f>IF(COUNT(Captura_Fin!F34,Captura_Fin!G34,Captura_Fin!H34)&lt;3,"",IF(ABS(Captura_Fin!F34-Captura_Fin!G34-Captura_Fin!H34)&lt;=0.005*ABS(Captura_Fin!F34),"OK","REVISAR"))</f>
        <v/>
      </c>
    </row>
    <row r="35" ht="15" customHeight="1" s="31">
      <c r="A35" s="51">
        <f>Captura_Fin!A35</f>
        <v/>
      </c>
      <c r="B35" s="51">
        <f>Captura_Fin!B35</f>
        <v/>
      </c>
      <c r="C35" s="51">
        <f>Captura_Fin!C35</f>
        <v/>
      </c>
      <c r="D35" s="52">
        <f>Captura_Fin!D35</f>
        <v/>
      </c>
      <c r="E35" s="55">
        <f>IF(COUNT(Captura_Fin!I35,Captura_Fin!J35)&lt;2,"",IFERROR(Captura_Fin!I35/Captura_Fin!J35,""))</f>
        <v/>
      </c>
      <c r="F35" s="55">
        <f>IF(COUNT(Captura_Fin!M35,Captura_Fin!L35)&lt;2,"",IFERROR(ABS(Captura_Fin!M35)/Captura_Fin!L35,""))</f>
        <v/>
      </c>
      <c r="G35" s="55">
        <f>IF(COUNT(Captura_Fin!P35,Captura_Fin!F35)&lt;2,"",IFERROR(Captura_Fin!P35/Captura_Fin!F35,""))</f>
        <v/>
      </c>
      <c r="H35" s="55">
        <f>IF(COUNT(Captura_Fin!G35,Captura_Fin!F35)&lt;2,"",IFERROR(Captura_Fin!G35/Captura_Fin!F35,""))</f>
        <v/>
      </c>
      <c r="I35" s="54">
        <f>IF(COUNT(Captura_Fin!O35,Captura_Fin!N35)&lt;2,"",IFERROR((Captura_Fin!O35+ABS(Captura_Fin!N35))/ABS(Captura_Fin!N35),""))</f>
        <v/>
      </c>
      <c r="J35" s="55">
        <f>IF(COUNT(Captura_Fin!L35,Captura_Fin!F35)&lt;2,"",IFERROR(Captura_Fin!L35/Captura_Fin!F35,""))</f>
        <v/>
      </c>
      <c r="K35" s="55">
        <f>IF(COUNT(Captura_Fin!Q35)&lt;1,"",IFERROR(IF(D35=2017,Captura_Fin!Q35/INDEX(Empresas!$I$2:$I$23,MATCH($A35,Empresas!$B$2:$B$23,0))-1,IF(COUNT(Captura_Fin!Q34)&lt;1,"",Captura_Fin!Q35/Captura_Fin!Q34-1)),""))</f>
        <v/>
      </c>
      <c r="L35" s="55">
        <f>IF(COUNT(Captura_Fin!P35,Captura_Fin!H35)&lt;2,"",IF(Captura_Fin!H35&lt;=0,"",Captura_Fin!P35/Captura_Fin!H35))</f>
        <v/>
      </c>
      <c r="M35" s="56">
        <f>COUNT(E35:K35)</f>
        <v/>
      </c>
      <c r="N35" s="57">
        <f>IF(COUNT(Captura_Fin!F35,Captura_Fin!G35,Captura_Fin!H35)&lt;3,"",IF(ABS(Captura_Fin!F35-Captura_Fin!G35-Captura_Fin!H35)&lt;=0.005*ABS(Captura_Fin!F35),"OK","REVISAR"))</f>
        <v/>
      </c>
    </row>
    <row r="36" ht="15" customHeight="1" s="31">
      <c r="A36" s="51">
        <f>Captura_Fin!A36</f>
        <v/>
      </c>
      <c r="B36" s="51">
        <f>Captura_Fin!B36</f>
        <v/>
      </c>
      <c r="C36" s="51">
        <f>Captura_Fin!C36</f>
        <v/>
      </c>
      <c r="D36" s="52">
        <f>Captura_Fin!D36</f>
        <v/>
      </c>
      <c r="E36" s="55">
        <f>IF(COUNT(Captura_Fin!I36,Captura_Fin!J36)&lt;2,"",IFERROR(Captura_Fin!I36/Captura_Fin!J36,""))</f>
        <v/>
      </c>
      <c r="F36" s="55">
        <f>IF(COUNT(Captura_Fin!M36,Captura_Fin!L36)&lt;2,"",IFERROR(ABS(Captura_Fin!M36)/Captura_Fin!L36,""))</f>
        <v/>
      </c>
      <c r="G36" s="55">
        <f>IF(COUNT(Captura_Fin!P36,Captura_Fin!F36)&lt;2,"",IFERROR(Captura_Fin!P36/Captura_Fin!F36,""))</f>
        <v/>
      </c>
      <c r="H36" s="55">
        <f>IF(COUNT(Captura_Fin!G36,Captura_Fin!F36)&lt;2,"",IFERROR(Captura_Fin!G36/Captura_Fin!F36,""))</f>
        <v/>
      </c>
      <c r="I36" s="54">
        <f>IF(COUNT(Captura_Fin!O36,Captura_Fin!N36)&lt;2,"",IFERROR((Captura_Fin!O36+ABS(Captura_Fin!N36))/ABS(Captura_Fin!N36),""))</f>
        <v/>
      </c>
      <c r="J36" s="55">
        <f>IF(COUNT(Captura_Fin!L36,Captura_Fin!F36)&lt;2,"",IFERROR(Captura_Fin!L36/Captura_Fin!F36,""))</f>
        <v/>
      </c>
      <c r="K36" s="55">
        <f>IF(COUNT(Captura_Fin!Q36)&lt;1,"",IFERROR(IF(D36=2017,Captura_Fin!Q36/INDEX(Empresas!$I$2:$I$23,MATCH($A36,Empresas!$B$2:$B$23,0))-1,IF(COUNT(Captura_Fin!Q35)&lt;1,"",Captura_Fin!Q36/Captura_Fin!Q35-1)),""))</f>
        <v/>
      </c>
      <c r="L36" s="55">
        <f>IF(COUNT(Captura_Fin!P36,Captura_Fin!H36)&lt;2,"",IF(Captura_Fin!H36&lt;=0,"",Captura_Fin!P36/Captura_Fin!H36))</f>
        <v/>
      </c>
      <c r="M36" s="56">
        <f>COUNT(E36:K36)</f>
        <v/>
      </c>
      <c r="N36" s="57">
        <f>IF(COUNT(Captura_Fin!F36,Captura_Fin!G36,Captura_Fin!H36)&lt;3,"",IF(ABS(Captura_Fin!F36-Captura_Fin!G36-Captura_Fin!H36)&lt;=0.005*ABS(Captura_Fin!F36),"OK","REVISAR"))</f>
        <v/>
      </c>
    </row>
    <row r="37" ht="15" customHeight="1" s="31">
      <c r="A37" s="51">
        <f>Captura_Fin!A37</f>
        <v/>
      </c>
      <c r="B37" s="51">
        <f>Captura_Fin!B37</f>
        <v/>
      </c>
      <c r="C37" s="51">
        <f>Captura_Fin!C37</f>
        <v/>
      </c>
      <c r="D37" s="52">
        <f>Captura_Fin!D37</f>
        <v/>
      </c>
      <c r="E37" s="55">
        <f>IF(COUNT(Captura_Fin!I37,Captura_Fin!J37)&lt;2,"",IFERROR(Captura_Fin!I37/Captura_Fin!J37,""))</f>
        <v/>
      </c>
      <c r="F37" s="55">
        <f>IF(COUNT(Captura_Fin!M37,Captura_Fin!L37)&lt;2,"",IFERROR(ABS(Captura_Fin!M37)/Captura_Fin!L37,""))</f>
        <v/>
      </c>
      <c r="G37" s="55">
        <f>IF(COUNT(Captura_Fin!P37,Captura_Fin!F37)&lt;2,"",IFERROR(Captura_Fin!P37/Captura_Fin!F37,""))</f>
        <v/>
      </c>
      <c r="H37" s="55">
        <f>IF(COUNT(Captura_Fin!G37,Captura_Fin!F37)&lt;2,"",IFERROR(Captura_Fin!G37/Captura_Fin!F37,""))</f>
        <v/>
      </c>
      <c r="I37" s="54">
        <f>IF(COUNT(Captura_Fin!O37,Captura_Fin!N37)&lt;2,"",IFERROR((Captura_Fin!O37+ABS(Captura_Fin!N37))/ABS(Captura_Fin!N37),""))</f>
        <v/>
      </c>
      <c r="J37" s="55">
        <f>IF(COUNT(Captura_Fin!L37,Captura_Fin!F37)&lt;2,"",IFERROR(Captura_Fin!L37/Captura_Fin!F37,""))</f>
        <v/>
      </c>
      <c r="K37" s="55">
        <f>IF(COUNT(Captura_Fin!Q37)&lt;1,"",IFERROR(IF(D37=2017,Captura_Fin!Q37/INDEX(Empresas!$I$2:$I$23,MATCH($A37,Empresas!$B$2:$B$23,0))-1,IF(COUNT(Captura_Fin!Q36)&lt;1,"",Captura_Fin!Q37/Captura_Fin!Q36-1)),""))</f>
        <v/>
      </c>
      <c r="L37" s="55">
        <f>IF(COUNT(Captura_Fin!P37,Captura_Fin!H37)&lt;2,"",IF(Captura_Fin!H37&lt;=0,"",Captura_Fin!P37/Captura_Fin!H37))</f>
        <v/>
      </c>
      <c r="M37" s="56">
        <f>COUNT(E37:K37)</f>
        <v/>
      </c>
      <c r="N37" s="57">
        <f>IF(COUNT(Captura_Fin!F37,Captura_Fin!G37,Captura_Fin!H37)&lt;3,"",IF(ABS(Captura_Fin!F37-Captura_Fin!G37-Captura_Fin!H37)&lt;=0.005*ABS(Captura_Fin!F37),"OK","REVISAR"))</f>
        <v/>
      </c>
    </row>
    <row r="39" ht="15" customHeight="1" s="31">
      <c r="A39" s="33" t="inlineStr">
        <is>
          <t>F2 Capital de trabajo no aplica a bancos: sus estados financieros no clasifican partidas en corrientes y no corrientes. El KPI de este sector se construye con 7 familias.</t>
        </is>
      </c>
    </row>
    <row r="40" ht="15" customHeight="1" s="31">
      <c r="A40" s="33" t="inlineStr">
        <is>
          <t>F3 Eficiencia bancaria = índice de eficiencia (gastos operacionales / ingresos operacionales netos): dirección MAYOR = PEOR, a diferencia del margen de las no financieras.</t>
        </is>
      </c>
    </row>
    <row r="41" ht="15" customHeight="1" s="31">
      <c r="A41" s="33" t="inlineStr">
        <is>
          <t>F6 Cobertura bancaria = (resultado antes de impuestos + provisiones) / provisiones: veces que el resultado antes de provisiones cubre el costo del riesgo de crédito.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30" min="1" max="1"/>
    <col width="40" customWidth="1" style="30" min="2" max="2"/>
    <col width="14" customWidth="1" style="30" min="3" max="3"/>
    <col width="12" customWidth="1" style="30" min="4" max="4"/>
    <col width="44" customWidth="1" style="30" min="5" max="5"/>
    <col width="14" customWidth="1" style="30" min="6" max="6"/>
    <col width="12" customWidth="1" style="30" min="7" max="7"/>
  </cols>
  <sheetData>
    <row r="1" ht="22.35" customHeight="1" s="31">
      <c r="A1" s="43" t="inlineStr">
        <is>
          <t>Familia</t>
        </is>
      </c>
      <c r="B1" s="43" t="inlineStr">
        <is>
          <t>No financieras: indicador</t>
        </is>
      </c>
      <c r="C1" s="43" t="inlineStr">
        <is>
          <t>Dirección</t>
        </is>
      </c>
      <c r="D1" s="43" t="inlineStr">
        <is>
          <t>Signo en Fase 3</t>
        </is>
      </c>
      <c r="E1" s="43" t="inlineStr">
        <is>
          <t>Bancos: indicador</t>
        </is>
      </c>
      <c r="F1" s="43" t="inlineStr">
        <is>
          <t>Dirección</t>
        </is>
      </c>
      <c r="G1" s="43" t="inlineStr">
        <is>
          <t>Signo en Fase 3</t>
        </is>
      </c>
    </row>
    <row r="2" ht="15" customHeight="1" s="31">
      <c r="A2" s="47" t="inlineStr">
        <is>
          <t>F1 Liquidez</t>
        </is>
      </c>
      <c r="B2" s="47" t="inlineStr">
        <is>
          <t>Activo corriente / Pasivo corriente</t>
        </is>
      </c>
      <c r="C2" s="47" t="inlineStr">
        <is>
          <t>Mayor = mejor</t>
        </is>
      </c>
      <c r="D2" s="47" t="n">
        <v>1</v>
      </c>
      <c r="E2" s="47" t="inlineStr">
        <is>
          <t>Efectivo / Depósitos</t>
        </is>
      </c>
      <c r="F2" s="47" t="inlineStr">
        <is>
          <t>Mayor = mejor</t>
        </is>
      </c>
      <c r="G2" s="47" t="n">
        <v>1</v>
      </c>
    </row>
    <row r="3" ht="15" customHeight="1" s="31">
      <c r="A3" s="47" t="inlineStr">
        <is>
          <t>F2 Capital de trabajo</t>
        </is>
      </c>
      <c r="B3" s="47" t="inlineStr">
        <is>
          <t>(AC − PC) / Activo total</t>
        </is>
      </c>
      <c r="C3" s="47" t="inlineStr">
        <is>
          <t>Mayor = mejor</t>
        </is>
      </c>
      <c r="D3" s="47" t="n">
        <v>1</v>
      </c>
      <c r="E3" s="47" t="inlineStr">
        <is>
          <t>No aplica</t>
        </is>
      </c>
      <c r="F3" s="47" t="inlineStr">
        <is>
          <t>—</t>
        </is>
      </c>
      <c r="G3" s="47" t="n"/>
    </row>
    <row r="4" ht="15" customHeight="1" s="31">
      <c r="A4" s="47" t="inlineStr">
        <is>
          <t>F3 Eficiencia</t>
        </is>
      </c>
      <c r="B4" s="47" t="inlineStr">
        <is>
          <t>EBIT / Ingresos</t>
        </is>
      </c>
      <c r="C4" s="47" t="inlineStr">
        <is>
          <t>Mayor = mejor</t>
        </is>
      </c>
      <c r="D4" s="47" t="n">
        <v>1</v>
      </c>
      <c r="E4" s="47" t="inlineStr">
        <is>
          <t>Gastos operacionales / Ingreso operacional neto</t>
        </is>
      </c>
      <c r="F4" s="47" t="inlineStr">
        <is>
          <t>Mayor = peor</t>
        </is>
      </c>
      <c r="G4" s="47" t="n">
        <v>-1</v>
      </c>
    </row>
    <row r="5" ht="15" customHeight="1" s="31">
      <c r="A5" s="47" t="inlineStr">
        <is>
          <t>F4 Rentabilidad</t>
        </is>
      </c>
      <c r="B5" s="47" t="inlineStr">
        <is>
          <t>Ganancia / Activo total (ROA)</t>
        </is>
      </c>
      <c r="C5" s="47" t="inlineStr">
        <is>
          <t>Mayor = mejor</t>
        </is>
      </c>
      <c r="D5" s="47" t="n">
        <v>1</v>
      </c>
      <c r="E5" s="47" t="inlineStr">
        <is>
          <t>Ganancia / Activo total (ROA)</t>
        </is>
      </c>
      <c r="F5" s="47" t="inlineStr">
        <is>
          <t>Mayor = mejor</t>
        </is>
      </c>
      <c r="G5" s="47" t="n">
        <v>1</v>
      </c>
    </row>
    <row r="6" ht="15" customHeight="1" s="31">
      <c r="A6" s="47" t="inlineStr">
        <is>
          <t>F5 Endeudamiento</t>
        </is>
      </c>
      <c r="B6" s="47" t="inlineStr">
        <is>
          <t>Pasivo total / Activo total</t>
        </is>
      </c>
      <c r="C6" s="47" t="inlineStr">
        <is>
          <t>Mayor = peor</t>
        </is>
      </c>
      <c r="D6" s="47" t="n">
        <v>-1</v>
      </c>
      <c r="E6" s="47" t="inlineStr">
        <is>
          <t>Pasivo total / Activo total</t>
        </is>
      </c>
      <c r="F6" s="47" t="inlineStr">
        <is>
          <t>Mayor = peor</t>
        </is>
      </c>
      <c r="G6" s="47" t="n">
        <v>-1</v>
      </c>
    </row>
    <row r="7" ht="15" customHeight="1" s="31">
      <c r="A7" s="47" t="inlineStr">
        <is>
          <t>F6 Cobertura</t>
        </is>
      </c>
      <c r="B7" s="47" t="inlineStr">
        <is>
          <t>EBIT / Costos financieros</t>
        </is>
      </c>
      <c r="C7" s="47" t="inlineStr">
        <is>
          <t>Mayor = mejor</t>
        </is>
      </c>
      <c r="D7" s="47" t="n">
        <v>1</v>
      </c>
      <c r="E7" s="47" t="inlineStr">
        <is>
          <t>(GAI + Provisiones) / Provisiones</t>
        </is>
      </c>
      <c r="F7" s="47" t="inlineStr">
        <is>
          <t>Mayor = mejor</t>
        </is>
      </c>
      <c r="G7" s="47" t="n">
        <v>1</v>
      </c>
    </row>
    <row r="8" ht="15" customHeight="1" s="31">
      <c r="A8" s="47" t="inlineStr">
        <is>
          <t>F7 Uso de activos</t>
        </is>
      </c>
      <c r="B8" s="47" t="inlineStr">
        <is>
          <t>Ingresos / Activo total</t>
        </is>
      </c>
      <c r="C8" s="47" t="inlineStr">
        <is>
          <t>Mayor = mejor</t>
        </is>
      </c>
      <c r="D8" s="47" t="n">
        <v>1</v>
      </c>
      <c r="E8" s="47" t="inlineStr">
        <is>
          <t>Ingreso operacional neto / Activo total</t>
        </is>
      </c>
      <c r="F8" s="47" t="inlineStr">
        <is>
          <t>Mayor = mejor</t>
        </is>
      </c>
      <c r="G8" s="47" t="n">
        <v>1</v>
      </c>
    </row>
    <row r="9" ht="15" customHeight="1" s="31">
      <c r="A9" s="47" t="inlineStr">
        <is>
          <t>F8 Mercado</t>
        </is>
      </c>
      <c r="B9" s="47" t="inlineStr">
        <is>
          <t>Retorno anual del precio ajustado</t>
        </is>
      </c>
      <c r="C9" s="47" t="inlineStr">
        <is>
          <t>Mayor = mejor</t>
        </is>
      </c>
      <c r="D9" s="47" t="n">
        <v>1</v>
      </c>
      <c r="E9" s="47" t="inlineStr">
        <is>
          <t>Retorno anual del precio ajustado</t>
        </is>
      </c>
      <c r="F9" s="47" t="inlineStr">
        <is>
          <t>Mayor = mejor</t>
        </is>
      </c>
      <c r="G9" s="47" t="n">
        <v>1</v>
      </c>
    </row>
    <row r="11" ht="15" customHeight="1" s="31">
      <c r="A11" s="33" t="inlineStr">
        <is>
          <t>El signo se aplica en la Fase 3: z orientado = signo × z. Así, en todas las familias un valor mayor indica mejor condición antes de promediar en el KPI.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14" customWidth="1" style="30" min="1" max="5"/>
    <col width="16" customWidth="1" style="30" min="6" max="6"/>
    <col width="18" customWidth="1" style="30" min="7" max="7"/>
  </cols>
  <sheetData>
    <row r="1" ht="31.5" customHeight="1" s="31">
      <c r="A1" s="43" t="inlineStr">
        <is>
          <t>Nemotécnico</t>
        </is>
      </c>
      <c r="B1" s="43" t="inlineStr">
        <is>
          <t>Plantilla</t>
        </is>
      </c>
      <c r="C1" s="43" t="inlineStr">
        <is>
          <t>Años con activo total</t>
        </is>
      </c>
      <c r="D1" s="43" t="inlineStr">
        <is>
          <t>Celdas núcleo vacías</t>
        </is>
      </c>
      <c r="E1" s="43" t="inlineStr">
        <is>
          <t>Años cuadre REVISAR</t>
        </is>
      </c>
      <c r="F1" s="43" t="inlineStr">
        <is>
          <t>Familias válidas (promedio)</t>
        </is>
      </c>
      <c r="G1" s="43" t="inlineStr">
        <is>
          <t>Estado</t>
        </is>
      </c>
    </row>
    <row r="2" ht="15" customHeight="1" s="31">
      <c r="A2" s="58" t="inlineStr">
        <is>
          <t>AGUAS-A</t>
        </is>
      </c>
      <c r="B2" s="59" t="inlineStr">
        <is>
          <t>No financiera</t>
        </is>
      </c>
      <c r="C2" s="59">
        <f>COUNTIFS(Captura_NoFin!$A$2:$A$163,$A2,Captura_NoFin!$H$2:$H$163,"&lt;&gt;")</f>
        <v/>
      </c>
      <c r="D2" s="59">
        <f>COUNTIFS(Captura_NoFin!$A$2:$A$163,$A2,Captura_NoFin!$F$2:$F$163,"")+COUNTIFS(Captura_NoFin!$A$2:$A$163,$A2,Captura_NoFin!$G$2:$G$163,"")+COUNTIFS(Captura_NoFin!$A$2:$A$163,$A2,Captura_NoFin!$H$2:$H$163,"")+COUNTIFS(Captura_NoFin!$A$2:$A$163,$A2,Captura_NoFin!$I$2:$I$163,"")+COUNTIFS(Captura_NoFin!$A$2:$A$163,$A2,Captura_NoFin!$J$2:$J$163,"")+COUNTIFS(Captura_NoFin!$A$2:$A$163,$A2,Captura_NoFin!$K$2:$K$163,"")+COUNTIFS(Captura_NoFin!$A$2:$A$163,$A2,Captura_NoFin!$L$2:$L$163,"")+COUNTIFS(Captura_NoFin!$A$2:$A$163,$A2,Captura_NoFin!$M$2:$M$163,"")+COUNTIFS(Captura_NoFin!$A$2:$A$163,$A2,Captura_NoFin!$N$2:$N$163,"")+COUNTIFS(Captura_NoFin!$A$2:$A$163,$A2,Captura_NoFin!$R$2:$R$163,"")</f>
        <v/>
      </c>
      <c r="E2" s="59">
        <f>COUNTIFS(Ratios_NoFin!$A$2:$A$163,$A2,Ratios_NoFin!$P$2:$P$163,"REVISAR")</f>
        <v/>
      </c>
      <c r="F2" s="60">
        <f>IFERROR(AVERAGEIFS(Ratios_NoFin!$O$2:$O$163,Ratios_NoFin!$A$2:$A$163,$A2),0)</f>
        <v/>
      </c>
      <c r="G2" s="59">
        <f>IF(D2=0,IF(E2=0,"COMPLETA","REVISAR CUADRE"),"PENDIENTE")</f>
        <v/>
      </c>
    </row>
    <row r="3" ht="15" customHeight="1" s="31">
      <c r="A3" s="58" t="inlineStr">
        <is>
          <t>COLBUN</t>
        </is>
      </c>
      <c r="B3" s="59" t="inlineStr">
        <is>
          <t>No financiera</t>
        </is>
      </c>
      <c r="C3" s="59">
        <f>COUNTIFS(Captura_NoFin!$A$2:$A$163,$A3,Captura_NoFin!$H$2:$H$163,"&lt;&gt;")</f>
        <v/>
      </c>
      <c r="D3" s="59">
        <f>COUNTIFS(Captura_NoFin!$A$2:$A$163,$A3,Captura_NoFin!$F$2:$F$163,"")+COUNTIFS(Captura_NoFin!$A$2:$A$163,$A3,Captura_NoFin!$G$2:$G$163,"")+COUNTIFS(Captura_NoFin!$A$2:$A$163,$A3,Captura_NoFin!$H$2:$H$163,"")+COUNTIFS(Captura_NoFin!$A$2:$A$163,$A3,Captura_NoFin!$I$2:$I$163,"")+COUNTIFS(Captura_NoFin!$A$2:$A$163,$A3,Captura_NoFin!$J$2:$J$163,"")+COUNTIFS(Captura_NoFin!$A$2:$A$163,$A3,Captura_NoFin!$K$2:$K$163,"")+COUNTIFS(Captura_NoFin!$A$2:$A$163,$A3,Captura_NoFin!$L$2:$L$163,"")+COUNTIFS(Captura_NoFin!$A$2:$A$163,$A3,Captura_NoFin!$M$2:$M$163,"")+COUNTIFS(Captura_NoFin!$A$2:$A$163,$A3,Captura_NoFin!$N$2:$N$163,"")+COUNTIFS(Captura_NoFin!$A$2:$A$163,$A3,Captura_NoFin!$R$2:$R$163,"")</f>
        <v/>
      </c>
      <c r="E3" s="59">
        <f>COUNTIFS(Ratios_NoFin!$A$2:$A$163,$A3,Ratios_NoFin!$P$2:$P$163,"REVISAR")</f>
        <v/>
      </c>
      <c r="F3" s="60">
        <f>IFERROR(AVERAGEIFS(Ratios_NoFin!$O$2:$O$163,Ratios_NoFin!$A$2:$A$163,$A3),0)</f>
        <v/>
      </c>
      <c r="G3" s="59">
        <f>IF(D3=0,IF(E3=0,"COMPLETA","REVISAR CUADRE"),"PENDIENTE")</f>
        <v/>
      </c>
    </row>
    <row r="4" ht="15" customHeight="1" s="31">
      <c r="A4" s="58" t="inlineStr">
        <is>
          <t>ENELAM</t>
        </is>
      </c>
      <c r="B4" s="59" t="inlineStr">
        <is>
          <t>No financiera</t>
        </is>
      </c>
      <c r="C4" s="59">
        <f>COUNTIFS(Captura_NoFin!$A$2:$A$163,$A4,Captura_NoFin!$H$2:$H$163,"&lt;&gt;")</f>
        <v/>
      </c>
      <c r="D4" s="59">
        <f>COUNTIFS(Captura_NoFin!$A$2:$A$163,$A4,Captura_NoFin!$F$2:$F$163,"")+COUNTIFS(Captura_NoFin!$A$2:$A$163,$A4,Captura_NoFin!$G$2:$G$163,"")+COUNTIFS(Captura_NoFin!$A$2:$A$163,$A4,Captura_NoFin!$H$2:$H$163,"")+COUNTIFS(Captura_NoFin!$A$2:$A$163,$A4,Captura_NoFin!$I$2:$I$163,"")+COUNTIFS(Captura_NoFin!$A$2:$A$163,$A4,Captura_NoFin!$J$2:$J$163,"")+COUNTIFS(Captura_NoFin!$A$2:$A$163,$A4,Captura_NoFin!$K$2:$K$163,"")+COUNTIFS(Captura_NoFin!$A$2:$A$163,$A4,Captura_NoFin!$L$2:$L$163,"")+COUNTIFS(Captura_NoFin!$A$2:$A$163,$A4,Captura_NoFin!$M$2:$M$163,"")+COUNTIFS(Captura_NoFin!$A$2:$A$163,$A4,Captura_NoFin!$N$2:$N$163,"")+COUNTIFS(Captura_NoFin!$A$2:$A$163,$A4,Captura_NoFin!$R$2:$R$163,"")</f>
        <v/>
      </c>
      <c r="E4" s="59">
        <f>COUNTIFS(Ratios_NoFin!$A$2:$A$163,$A4,Ratios_NoFin!$P$2:$P$163,"REVISAR")</f>
        <v/>
      </c>
      <c r="F4" s="60">
        <f>IFERROR(AVERAGEIFS(Ratios_NoFin!$O$2:$O$163,Ratios_NoFin!$A$2:$A$163,$A4),0)</f>
        <v/>
      </c>
      <c r="G4" s="59">
        <f>IF(D4=0,IF(E4=0,"COMPLETA","REVISAR CUADRE"),"PENDIENTE")</f>
        <v/>
      </c>
    </row>
    <row r="5" ht="15" customHeight="1" s="31">
      <c r="A5" s="58" t="inlineStr">
        <is>
          <t>ENELCHILE</t>
        </is>
      </c>
      <c r="B5" s="59" t="inlineStr">
        <is>
          <t>No financiera</t>
        </is>
      </c>
      <c r="C5" s="59">
        <f>COUNTIFS(Captura_NoFin!$A$2:$A$163,$A5,Captura_NoFin!$H$2:$H$163,"&lt;&gt;")</f>
        <v/>
      </c>
      <c r="D5" s="59">
        <f>COUNTIFS(Captura_NoFin!$A$2:$A$163,$A5,Captura_NoFin!$F$2:$F$163,"")+COUNTIFS(Captura_NoFin!$A$2:$A$163,$A5,Captura_NoFin!$G$2:$G$163,"")+COUNTIFS(Captura_NoFin!$A$2:$A$163,$A5,Captura_NoFin!$H$2:$H$163,"")+COUNTIFS(Captura_NoFin!$A$2:$A$163,$A5,Captura_NoFin!$I$2:$I$163,"")+COUNTIFS(Captura_NoFin!$A$2:$A$163,$A5,Captura_NoFin!$J$2:$J$163,"")+COUNTIFS(Captura_NoFin!$A$2:$A$163,$A5,Captura_NoFin!$K$2:$K$163,"")+COUNTIFS(Captura_NoFin!$A$2:$A$163,$A5,Captura_NoFin!$L$2:$L$163,"")+COUNTIFS(Captura_NoFin!$A$2:$A$163,$A5,Captura_NoFin!$M$2:$M$163,"")+COUNTIFS(Captura_NoFin!$A$2:$A$163,$A5,Captura_NoFin!$N$2:$N$163,"")+COUNTIFS(Captura_NoFin!$A$2:$A$163,$A5,Captura_NoFin!$R$2:$R$163,"")</f>
        <v/>
      </c>
      <c r="E5" s="59">
        <f>COUNTIFS(Ratios_NoFin!$A$2:$A$163,$A5,Ratios_NoFin!$P$2:$P$163,"REVISAR")</f>
        <v/>
      </c>
      <c r="F5" s="60">
        <f>IFERROR(AVERAGEIFS(Ratios_NoFin!$O$2:$O$163,Ratios_NoFin!$A$2:$A$163,$A5),0)</f>
        <v/>
      </c>
      <c r="G5" s="59">
        <f>IF(D5=0,IF(E5=0,"COMPLETA","REVISAR CUADRE"),"PENDIENTE")</f>
        <v/>
      </c>
    </row>
    <row r="6" ht="15" customHeight="1" s="31">
      <c r="A6" s="58" t="inlineStr">
        <is>
          <t>ECL</t>
        </is>
      </c>
      <c r="B6" s="59" t="inlineStr">
        <is>
          <t>No financiera</t>
        </is>
      </c>
      <c r="C6" s="59">
        <f>COUNTIFS(Captura_NoFin!$A$2:$A$163,$A6,Captura_NoFin!$H$2:$H$163,"&lt;&gt;")</f>
        <v/>
      </c>
      <c r="D6" s="59">
        <f>COUNTIFS(Captura_NoFin!$A$2:$A$163,$A6,Captura_NoFin!$F$2:$F$163,"")+COUNTIFS(Captura_NoFin!$A$2:$A$163,$A6,Captura_NoFin!$G$2:$G$163,"")+COUNTIFS(Captura_NoFin!$A$2:$A$163,$A6,Captura_NoFin!$H$2:$H$163,"")+COUNTIFS(Captura_NoFin!$A$2:$A$163,$A6,Captura_NoFin!$I$2:$I$163,"")+COUNTIFS(Captura_NoFin!$A$2:$A$163,$A6,Captura_NoFin!$J$2:$J$163,"")+COUNTIFS(Captura_NoFin!$A$2:$A$163,$A6,Captura_NoFin!$K$2:$K$163,"")+COUNTIFS(Captura_NoFin!$A$2:$A$163,$A6,Captura_NoFin!$L$2:$L$163,"")+COUNTIFS(Captura_NoFin!$A$2:$A$163,$A6,Captura_NoFin!$M$2:$M$163,"")+COUNTIFS(Captura_NoFin!$A$2:$A$163,$A6,Captura_NoFin!$N$2:$N$163,"")+COUNTIFS(Captura_NoFin!$A$2:$A$163,$A6,Captura_NoFin!$R$2:$R$163,"")</f>
        <v/>
      </c>
      <c r="E6" s="59">
        <f>COUNTIFS(Ratios_NoFin!$A$2:$A$163,$A6,Ratios_NoFin!$P$2:$P$163,"REVISAR")</f>
        <v/>
      </c>
      <c r="F6" s="60">
        <f>IFERROR(AVERAGEIFS(Ratios_NoFin!$O$2:$O$163,Ratios_NoFin!$A$2:$A$163,$A6),0)</f>
        <v/>
      </c>
      <c r="G6" s="59">
        <f>IF(D6=0,IF(E6=0,"COMPLETA","REVISAR CUADRE"),"PENDIENTE")</f>
        <v/>
      </c>
    </row>
    <row r="7" ht="15" customHeight="1" s="31">
      <c r="A7" s="58" t="inlineStr">
        <is>
          <t>ENTEL</t>
        </is>
      </c>
      <c r="B7" s="59" t="inlineStr">
        <is>
          <t>No financiera</t>
        </is>
      </c>
      <c r="C7" s="59">
        <f>COUNTIFS(Captura_NoFin!$A$2:$A$163,$A7,Captura_NoFin!$H$2:$H$163,"&lt;&gt;")</f>
        <v/>
      </c>
      <c r="D7" s="59">
        <f>COUNTIFS(Captura_NoFin!$A$2:$A$163,$A7,Captura_NoFin!$F$2:$F$163,"")+COUNTIFS(Captura_NoFin!$A$2:$A$163,$A7,Captura_NoFin!$G$2:$G$163,"")+COUNTIFS(Captura_NoFin!$A$2:$A$163,$A7,Captura_NoFin!$H$2:$H$163,"")+COUNTIFS(Captura_NoFin!$A$2:$A$163,$A7,Captura_NoFin!$I$2:$I$163,"")+COUNTIFS(Captura_NoFin!$A$2:$A$163,$A7,Captura_NoFin!$J$2:$J$163,"")+COUNTIFS(Captura_NoFin!$A$2:$A$163,$A7,Captura_NoFin!$K$2:$K$163,"")+COUNTIFS(Captura_NoFin!$A$2:$A$163,$A7,Captura_NoFin!$L$2:$L$163,"")+COUNTIFS(Captura_NoFin!$A$2:$A$163,$A7,Captura_NoFin!$M$2:$M$163,"")+COUNTIFS(Captura_NoFin!$A$2:$A$163,$A7,Captura_NoFin!$N$2:$N$163,"")+COUNTIFS(Captura_NoFin!$A$2:$A$163,$A7,Captura_NoFin!$R$2:$R$163,"")</f>
        <v/>
      </c>
      <c r="E7" s="59">
        <f>COUNTIFS(Ratios_NoFin!$A$2:$A$163,$A7,Ratios_NoFin!$P$2:$P$163,"REVISAR")</f>
        <v/>
      </c>
      <c r="F7" s="60">
        <f>IFERROR(AVERAGEIFS(Ratios_NoFin!$O$2:$O$163,Ratios_NoFin!$A$2:$A$163,$A7),0)</f>
        <v/>
      </c>
      <c r="G7" s="59">
        <f>IF(D7=0,IF(E7=0,"COMPLETA","REVISAR CUADRE"),"PENDIENTE")</f>
        <v/>
      </c>
    </row>
    <row r="8" ht="15" customHeight="1" s="31">
      <c r="A8" s="58" t="inlineStr">
        <is>
          <t>CENCOSUD</t>
        </is>
      </c>
      <c r="B8" s="59" t="inlineStr">
        <is>
          <t>No financiera</t>
        </is>
      </c>
      <c r="C8" s="59">
        <f>COUNTIFS(Captura_NoFin!$A$2:$A$163,$A8,Captura_NoFin!$H$2:$H$163,"&lt;&gt;")</f>
        <v/>
      </c>
      <c r="D8" s="59">
        <f>COUNTIFS(Captura_NoFin!$A$2:$A$163,$A8,Captura_NoFin!$F$2:$F$163,"")+COUNTIFS(Captura_NoFin!$A$2:$A$163,$A8,Captura_NoFin!$G$2:$G$163,"")+COUNTIFS(Captura_NoFin!$A$2:$A$163,$A8,Captura_NoFin!$H$2:$H$163,"")+COUNTIFS(Captura_NoFin!$A$2:$A$163,$A8,Captura_NoFin!$I$2:$I$163,"")+COUNTIFS(Captura_NoFin!$A$2:$A$163,$A8,Captura_NoFin!$J$2:$J$163,"")+COUNTIFS(Captura_NoFin!$A$2:$A$163,$A8,Captura_NoFin!$K$2:$K$163,"")+COUNTIFS(Captura_NoFin!$A$2:$A$163,$A8,Captura_NoFin!$L$2:$L$163,"")+COUNTIFS(Captura_NoFin!$A$2:$A$163,$A8,Captura_NoFin!$M$2:$M$163,"")+COUNTIFS(Captura_NoFin!$A$2:$A$163,$A8,Captura_NoFin!$N$2:$N$163,"")+COUNTIFS(Captura_NoFin!$A$2:$A$163,$A8,Captura_NoFin!$R$2:$R$163,"")</f>
        <v/>
      </c>
      <c r="E8" s="59">
        <f>COUNTIFS(Ratios_NoFin!$A$2:$A$163,$A8,Ratios_NoFin!$P$2:$P$163,"REVISAR")</f>
        <v/>
      </c>
      <c r="F8" s="60">
        <f>IFERROR(AVERAGEIFS(Ratios_NoFin!$O$2:$O$163,Ratios_NoFin!$A$2:$A$163,$A8),0)</f>
        <v/>
      </c>
      <c r="G8" s="59">
        <f>IF(D8=0,IF(E8=0,"COMPLETA","REVISAR CUADRE"),"PENDIENTE")</f>
        <v/>
      </c>
    </row>
    <row r="9" ht="15" customHeight="1" s="31">
      <c r="A9" s="58" t="inlineStr">
        <is>
          <t>FALABELLA</t>
        </is>
      </c>
      <c r="B9" s="59" t="inlineStr">
        <is>
          <t>No financiera</t>
        </is>
      </c>
      <c r="C9" s="59">
        <f>COUNTIFS(Captura_NoFin!$A$2:$A$163,$A9,Captura_NoFin!$H$2:$H$163,"&lt;&gt;")</f>
        <v/>
      </c>
      <c r="D9" s="59">
        <f>COUNTIFS(Captura_NoFin!$A$2:$A$163,$A9,Captura_NoFin!$F$2:$F$163,"")+COUNTIFS(Captura_NoFin!$A$2:$A$163,$A9,Captura_NoFin!$G$2:$G$163,"")+COUNTIFS(Captura_NoFin!$A$2:$A$163,$A9,Captura_NoFin!$H$2:$H$163,"")+COUNTIFS(Captura_NoFin!$A$2:$A$163,$A9,Captura_NoFin!$I$2:$I$163,"")+COUNTIFS(Captura_NoFin!$A$2:$A$163,$A9,Captura_NoFin!$J$2:$J$163,"")+COUNTIFS(Captura_NoFin!$A$2:$A$163,$A9,Captura_NoFin!$K$2:$K$163,"")+COUNTIFS(Captura_NoFin!$A$2:$A$163,$A9,Captura_NoFin!$L$2:$L$163,"")+COUNTIFS(Captura_NoFin!$A$2:$A$163,$A9,Captura_NoFin!$M$2:$M$163,"")+COUNTIFS(Captura_NoFin!$A$2:$A$163,$A9,Captura_NoFin!$N$2:$N$163,"")+COUNTIFS(Captura_NoFin!$A$2:$A$163,$A9,Captura_NoFin!$R$2:$R$163,"")</f>
        <v/>
      </c>
      <c r="E9" s="59">
        <f>COUNTIFS(Ratios_NoFin!$A$2:$A$163,$A9,Ratios_NoFin!$P$2:$P$163,"REVISAR")</f>
        <v/>
      </c>
      <c r="F9" s="60">
        <f>IFERROR(AVERAGEIFS(Ratios_NoFin!$O$2:$O$163,Ratios_NoFin!$A$2:$A$163,$A9),0)</f>
        <v/>
      </c>
      <c r="G9" s="59">
        <f>IF(D9=0,IF(E9=0,"COMPLETA","REVISAR CUADRE"),"PENDIENTE")</f>
        <v/>
      </c>
    </row>
    <row r="10" ht="15" customHeight="1" s="31">
      <c r="A10" s="58" t="inlineStr">
        <is>
          <t>RIPLEY</t>
        </is>
      </c>
      <c r="B10" s="59" t="inlineStr">
        <is>
          <t>No financiera</t>
        </is>
      </c>
      <c r="C10" s="59">
        <f>COUNTIFS(Captura_NoFin!$A$2:$A$163,$A10,Captura_NoFin!$H$2:$H$163,"&lt;&gt;")</f>
        <v/>
      </c>
      <c r="D10" s="59">
        <f>COUNTIFS(Captura_NoFin!$A$2:$A$163,$A10,Captura_NoFin!$F$2:$F$163,"")+COUNTIFS(Captura_NoFin!$A$2:$A$163,$A10,Captura_NoFin!$G$2:$G$163,"")+COUNTIFS(Captura_NoFin!$A$2:$A$163,$A10,Captura_NoFin!$H$2:$H$163,"")+COUNTIFS(Captura_NoFin!$A$2:$A$163,$A10,Captura_NoFin!$I$2:$I$163,"")+COUNTIFS(Captura_NoFin!$A$2:$A$163,$A10,Captura_NoFin!$J$2:$J$163,"")+COUNTIFS(Captura_NoFin!$A$2:$A$163,$A10,Captura_NoFin!$K$2:$K$163,"")+COUNTIFS(Captura_NoFin!$A$2:$A$163,$A10,Captura_NoFin!$L$2:$L$163,"")+COUNTIFS(Captura_NoFin!$A$2:$A$163,$A10,Captura_NoFin!$M$2:$M$163,"")+COUNTIFS(Captura_NoFin!$A$2:$A$163,$A10,Captura_NoFin!$N$2:$N$163,"")+COUNTIFS(Captura_NoFin!$A$2:$A$163,$A10,Captura_NoFin!$R$2:$R$163,"")</f>
        <v/>
      </c>
      <c r="E10" s="59">
        <f>COUNTIFS(Ratios_NoFin!$A$2:$A$163,$A10,Ratios_NoFin!$P$2:$P$163,"REVISAR")</f>
        <v/>
      </c>
      <c r="F10" s="60">
        <f>IFERROR(AVERAGEIFS(Ratios_NoFin!$O$2:$O$163,Ratios_NoFin!$A$2:$A$163,$A10),0)</f>
        <v/>
      </c>
      <c r="G10" s="59">
        <f>IF(D10=0,IF(E10=0,"COMPLETA","REVISAR CUADRE"),"PENDIENTE")</f>
        <v/>
      </c>
    </row>
    <row r="11" ht="15" customHeight="1" s="31">
      <c r="A11" s="58" t="inlineStr">
        <is>
          <t>CCU</t>
        </is>
      </c>
      <c r="B11" s="59" t="inlineStr">
        <is>
          <t>No financiera</t>
        </is>
      </c>
      <c r="C11" s="59">
        <f>COUNTIFS(Captura_NoFin!$A$2:$A$163,$A11,Captura_NoFin!$H$2:$H$163,"&lt;&gt;")</f>
        <v/>
      </c>
      <c r="D11" s="59">
        <f>COUNTIFS(Captura_NoFin!$A$2:$A$163,$A11,Captura_NoFin!$F$2:$F$163,"")+COUNTIFS(Captura_NoFin!$A$2:$A$163,$A11,Captura_NoFin!$G$2:$G$163,"")+COUNTIFS(Captura_NoFin!$A$2:$A$163,$A11,Captura_NoFin!$H$2:$H$163,"")+COUNTIFS(Captura_NoFin!$A$2:$A$163,$A11,Captura_NoFin!$I$2:$I$163,"")+COUNTIFS(Captura_NoFin!$A$2:$A$163,$A11,Captura_NoFin!$J$2:$J$163,"")+COUNTIFS(Captura_NoFin!$A$2:$A$163,$A11,Captura_NoFin!$K$2:$K$163,"")+COUNTIFS(Captura_NoFin!$A$2:$A$163,$A11,Captura_NoFin!$L$2:$L$163,"")+COUNTIFS(Captura_NoFin!$A$2:$A$163,$A11,Captura_NoFin!$M$2:$M$163,"")+COUNTIFS(Captura_NoFin!$A$2:$A$163,$A11,Captura_NoFin!$N$2:$N$163,"")+COUNTIFS(Captura_NoFin!$A$2:$A$163,$A11,Captura_NoFin!$R$2:$R$163,"")</f>
        <v/>
      </c>
      <c r="E11" s="59">
        <f>COUNTIFS(Ratios_NoFin!$A$2:$A$163,$A11,Ratios_NoFin!$P$2:$P$163,"REVISAR")</f>
        <v/>
      </c>
      <c r="F11" s="60">
        <f>IFERROR(AVERAGEIFS(Ratios_NoFin!$O$2:$O$163,Ratios_NoFin!$A$2:$A$163,$A11),0)</f>
        <v/>
      </c>
      <c r="G11" s="59">
        <f>IF(D11=0,IF(E11=0,"COMPLETA","REVISAR CUADRE"),"PENDIENTE")</f>
        <v/>
      </c>
    </row>
    <row r="12" ht="15" customHeight="1" s="31">
      <c r="A12" s="58" t="inlineStr">
        <is>
          <t>ANDINA-B</t>
        </is>
      </c>
      <c r="B12" s="59" t="inlineStr">
        <is>
          <t>No financiera</t>
        </is>
      </c>
      <c r="C12" s="59">
        <f>COUNTIFS(Captura_NoFin!$A$2:$A$163,$A12,Captura_NoFin!$H$2:$H$163,"&lt;&gt;")</f>
        <v/>
      </c>
      <c r="D12" s="59">
        <f>COUNTIFS(Captura_NoFin!$A$2:$A$163,$A12,Captura_NoFin!$F$2:$F$163,"")+COUNTIFS(Captura_NoFin!$A$2:$A$163,$A12,Captura_NoFin!$G$2:$G$163,"")+COUNTIFS(Captura_NoFin!$A$2:$A$163,$A12,Captura_NoFin!$H$2:$H$163,"")+COUNTIFS(Captura_NoFin!$A$2:$A$163,$A12,Captura_NoFin!$I$2:$I$163,"")+COUNTIFS(Captura_NoFin!$A$2:$A$163,$A12,Captura_NoFin!$J$2:$J$163,"")+COUNTIFS(Captura_NoFin!$A$2:$A$163,$A12,Captura_NoFin!$K$2:$K$163,"")+COUNTIFS(Captura_NoFin!$A$2:$A$163,$A12,Captura_NoFin!$L$2:$L$163,"")+COUNTIFS(Captura_NoFin!$A$2:$A$163,$A12,Captura_NoFin!$M$2:$M$163,"")+COUNTIFS(Captura_NoFin!$A$2:$A$163,$A12,Captura_NoFin!$N$2:$N$163,"")+COUNTIFS(Captura_NoFin!$A$2:$A$163,$A12,Captura_NoFin!$R$2:$R$163,"")</f>
        <v/>
      </c>
      <c r="E12" s="59">
        <f>COUNTIFS(Ratios_NoFin!$A$2:$A$163,$A12,Ratios_NoFin!$P$2:$P$163,"REVISAR")</f>
        <v/>
      </c>
      <c r="F12" s="60">
        <f>IFERROR(AVERAGEIFS(Ratios_NoFin!$O$2:$O$163,Ratios_NoFin!$A$2:$A$163,$A12),0)</f>
        <v/>
      </c>
      <c r="G12" s="59">
        <f>IF(D12=0,IF(E12=0,"COMPLETA","REVISAR CUADRE"),"PENDIENTE")</f>
        <v/>
      </c>
    </row>
    <row r="13" ht="15" customHeight="1" s="31">
      <c r="A13" s="58" t="inlineStr">
        <is>
          <t>CONCHATORO</t>
        </is>
      </c>
      <c r="B13" s="59" t="inlineStr">
        <is>
          <t>No financiera</t>
        </is>
      </c>
      <c r="C13" s="59">
        <f>COUNTIFS(Captura_NoFin!$A$2:$A$163,$A13,Captura_NoFin!$H$2:$H$163,"&lt;&gt;")</f>
        <v/>
      </c>
      <c r="D13" s="59">
        <f>COUNTIFS(Captura_NoFin!$A$2:$A$163,$A13,Captura_NoFin!$F$2:$F$163,"")+COUNTIFS(Captura_NoFin!$A$2:$A$163,$A13,Captura_NoFin!$G$2:$G$163,"")+COUNTIFS(Captura_NoFin!$A$2:$A$163,$A13,Captura_NoFin!$H$2:$H$163,"")+COUNTIFS(Captura_NoFin!$A$2:$A$163,$A13,Captura_NoFin!$I$2:$I$163,"")+COUNTIFS(Captura_NoFin!$A$2:$A$163,$A13,Captura_NoFin!$J$2:$J$163,"")+COUNTIFS(Captura_NoFin!$A$2:$A$163,$A13,Captura_NoFin!$K$2:$K$163,"")+COUNTIFS(Captura_NoFin!$A$2:$A$163,$A13,Captura_NoFin!$L$2:$L$163,"")+COUNTIFS(Captura_NoFin!$A$2:$A$163,$A13,Captura_NoFin!$M$2:$M$163,"")+COUNTIFS(Captura_NoFin!$A$2:$A$163,$A13,Captura_NoFin!$N$2:$N$163,"")+COUNTIFS(Captura_NoFin!$A$2:$A$163,$A13,Captura_NoFin!$R$2:$R$163,"")</f>
        <v/>
      </c>
      <c r="E13" s="59">
        <f>COUNTIFS(Ratios_NoFin!$A$2:$A$163,$A13,Ratios_NoFin!$P$2:$P$163,"REVISAR")</f>
        <v/>
      </c>
      <c r="F13" s="60">
        <f>IFERROR(AVERAGEIFS(Ratios_NoFin!$O$2:$O$163,Ratios_NoFin!$A$2:$A$163,$A13),0)</f>
        <v/>
      </c>
      <c r="G13" s="59">
        <f>IF(D13=0,IF(E13=0,"COMPLETA","REVISAR CUADRE"),"PENDIENTE")</f>
        <v/>
      </c>
    </row>
    <row r="14" ht="15" customHeight="1" s="31">
      <c r="A14" s="58" t="inlineStr">
        <is>
          <t>LTM</t>
        </is>
      </c>
      <c r="B14" s="59" t="inlineStr">
        <is>
          <t>No financiera</t>
        </is>
      </c>
      <c r="C14" s="59">
        <f>COUNTIFS(Captura_NoFin!$A$2:$A$163,$A14,Captura_NoFin!$H$2:$H$163,"&lt;&gt;")</f>
        <v/>
      </c>
      <c r="D14" s="59">
        <f>COUNTIFS(Captura_NoFin!$A$2:$A$163,$A14,Captura_NoFin!$F$2:$F$163,"")+COUNTIFS(Captura_NoFin!$A$2:$A$163,$A14,Captura_NoFin!$G$2:$G$163,"")+COUNTIFS(Captura_NoFin!$A$2:$A$163,$A14,Captura_NoFin!$H$2:$H$163,"")+COUNTIFS(Captura_NoFin!$A$2:$A$163,$A14,Captura_NoFin!$I$2:$I$163,"")+COUNTIFS(Captura_NoFin!$A$2:$A$163,$A14,Captura_NoFin!$J$2:$J$163,"")+COUNTIFS(Captura_NoFin!$A$2:$A$163,$A14,Captura_NoFin!$K$2:$K$163,"")+COUNTIFS(Captura_NoFin!$A$2:$A$163,$A14,Captura_NoFin!$L$2:$L$163,"")+COUNTIFS(Captura_NoFin!$A$2:$A$163,$A14,Captura_NoFin!$M$2:$M$163,"")+COUNTIFS(Captura_NoFin!$A$2:$A$163,$A14,Captura_NoFin!$N$2:$N$163,"")+COUNTIFS(Captura_NoFin!$A$2:$A$163,$A14,Captura_NoFin!$R$2:$R$163,"")</f>
        <v/>
      </c>
      <c r="E14" s="59">
        <f>COUNTIFS(Ratios_NoFin!$A$2:$A$163,$A14,Ratios_NoFin!$P$2:$P$163,"REVISAR")</f>
        <v/>
      </c>
      <c r="F14" s="60">
        <f>IFERROR(AVERAGEIFS(Ratios_NoFin!$O$2:$O$163,Ratios_NoFin!$A$2:$A$163,$A14),0)</f>
        <v/>
      </c>
      <c r="G14" s="59">
        <f>IF(D14=0,IF(E14=0,"COMPLETA","REVISAR CUADRE"),"PENDIENTE")</f>
        <v/>
      </c>
    </row>
    <row r="15" ht="15" customHeight="1" s="31">
      <c r="A15" s="58" t="inlineStr">
        <is>
          <t>PARAUCO</t>
        </is>
      </c>
      <c r="B15" s="59" t="inlineStr">
        <is>
          <t>No financiera</t>
        </is>
      </c>
      <c r="C15" s="59">
        <f>COUNTIFS(Captura_NoFin!$A$2:$A$163,$A15,Captura_NoFin!$H$2:$H$163,"&lt;&gt;")</f>
        <v/>
      </c>
      <c r="D15" s="59">
        <f>COUNTIFS(Captura_NoFin!$A$2:$A$163,$A15,Captura_NoFin!$F$2:$F$163,"")+COUNTIFS(Captura_NoFin!$A$2:$A$163,$A15,Captura_NoFin!$G$2:$G$163,"")+COUNTIFS(Captura_NoFin!$A$2:$A$163,$A15,Captura_NoFin!$H$2:$H$163,"")+COUNTIFS(Captura_NoFin!$A$2:$A$163,$A15,Captura_NoFin!$I$2:$I$163,"")+COUNTIFS(Captura_NoFin!$A$2:$A$163,$A15,Captura_NoFin!$J$2:$J$163,"")+COUNTIFS(Captura_NoFin!$A$2:$A$163,$A15,Captura_NoFin!$K$2:$K$163,"")+COUNTIFS(Captura_NoFin!$A$2:$A$163,$A15,Captura_NoFin!$L$2:$L$163,"")+COUNTIFS(Captura_NoFin!$A$2:$A$163,$A15,Captura_NoFin!$M$2:$M$163,"")+COUNTIFS(Captura_NoFin!$A$2:$A$163,$A15,Captura_NoFin!$N$2:$N$163,"")+COUNTIFS(Captura_NoFin!$A$2:$A$163,$A15,Captura_NoFin!$R$2:$R$163,"")</f>
        <v/>
      </c>
      <c r="E15" s="59">
        <f>COUNTIFS(Ratios_NoFin!$A$2:$A$163,$A15,Ratios_NoFin!$P$2:$P$163,"REVISAR")</f>
        <v/>
      </c>
      <c r="F15" s="60">
        <f>IFERROR(AVERAGEIFS(Ratios_NoFin!$O$2:$O$163,Ratios_NoFin!$A$2:$A$163,$A15),0)</f>
        <v/>
      </c>
      <c r="G15" s="59">
        <f>IF(D15=0,IF(E15=0,"COMPLETA","REVISAR CUADRE"),"PENDIENTE")</f>
        <v/>
      </c>
    </row>
    <row r="16" ht="15" customHeight="1" s="31">
      <c r="A16" s="58" t="inlineStr">
        <is>
          <t>CAP</t>
        </is>
      </c>
      <c r="B16" s="59" t="inlineStr">
        <is>
          <t>No financiera</t>
        </is>
      </c>
      <c r="C16" s="59">
        <f>COUNTIFS(Captura_NoFin!$A$2:$A$163,$A16,Captura_NoFin!$H$2:$H$163,"&lt;&gt;")</f>
        <v/>
      </c>
      <c r="D16" s="59">
        <f>COUNTIFS(Captura_NoFin!$A$2:$A$163,$A16,Captura_NoFin!$F$2:$F$163,"")+COUNTIFS(Captura_NoFin!$A$2:$A$163,$A16,Captura_NoFin!$G$2:$G$163,"")+COUNTIFS(Captura_NoFin!$A$2:$A$163,$A16,Captura_NoFin!$H$2:$H$163,"")+COUNTIFS(Captura_NoFin!$A$2:$A$163,$A16,Captura_NoFin!$I$2:$I$163,"")+COUNTIFS(Captura_NoFin!$A$2:$A$163,$A16,Captura_NoFin!$J$2:$J$163,"")+COUNTIFS(Captura_NoFin!$A$2:$A$163,$A16,Captura_NoFin!$K$2:$K$163,"")+COUNTIFS(Captura_NoFin!$A$2:$A$163,$A16,Captura_NoFin!$L$2:$L$163,"")+COUNTIFS(Captura_NoFin!$A$2:$A$163,$A16,Captura_NoFin!$M$2:$M$163,"")+COUNTIFS(Captura_NoFin!$A$2:$A$163,$A16,Captura_NoFin!$N$2:$N$163,"")+COUNTIFS(Captura_NoFin!$A$2:$A$163,$A16,Captura_NoFin!$R$2:$R$163,"")</f>
        <v/>
      </c>
      <c r="E16" s="59">
        <f>COUNTIFS(Ratios_NoFin!$A$2:$A$163,$A16,Ratios_NoFin!$P$2:$P$163,"REVISAR")</f>
        <v/>
      </c>
      <c r="F16" s="60">
        <f>IFERROR(AVERAGEIFS(Ratios_NoFin!$O$2:$O$163,Ratios_NoFin!$A$2:$A$163,$A16),0)</f>
        <v/>
      </c>
      <c r="G16" s="59">
        <f>IF(D16=0,IF(E16=0,"COMPLETA","REVISAR CUADRE"),"PENDIENTE")</f>
        <v/>
      </c>
    </row>
    <row r="17" ht="15" customHeight="1" s="31">
      <c r="A17" s="58" t="inlineStr">
        <is>
          <t>CMPC</t>
        </is>
      </c>
      <c r="B17" s="59" t="inlineStr">
        <is>
          <t>No financiera</t>
        </is>
      </c>
      <c r="C17" s="59">
        <f>COUNTIFS(Captura_NoFin!$A$2:$A$163,$A17,Captura_NoFin!$H$2:$H$163,"&lt;&gt;")</f>
        <v/>
      </c>
      <c r="D17" s="59">
        <f>COUNTIFS(Captura_NoFin!$A$2:$A$163,$A17,Captura_NoFin!$F$2:$F$163,"")+COUNTIFS(Captura_NoFin!$A$2:$A$163,$A17,Captura_NoFin!$G$2:$G$163,"")+COUNTIFS(Captura_NoFin!$A$2:$A$163,$A17,Captura_NoFin!$H$2:$H$163,"")+COUNTIFS(Captura_NoFin!$A$2:$A$163,$A17,Captura_NoFin!$I$2:$I$163,"")+COUNTIFS(Captura_NoFin!$A$2:$A$163,$A17,Captura_NoFin!$J$2:$J$163,"")+COUNTIFS(Captura_NoFin!$A$2:$A$163,$A17,Captura_NoFin!$K$2:$K$163,"")+COUNTIFS(Captura_NoFin!$A$2:$A$163,$A17,Captura_NoFin!$L$2:$L$163,"")+COUNTIFS(Captura_NoFin!$A$2:$A$163,$A17,Captura_NoFin!$M$2:$M$163,"")+COUNTIFS(Captura_NoFin!$A$2:$A$163,$A17,Captura_NoFin!$N$2:$N$163,"")+COUNTIFS(Captura_NoFin!$A$2:$A$163,$A17,Captura_NoFin!$R$2:$R$163,"")</f>
        <v/>
      </c>
      <c r="E17" s="59">
        <f>COUNTIFS(Ratios_NoFin!$A$2:$A$163,$A17,Ratios_NoFin!$P$2:$P$163,"REVISAR")</f>
        <v/>
      </c>
      <c r="F17" s="60">
        <f>IFERROR(AVERAGEIFS(Ratios_NoFin!$O$2:$O$163,Ratios_NoFin!$A$2:$A$163,$A17),0)</f>
        <v/>
      </c>
      <c r="G17" s="59">
        <f>IF(D17=0,IF(E17=0,"COMPLETA","REVISAR CUADRE"),"PENDIENTE")</f>
        <v/>
      </c>
    </row>
    <row r="18" ht="15" customHeight="1" s="31">
      <c r="A18" s="58" t="inlineStr">
        <is>
          <t>SQM-B</t>
        </is>
      </c>
      <c r="B18" s="59" t="inlineStr">
        <is>
          <t>No financiera</t>
        </is>
      </c>
      <c r="C18" s="59">
        <f>COUNTIFS(Captura_NoFin!$A$2:$A$163,$A18,Captura_NoFin!$H$2:$H$163,"&lt;&gt;")</f>
        <v/>
      </c>
      <c r="D18" s="59">
        <f>COUNTIFS(Captura_NoFin!$A$2:$A$163,$A18,Captura_NoFin!$F$2:$F$163,"")+COUNTIFS(Captura_NoFin!$A$2:$A$163,$A18,Captura_NoFin!$G$2:$G$163,"")+COUNTIFS(Captura_NoFin!$A$2:$A$163,$A18,Captura_NoFin!$H$2:$H$163,"")+COUNTIFS(Captura_NoFin!$A$2:$A$163,$A18,Captura_NoFin!$I$2:$I$163,"")+COUNTIFS(Captura_NoFin!$A$2:$A$163,$A18,Captura_NoFin!$J$2:$J$163,"")+COUNTIFS(Captura_NoFin!$A$2:$A$163,$A18,Captura_NoFin!$K$2:$K$163,"")+COUNTIFS(Captura_NoFin!$A$2:$A$163,$A18,Captura_NoFin!$L$2:$L$163,"")+COUNTIFS(Captura_NoFin!$A$2:$A$163,$A18,Captura_NoFin!$M$2:$M$163,"")+COUNTIFS(Captura_NoFin!$A$2:$A$163,$A18,Captura_NoFin!$N$2:$N$163,"")+COUNTIFS(Captura_NoFin!$A$2:$A$163,$A18,Captura_NoFin!$R$2:$R$163,"")</f>
        <v/>
      </c>
      <c r="E18" s="59">
        <f>COUNTIFS(Ratios_NoFin!$A$2:$A$163,$A18,Ratios_NoFin!$P$2:$P$163,"REVISAR")</f>
        <v/>
      </c>
      <c r="F18" s="60">
        <f>IFERROR(AVERAGEIFS(Ratios_NoFin!$O$2:$O$163,Ratios_NoFin!$A$2:$A$163,$A18),0)</f>
        <v/>
      </c>
      <c r="G18" s="59">
        <f>IF(D18=0,IF(E18=0,"COMPLETA","REVISAR CUADRE"),"PENDIENTE")</f>
        <v/>
      </c>
    </row>
    <row r="19" ht="15" customHeight="1" s="31">
      <c r="A19" s="58" t="inlineStr">
        <is>
          <t>COPEC</t>
        </is>
      </c>
      <c r="B19" s="59" t="inlineStr">
        <is>
          <t>No financiera</t>
        </is>
      </c>
      <c r="C19" s="59">
        <f>COUNTIFS(Captura_NoFin!$A$2:$A$163,$A19,Captura_NoFin!$H$2:$H$163,"&lt;&gt;")</f>
        <v/>
      </c>
      <c r="D19" s="59">
        <f>COUNTIFS(Captura_NoFin!$A$2:$A$163,$A19,Captura_NoFin!$F$2:$F$163,"")+COUNTIFS(Captura_NoFin!$A$2:$A$163,$A19,Captura_NoFin!$G$2:$G$163,"")+COUNTIFS(Captura_NoFin!$A$2:$A$163,$A19,Captura_NoFin!$H$2:$H$163,"")+COUNTIFS(Captura_NoFin!$A$2:$A$163,$A19,Captura_NoFin!$I$2:$I$163,"")+COUNTIFS(Captura_NoFin!$A$2:$A$163,$A19,Captura_NoFin!$J$2:$J$163,"")+COUNTIFS(Captura_NoFin!$A$2:$A$163,$A19,Captura_NoFin!$K$2:$K$163,"")+COUNTIFS(Captura_NoFin!$A$2:$A$163,$A19,Captura_NoFin!$L$2:$L$163,"")+COUNTIFS(Captura_NoFin!$A$2:$A$163,$A19,Captura_NoFin!$M$2:$M$163,"")+COUNTIFS(Captura_NoFin!$A$2:$A$163,$A19,Captura_NoFin!$N$2:$N$163,"")+COUNTIFS(Captura_NoFin!$A$2:$A$163,$A19,Captura_NoFin!$R$2:$R$163,"")</f>
        <v/>
      </c>
      <c r="E19" s="59">
        <f>COUNTIFS(Ratios_NoFin!$A$2:$A$163,$A19,Ratios_NoFin!$P$2:$P$163,"REVISAR")</f>
        <v/>
      </c>
      <c r="F19" s="60">
        <f>IFERROR(AVERAGEIFS(Ratios_NoFin!$O$2:$O$163,Ratios_NoFin!$A$2:$A$163,$A19),0)</f>
        <v/>
      </c>
      <c r="G19" s="59">
        <f>IF(D19=0,IF(E19=0,"COMPLETA","REVISAR CUADRE"),"PENDIENTE")</f>
        <v/>
      </c>
    </row>
    <row r="20" ht="15" customHeight="1" s="31">
      <c r="A20" s="58" t="inlineStr">
        <is>
          <t>CHILE</t>
        </is>
      </c>
      <c r="B20" s="59" t="inlineStr">
        <is>
          <t>Financiera</t>
        </is>
      </c>
      <c r="C20" s="59">
        <f>COUNTIFS(Captura_Fin!$A$2:$A$37,$A20,Captura_Fin!$F$2:$F$37,"&lt;&gt;")</f>
        <v/>
      </c>
      <c r="D20" s="59">
        <f>COUNTIFS(Captura_Fin!$A$2:$A$37,$A20,Captura_Fin!$F$2:$F$37,"")+COUNTIFS(Captura_Fin!$A$2:$A$37,$A20,Captura_Fin!$G$2:$G$37,"")+COUNTIFS(Captura_Fin!$A$2:$A$37,$A20,Captura_Fin!$H$2:$H$37,"")+COUNTIFS(Captura_Fin!$A$2:$A$37,$A20,Captura_Fin!$I$2:$I$37,"")+COUNTIFS(Captura_Fin!$A$2:$A$37,$A20,Captura_Fin!$J$2:$J$37,"")+COUNTIFS(Captura_Fin!$A$2:$A$37,$A20,Captura_Fin!$L$2:$L$37,"")+COUNTIFS(Captura_Fin!$A$2:$A$37,$A20,Captura_Fin!$M$2:$M$37,"")+COUNTIFS(Captura_Fin!$A$2:$A$37,$A20,Captura_Fin!$N$2:$N$37,"")+COUNTIFS(Captura_Fin!$A$2:$A$37,$A20,Captura_Fin!$O$2:$O$37,"")+COUNTIFS(Captura_Fin!$A$2:$A$37,$A20,Captura_Fin!$P$2:$P$37,"")+COUNTIFS(Captura_Fin!$A$2:$A$37,$A20,Captura_Fin!$Q$2:$Q$37,"")</f>
        <v/>
      </c>
      <c r="E20" s="59">
        <f>COUNTIFS(Ratios_Fin!$A$2:$A$37,$A20,Ratios_Fin!$N$2:$N$37,"REVISAR")</f>
        <v/>
      </c>
      <c r="F20" s="60">
        <f>IFERROR(AVERAGEIFS(Ratios_Fin!$M$2:$M$37,Ratios_Fin!$A$2:$A$37,$A20),0)</f>
        <v/>
      </c>
      <c r="G20" s="59">
        <f>IF(D20=0,IF(E20=0,"COMPLETA","REVISAR CUADRE"),"PENDIENTE")</f>
        <v/>
      </c>
    </row>
    <row r="21" ht="15" customHeight="1" s="31">
      <c r="A21" s="58" t="inlineStr">
        <is>
          <t>BCI</t>
        </is>
      </c>
      <c r="B21" s="59" t="inlineStr">
        <is>
          <t>Financiera</t>
        </is>
      </c>
      <c r="C21" s="59">
        <f>COUNTIFS(Captura_Fin!$A$2:$A$37,$A21,Captura_Fin!$F$2:$F$37,"&lt;&gt;")</f>
        <v/>
      </c>
      <c r="D21" s="59">
        <f>COUNTIFS(Captura_Fin!$A$2:$A$37,$A21,Captura_Fin!$F$2:$F$37,"")+COUNTIFS(Captura_Fin!$A$2:$A$37,$A21,Captura_Fin!$G$2:$G$37,"")+COUNTIFS(Captura_Fin!$A$2:$A$37,$A21,Captura_Fin!$H$2:$H$37,"")+COUNTIFS(Captura_Fin!$A$2:$A$37,$A21,Captura_Fin!$I$2:$I$37,"")+COUNTIFS(Captura_Fin!$A$2:$A$37,$A21,Captura_Fin!$J$2:$J$37,"")+COUNTIFS(Captura_Fin!$A$2:$A$37,$A21,Captura_Fin!$L$2:$L$37,"")+COUNTIFS(Captura_Fin!$A$2:$A$37,$A21,Captura_Fin!$M$2:$M$37,"")+COUNTIFS(Captura_Fin!$A$2:$A$37,$A21,Captura_Fin!$N$2:$N$37,"")+COUNTIFS(Captura_Fin!$A$2:$A$37,$A21,Captura_Fin!$O$2:$O$37,"")+COUNTIFS(Captura_Fin!$A$2:$A$37,$A21,Captura_Fin!$P$2:$P$37,"")+COUNTIFS(Captura_Fin!$A$2:$A$37,$A21,Captura_Fin!$Q$2:$Q$37,"")</f>
        <v/>
      </c>
      <c r="E21" s="59">
        <f>COUNTIFS(Ratios_Fin!$A$2:$A$37,$A21,Ratios_Fin!$N$2:$N$37,"REVISAR")</f>
        <v/>
      </c>
      <c r="F21" s="60">
        <f>IFERROR(AVERAGEIFS(Ratios_Fin!$M$2:$M$37,Ratios_Fin!$A$2:$A$37,$A21),0)</f>
        <v/>
      </c>
      <c r="G21" s="59">
        <f>IF(D21=0,IF(E21=0,"COMPLETA","REVISAR CUADRE"),"PENDIENTE")</f>
        <v/>
      </c>
    </row>
    <row r="22" ht="15" customHeight="1" s="31">
      <c r="A22" s="58" t="inlineStr">
        <is>
          <t>BSANTANDER</t>
        </is>
      </c>
      <c r="B22" s="59" t="inlineStr">
        <is>
          <t>Financiera</t>
        </is>
      </c>
      <c r="C22" s="59">
        <f>COUNTIFS(Captura_Fin!$A$2:$A$37,$A22,Captura_Fin!$F$2:$F$37,"&lt;&gt;")</f>
        <v/>
      </c>
      <c r="D22" s="59">
        <f>COUNTIFS(Captura_Fin!$A$2:$A$37,$A22,Captura_Fin!$F$2:$F$37,"")+COUNTIFS(Captura_Fin!$A$2:$A$37,$A22,Captura_Fin!$G$2:$G$37,"")+COUNTIFS(Captura_Fin!$A$2:$A$37,$A22,Captura_Fin!$H$2:$H$37,"")+COUNTIFS(Captura_Fin!$A$2:$A$37,$A22,Captura_Fin!$I$2:$I$37,"")+COUNTIFS(Captura_Fin!$A$2:$A$37,$A22,Captura_Fin!$J$2:$J$37,"")+COUNTIFS(Captura_Fin!$A$2:$A$37,$A22,Captura_Fin!$L$2:$L$37,"")+COUNTIFS(Captura_Fin!$A$2:$A$37,$A22,Captura_Fin!$M$2:$M$37,"")+COUNTIFS(Captura_Fin!$A$2:$A$37,$A22,Captura_Fin!$N$2:$N$37,"")+COUNTIFS(Captura_Fin!$A$2:$A$37,$A22,Captura_Fin!$O$2:$O$37,"")+COUNTIFS(Captura_Fin!$A$2:$A$37,$A22,Captura_Fin!$P$2:$P$37,"")+COUNTIFS(Captura_Fin!$A$2:$A$37,$A22,Captura_Fin!$Q$2:$Q$37,"")</f>
        <v/>
      </c>
      <c r="E22" s="59">
        <f>COUNTIFS(Ratios_Fin!$A$2:$A$37,$A22,Ratios_Fin!$N$2:$N$37,"REVISAR")</f>
        <v/>
      </c>
      <c r="F22" s="60">
        <f>IFERROR(AVERAGEIFS(Ratios_Fin!$M$2:$M$37,Ratios_Fin!$A$2:$A$37,$A22),0)</f>
        <v/>
      </c>
      <c r="G22" s="59">
        <f>IF(D22=0,IF(E22=0,"COMPLETA","REVISAR CUADRE"),"PENDIENTE")</f>
        <v/>
      </c>
    </row>
    <row r="23" ht="15" customHeight="1" s="31">
      <c r="A23" s="58" t="inlineStr">
        <is>
          <t>ITAUCL</t>
        </is>
      </c>
      <c r="B23" s="59" t="inlineStr">
        <is>
          <t>Financiera</t>
        </is>
      </c>
      <c r="C23" s="59">
        <f>COUNTIFS(Captura_Fin!$A$2:$A$37,$A23,Captura_Fin!$F$2:$F$37,"&lt;&gt;")</f>
        <v/>
      </c>
      <c r="D23" s="59">
        <f>COUNTIFS(Captura_Fin!$A$2:$A$37,$A23,Captura_Fin!$F$2:$F$37,"")+COUNTIFS(Captura_Fin!$A$2:$A$37,$A23,Captura_Fin!$G$2:$G$37,"")+COUNTIFS(Captura_Fin!$A$2:$A$37,$A23,Captura_Fin!$H$2:$H$37,"")+COUNTIFS(Captura_Fin!$A$2:$A$37,$A23,Captura_Fin!$I$2:$I$37,"")+COUNTIFS(Captura_Fin!$A$2:$A$37,$A23,Captura_Fin!$J$2:$J$37,"")+COUNTIFS(Captura_Fin!$A$2:$A$37,$A23,Captura_Fin!$L$2:$L$37,"")+COUNTIFS(Captura_Fin!$A$2:$A$37,$A23,Captura_Fin!$M$2:$M$37,"")+COUNTIFS(Captura_Fin!$A$2:$A$37,$A23,Captura_Fin!$N$2:$N$37,"")+COUNTIFS(Captura_Fin!$A$2:$A$37,$A23,Captura_Fin!$O$2:$O$37,"")+COUNTIFS(Captura_Fin!$A$2:$A$37,$A23,Captura_Fin!$P$2:$P$37,"")+COUNTIFS(Captura_Fin!$A$2:$A$37,$A23,Captura_Fin!$Q$2:$Q$37,"")</f>
        <v/>
      </c>
      <c r="E23" s="59">
        <f>COUNTIFS(Ratios_Fin!$A$2:$A$37,$A23,Ratios_Fin!$N$2:$N$37,"REVISAR")</f>
        <v/>
      </c>
      <c r="F23" s="60">
        <f>IFERROR(AVERAGEIFS(Ratios_Fin!$M$2:$M$37,Ratios_Fin!$A$2:$A$37,$A23),0)</f>
        <v/>
      </c>
      <c r="G23" s="59">
        <f>IF(D23=0,IF(E23=0,"COMPLETA","REVISAR CUADRE"),"PENDIENTE")</f>
        <v/>
      </c>
    </row>
    <row r="25" ht="15" customHeight="1" s="31">
      <c r="A25" s="40" t="inlineStr">
        <is>
          <t>Empresas completas:</t>
        </is>
      </c>
      <c r="C25" s="57">
        <f>COUNTIF(G2:G23,"COMPLETA")&amp;" de 22"</f>
        <v/>
      </c>
    </row>
    <row r="26" ht="15" customHeight="1" s="31">
      <c r="A26" s="33" t="inlineStr">
        <is>
          <t>Tolerancia de cuadre: |Activo − Pasivo − Patrimonio| ≤ 0,5% del activo total.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9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style="31" min="1" max="1"/>
    <col width="15" customWidth="1" style="31" min="2" max="2"/>
    <col width="15" customWidth="1" style="31" min="3" max="3"/>
    <col width="15" customWidth="1" style="31" min="4" max="4"/>
    <col width="15" customWidth="1" style="31" min="5" max="5"/>
    <col width="15" customWidth="1" style="31" min="6" max="6"/>
    <col width="15" customWidth="1" style="31" min="7" max="7"/>
    <col width="15" customWidth="1" style="31" min="8" max="8"/>
    <col width="15" customWidth="1" style="31" min="9" max="9"/>
    <col width="15" customWidth="1" style="31" min="10" max="10"/>
    <col width="15" customWidth="1" style="31" min="11" max="11"/>
    <col width="15" customWidth="1" style="31" min="12" max="12"/>
    <col width="15" customWidth="1" style="31" min="13" max="13"/>
    <col width="15" customWidth="1" style="31" min="14" max="14"/>
    <col width="15" customWidth="1" style="31" min="15" max="15"/>
    <col width="15" customWidth="1" style="31" min="16" max="16"/>
    <col width="15" customWidth="1" style="31" min="17" max="17"/>
    <col width="15" customWidth="1" style="31" min="18" max="18"/>
    <col width="15" customWidth="1" style="31" min="19" max="19"/>
    <col width="15" customWidth="1" style="31" min="20" max="20"/>
    <col width="15" customWidth="1" style="31" min="21" max="21"/>
    <col width="15" customWidth="1" style="31" min="22" max="22"/>
  </cols>
  <sheetData>
    <row r="1">
      <c r="A1" s="61" t="inlineStr">
        <is>
          <t>nemotecnico</t>
        </is>
      </c>
      <c r="B1" s="61" t="inlineStr">
        <is>
          <t>sector</t>
        </is>
      </c>
      <c r="C1" s="61" t="inlineStr">
        <is>
          <t>anio</t>
        </is>
      </c>
      <c r="D1" s="61" t="inlineStr">
        <is>
          <t>F1_liquidez</t>
        </is>
      </c>
      <c r="E1" s="61" t="inlineStr">
        <is>
          <t>F2_capital_trabajo</t>
        </is>
      </c>
      <c r="F1" s="61" t="inlineStr">
        <is>
          <t>F3_eficiencia</t>
        </is>
      </c>
      <c r="G1" s="61" t="inlineStr">
        <is>
          <t>F4_rentabilidad_ROA</t>
        </is>
      </c>
      <c r="H1" s="61" t="inlineStr">
        <is>
          <t>F5_endeudamiento</t>
        </is>
      </c>
      <c r="I1" s="61" t="inlineStr">
        <is>
          <t>F6_cobertura</t>
        </is>
      </c>
      <c r="J1" s="61" t="inlineStr">
        <is>
          <t>F7_uso_activos</t>
        </is>
      </c>
      <c r="K1" s="61" t="inlineStr">
        <is>
          <t>F8_mercado_retorno</t>
        </is>
      </c>
      <c r="L1" s="61" t="inlineStr">
        <is>
          <t>EBIT</t>
        </is>
      </c>
      <c r="M1" s="61" t="inlineStr">
        <is>
          <t>z_F1_liquidez</t>
        </is>
      </c>
      <c r="N1" s="61" t="inlineStr">
        <is>
          <t>z_F2_capital_trabajo</t>
        </is>
      </c>
      <c r="O1" s="61" t="inlineStr">
        <is>
          <t>z_F3_eficiencia</t>
        </is>
      </c>
      <c r="P1" s="61" t="inlineStr">
        <is>
          <t>z_F4_rentabilidad_ROA</t>
        </is>
      </c>
      <c r="Q1" s="61" t="inlineStr">
        <is>
          <t>z_F5_endeudamiento</t>
        </is>
      </c>
      <c r="R1" s="61" t="inlineStr">
        <is>
          <t>z_F6_cobertura</t>
        </is>
      </c>
      <c r="S1" s="61" t="inlineStr">
        <is>
          <t>z_F7_uso_activos</t>
        </is>
      </c>
      <c r="T1" s="61" t="inlineStr">
        <is>
          <t>z_F8_mercado_retorno</t>
        </is>
      </c>
      <c r="U1" s="61" t="inlineStr">
        <is>
          <t>n_familias</t>
        </is>
      </c>
      <c r="V1" s="61" t="inlineStr">
        <is>
          <t>KPI</t>
        </is>
      </c>
      <c r="W1" s="63" t="inlineStr">
        <is>
          <t>KPI_PCA</t>
        </is>
      </c>
    </row>
    <row r="2">
      <c r="A2" s="30" t="inlineStr">
        <is>
          <t>ANDINA-B</t>
        </is>
      </c>
      <c r="B2" s="30" t="inlineStr">
        <is>
          <t>Consumo</t>
        </is>
      </c>
      <c r="C2" s="30" t="n">
        <v>2017</v>
      </c>
      <c r="D2" s="62" t="n">
        <v>1.130105947894484</v>
      </c>
      <c r="E2" s="62" t="n">
        <v>0.02634819422731884</v>
      </c>
      <c r="F2" s="62" t="n">
        <v>0.1222463852831217</v>
      </c>
      <c r="G2" s="62" t="n">
        <v>0.05626885703606896</v>
      </c>
      <c r="H2" s="62" t="n">
        <v>0.6154669557530462</v>
      </c>
      <c r="I2" s="62" t="n">
        <v>4.093031830337823</v>
      </c>
      <c r="J2" s="62" t="n">
        <v>0.874232377067918</v>
      </c>
      <c r="K2" s="62" t="n">
        <v>0.2697499079702923</v>
      </c>
      <c r="L2" s="30" t="n">
        <v>226018728</v>
      </c>
      <c r="M2" s="62" t="n">
        <v>-0.725284812893615</v>
      </c>
      <c r="N2" s="62" t="n">
        <v>-0.6635439440145224</v>
      </c>
      <c r="O2" s="62" t="n">
        <v>0.5545663659485414</v>
      </c>
      <c r="P2" s="62" t="n">
        <v>0.7429969261901833</v>
      </c>
      <c r="Q2" s="62" t="n">
        <v>-0.0510472091114109</v>
      </c>
      <c r="R2" s="62" t="n">
        <v>-0.1339088399582522</v>
      </c>
      <c r="S2" s="62" t="n">
        <v>0.8910739526124436</v>
      </c>
      <c r="T2" s="62" t="n">
        <v>0.59915095852941</v>
      </c>
      <c r="U2" s="30" t="n">
        <v>8</v>
      </c>
      <c r="V2" s="62" t="n">
        <v>0.1517504246628472</v>
      </c>
      <c r="W2" s="62" t="n">
        <v>0.04141890917222454</v>
      </c>
    </row>
    <row r="3">
      <c r="A3" s="30" t="inlineStr">
        <is>
          <t>ANDINA-B</t>
        </is>
      </c>
      <c r="B3" s="30" t="inlineStr">
        <is>
          <t>Consumo</t>
        </is>
      </c>
      <c r="C3" s="30" t="n">
        <v>2018</v>
      </c>
      <c r="D3" s="62" t="n">
        <v>1.14701101350417</v>
      </c>
      <c r="E3" s="62" t="n">
        <v>0.02787275787068789</v>
      </c>
      <c r="F3" s="62" t="n">
        <v>0.1243519017062018</v>
      </c>
      <c r="G3" s="62" t="n">
        <v>0.04400566252311963</v>
      </c>
      <c r="H3" s="62" t="n">
        <v>0.6099738477455985</v>
      </c>
      <c r="I3" s="62" t="n">
        <v>3.781360477370941</v>
      </c>
      <c r="J3" s="62" t="n">
        <v>0.755435654442184</v>
      </c>
      <c r="K3" s="62" t="n">
        <v>-0.1249855534161944</v>
      </c>
      <c r="L3" s="30" t="n">
        <v>208030261</v>
      </c>
      <c r="M3" s="62" t="n">
        <v>-0.6831125617414661</v>
      </c>
      <c r="N3" s="62" t="n">
        <v>-0.6478309559708003</v>
      </c>
      <c r="O3" s="62" t="n">
        <v>0.5963126186776082</v>
      </c>
      <c r="P3" s="62" t="n">
        <v>0.2421065825275061</v>
      </c>
      <c r="Q3" s="62" t="n">
        <v>0.008143353075060486</v>
      </c>
      <c r="R3" s="62" t="n">
        <v>-0.2396897892430804</v>
      </c>
      <c r="S3" s="62" t="n">
        <v>0.3071615488239063</v>
      </c>
      <c r="T3" s="62" t="n">
        <v>-0.7640623365960179</v>
      </c>
      <c r="U3" s="30" t="n">
        <v>8</v>
      </c>
      <c r="V3" s="62" t="n">
        <v>-0.1476214425559104</v>
      </c>
      <c r="W3" s="62" t="n">
        <v>-0.1017366097146209</v>
      </c>
    </row>
    <row r="4">
      <c r="A4" s="30" t="inlineStr">
        <is>
          <t>ANDINA-B</t>
        </is>
      </c>
      <c r="B4" s="30" t="inlineStr">
        <is>
          <t>Consumo</t>
        </is>
      </c>
      <c r="C4" s="30" t="n">
        <v>2019</v>
      </c>
      <c r="D4" s="62" t="n">
        <v>1.295914683640379</v>
      </c>
      <c r="E4" s="62" t="n">
        <v>0.05094871550895015</v>
      </c>
      <c r="F4" s="62" t="n">
        <v>0.1588634885573271</v>
      </c>
      <c r="G4" s="62" t="n">
        <v>0.07329569442577641</v>
      </c>
      <c r="H4" s="62" t="n">
        <v>0.5947616691855339</v>
      </c>
      <c r="I4" s="62" t="n">
        <v>6.116168142064039</v>
      </c>
      <c r="J4" s="62" t="n">
        <v>0.7440667050307175</v>
      </c>
      <c r="K4" s="62" t="n">
        <v>-0.1264798635823238</v>
      </c>
      <c r="L4" s="30" t="n">
        <v>282622136</v>
      </c>
      <c r="M4" s="62" t="n">
        <v>-0.3116497635809521</v>
      </c>
      <c r="N4" s="62" t="n">
        <v>-0.4099974958561551</v>
      </c>
      <c r="O4" s="62" t="n">
        <v>1.280576778755089</v>
      </c>
      <c r="P4" s="62" t="n">
        <v>1.438458326774944</v>
      </c>
      <c r="Q4" s="62" t="n">
        <v>0.1720610113170606</v>
      </c>
      <c r="R4" s="62" t="n">
        <v>0.5527416255073542</v>
      </c>
      <c r="S4" s="62" t="n">
        <v>0.251280625237201</v>
      </c>
      <c r="T4" s="62" t="n">
        <v>-0.7692229154767536</v>
      </c>
      <c r="U4" s="30" t="n">
        <v>8</v>
      </c>
      <c r="V4" s="62" t="n">
        <v>0.2755310240847234</v>
      </c>
      <c r="W4" s="62" t="n">
        <v>0.446738294584773</v>
      </c>
    </row>
    <row r="5">
      <c r="A5" s="30" t="inlineStr">
        <is>
          <t>ANDINA-B</t>
        </is>
      </c>
      <c r="B5" s="30" t="inlineStr">
        <is>
          <t>Consumo</t>
        </is>
      </c>
      <c r="C5" s="30" t="n">
        <v>2020</v>
      </c>
      <c r="D5" s="62" t="n">
        <v>2.108939743681379</v>
      </c>
      <c r="E5" s="62" t="n">
        <v>0.171254289715581</v>
      </c>
      <c r="F5" s="62" t="n">
        <v>0.1370771524339699</v>
      </c>
      <c r="G5" s="62" t="n">
        <v>0.05029169984253682</v>
      </c>
      <c r="H5" s="62" t="n">
        <v>0.6603191521432198</v>
      </c>
      <c r="I5" s="62" t="n">
        <v>4.250200806651662</v>
      </c>
      <c r="J5" s="62" t="n">
        <v>0.693724085444811</v>
      </c>
      <c r="K5" s="62" t="n">
        <v>-0.109651869519772</v>
      </c>
      <c r="L5" s="30" t="n">
        <v>232795556</v>
      </c>
      <c r="M5" s="62" t="n">
        <v>1.716564608174875</v>
      </c>
      <c r="N5" s="62" t="n">
        <v>0.8299376536693198</v>
      </c>
      <c r="O5" s="62" t="n">
        <v>0.8486172443261881</v>
      </c>
      <c r="P5" s="62" t="n">
        <v>0.4988598607923586</v>
      </c>
      <c r="Q5" s="62" t="n">
        <v>-0.5343485962374052</v>
      </c>
      <c r="R5" s="62" t="n">
        <v>-0.08056584467061935</v>
      </c>
      <c r="S5" s="62" t="n">
        <v>0.003835414917478055</v>
      </c>
      <c r="T5" s="62" t="n">
        <v>-0.7111076776012755</v>
      </c>
      <c r="U5" s="30" t="n">
        <v>8</v>
      </c>
      <c r="V5" s="62" t="n">
        <v>0.3214740829213649</v>
      </c>
      <c r="W5" s="62" t="n">
        <v>0.4639829003043822</v>
      </c>
    </row>
    <row r="6">
      <c r="A6" s="30" t="inlineStr">
        <is>
          <t>ANDINA-B</t>
        </is>
      </c>
      <c r="B6" s="30" t="inlineStr">
        <is>
          <t>Consumo</t>
        </is>
      </c>
      <c r="C6" s="30" t="n">
        <v>2021</v>
      </c>
      <c r="D6" s="62" t="n">
        <v>1.871312980045355</v>
      </c>
      <c r="E6" s="62" t="n">
        <v>0.156619871337604</v>
      </c>
      <c r="F6" s="62" t="n">
        <v>0.1155761614229128</v>
      </c>
      <c r="G6" s="62" t="n">
        <v>0.05330142008263831</v>
      </c>
      <c r="H6" s="62" t="n">
        <v>0.626146066327381</v>
      </c>
      <c r="I6" s="62" t="n">
        <v>4.834677675629905</v>
      </c>
      <c r="J6" s="62" t="n">
        <v>0.7524278169825533</v>
      </c>
      <c r="K6" s="62" t="n">
        <v>0.08296807817363794</v>
      </c>
      <c r="L6" s="30" t="n">
        <v>256201444</v>
      </c>
      <c r="M6" s="62" t="n">
        <v>1.12376859141236</v>
      </c>
      <c r="N6" s="62" t="n">
        <v>0.6791073213311933</v>
      </c>
      <c r="O6" s="62" t="n">
        <v>0.4223152716443736</v>
      </c>
      <c r="P6" s="62" t="n">
        <v>0.6217919241956636</v>
      </c>
      <c r="Q6" s="62" t="n">
        <v>-0.1661191424666886</v>
      </c>
      <c r="R6" s="62" t="n">
        <v>0.1178050272333898</v>
      </c>
      <c r="S6" s="62" t="n">
        <v>0.2923773564452045</v>
      </c>
      <c r="T6" s="62" t="n">
        <v>-0.04589743102318541</v>
      </c>
      <c r="U6" s="30" t="n">
        <v>8</v>
      </c>
      <c r="V6" s="62" t="n">
        <v>0.3806436148465389</v>
      </c>
      <c r="W6" s="62" t="n">
        <v>0.4324525857503886</v>
      </c>
    </row>
    <row r="7">
      <c r="A7" s="30" t="inlineStr">
        <is>
          <t>ANDINA-B</t>
        </is>
      </c>
      <c r="B7" s="30" t="inlineStr">
        <is>
          <t>Consumo</t>
        </is>
      </c>
      <c r="C7" s="30" t="n">
        <v>2022</v>
      </c>
      <c r="D7" s="62" t="n">
        <v>1.223845506697114</v>
      </c>
      <c r="E7" s="62" t="n">
        <v>0.07057634940716641</v>
      </c>
      <c r="F7" s="62" t="n">
        <v>0.1100357391404058</v>
      </c>
      <c r="G7" s="62" t="n">
        <v>0.04266747304641574</v>
      </c>
      <c r="H7" s="62" t="n">
        <v>0.7065790434472118</v>
      </c>
      <c r="I7" s="62" t="n">
        <v>4.909515159992149</v>
      </c>
      <c r="J7" s="62" t="n">
        <v>0.882478446652135</v>
      </c>
      <c r="K7" s="62" t="n">
        <v>0.2117826905090419</v>
      </c>
      <c r="L7" s="30" t="n">
        <v>292351578</v>
      </c>
      <c r="M7" s="62" t="n">
        <v>-0.4914372604504497</v>
      </c>
      <c r="N7" s="62" t="n">
        <v>-0.2077043491511151</v>
      </c>
      <c r="O7" s="62" t="n">
        <v>0.3124648490611364</v>
      </c>
      <c r="P7" s="62" t="n">
        <v>0.1874482154793277</v>
      </c>
      <c r="Q7" s="62" t="n">
        <v>-1.032818491469007</v>
      </c>
      <c r="R7" s="62" t="n">
        <v>0.1432047954911027</v>
      </c>
      <c r="S7" s="62" t="n">
        <v>0.9316052249093839</v>
      </c>
      <c r="T7" s="62" t="n">
        <v>0.3989619984419528</v>
      </c>
      <c r="U7" s="30" t="n">
        <v>8</v>
      </c>
      <c r="V7" s="62" t="n">
        <v>0.03021562278904147</v>
      </c>
      <c r="W7" s="62" t="n">
        <v>-0.09551325357217043</v>
      </c>
    </row>
    <row r="8">
      <c r="A8" s="30" t="inlineStr">
        <is>
          <t>ANDINA-B</t>
        </is>
      </c>
      <c r="B8" s="30" t="inlineStr">
        <is>
          <t>Consumo</t>
        </is>
      </c>
      <c r="C8" s="30" t="n">
        <v>2023</v>
      </c>
      <c r="D8" s="62" t="n">
        <v>1.416960166581933</v>
      </c>
      <c r="E8" s="62" t="n">
        <v>0.09888675863580314</v>
      </c>
      <c r="F8" s="62" t="n">
        <v>0.1244231346906559</v>
      </c>
      <c r="G8" s="62" t="n">
        <v>0.05973309575059486</v>
      </c>
      <c r="H8" s="62" t="n">
        <v>0.6847582307326093</v>
      </c>
      <c r="I8" s="62" t="n">
        <v>4.990080711487403</v>
      </c>
      <c r="J8" s="62" t="n">
        <v>0.8962581995764056</v>
      </c>
      <c r="K8" s="62" t="n">
        <v>0.1323897675680428</v>
      </c>
      <c r="L8" s="30" t="n">
        <v>325794146</v>
      </c>
      <c r="M8" s="62" t="n">
        <v>-0.009683440272536653</v>
      </c>
      <c r="N8" s="62" t="n">
        <v>0.08407823641508469</v>
      </c>
      <c r="O8" s="62" t="n">
        <v>0.5977249611029967</v>
      </c>
      <c r="P8" s="62" t="n">
        <v>0.8844938027516812</v>
      </c>
      <c r="Q8" s="62" t="n">
        <v>-0.7976900049743219</v>
      </c>
      <c r="R8" s="62" t="n">
        <v>0.1705486640747811</v>
      </c>
      <c r="S8" s="62" t="n">
        <v>0.9993357857849747</v>
      </c>
      <c r="T8" s="62" t="n">
        <v>0.124779669568108</v>
      </c>
      <c r="U8" s="30" t="n">
        <v>8</v>
      </c>
      <c r="V8" s="62" t="n">
        <v>0.256698459306346</v>
      </c>
      <c r="W8" s="62" t="n">
        <v>0.2105248516046743</v>
      </c>
    </row>
    <row r="9">
      <c r="A9" s="30" t="inlineStr">
        <is>
          <t>ANDINA-B</t>
        </is>
      </c>
      <c r="B9" s="30" t="inlineStr">
        <is>
          <t>Consumo</t>
        </is>
      </c>
      <c r="C9" s="30" t="n">
        <v>2024</v>
      </c>
      <c r="D9" s="62" t="n">
        <v>1.118139883626487</v>
      </c>
      <c r="E9" s="62" t="n">
        <v>0.03252760688205639</v>
      </c>
      <c r="F9" s="62" t="n">
        <v>0.1359860324362631</v>
      </c>
      <c r="G9" s="62" t="n">
        <v>0.07129647241049296</v>
      </c>
      <c r="H9" s="62" t="n">
        <v>0.6917760922004066</v>
      </c>
      <c r="I9" s="62" t="n">
        <v>6.226764315781307</v>
      </c>
      <c r="J9" s="62" t="n">
        <v>0.97968120653344</v>
      </c>
      <c r="K9" s="62" t="n">
        <v>0.4494509531800555</v>
      </c>
      <c r="L9" s="30" t="n">
        <v>438450654</v>
      </c>
      <c r="M9" s="62" t="n">
        <v>-0.7551359758091606</v>
      </c>
      <c r="N9" s="62" t="n">
        <v>-0.5998555321968653</v>
      </c>
      <c r="O9" s="62" t="n">
        <v>0.826983515573137</v>
      </c>
      <c r="P9" s="62" t="n">
        <v>1.356800076860054</v>
      </c>
      <c r="Q9" s="62" t="n">
        <v>-0.8733104306172355</v>
      </c>
      <c r="R9" s="62" t="n">
        <v>0.5902778576047761</v>
      </c>
      <c r="S9" s="62" t="n">
        <v>1.409378482644676</v>
      </c>
      <c r="T9" s="62" t="n">
        <v>1.219745959336882</v>
      </c>
      <c r="U9" s="30" t="n">
        <v>8</v>
      </c>
      <c r="V9" s="62" t="n">
        <v>0.396860494174533</v>
      </c>
      <c r="W9" s="62" t="n">
        <v>0.2304495744209019</v>
      </c>
    </row>
    <row r="10">
      <c r="A10" s="30" t="inlineStr">
        <is>
          <t>ANDINA-B</t>
        </is>
      </c>
      <c r="B10" s="30" t="inlineStr">
        <is>
          <t>Consumo</t>
        </is>
      </c>
      <c r="C10" s="30" t="n">
        <v>2025</v>
      </c>
      <c r="D10" s="62" t="n">
        <v>1.41434156309783</v>
      </c>
      <c r="E10" s="62" t="n">
        <v>0.08848081645741329</v>
      </c>
      <c r="F10" s="62" t="n">
        <v>0.1341927601217881</v>
      </c>
      <c r="G10" s="62" t="n">
        <v>0.07907758933388521</v>
      </c>
      <c r="H10" s="62" t="n">
        <v>0.6501719235669857</v>
      </c>
      <c r="I10" s="62" t="n">
        <v>6.579642288072576</v>
      </c>
      <c r="J10" s="62" t="n">
        <v>0.9779062544450688</v>
      </c>
      <c r="K10" s="62" t="n">
        <v>0.4886336270218461</v>
      </c>
      <c r="L10" s="30" t="n">
        <v>448852755</v>
      </c>
      <c r="M10" s="62" t="n">
        <v>-0.01621594398173523</v>
      </c>
      <c r="N10" s="62" t="n">
        <v>-0.02317110390853352</v>
      </c>
      <c r="O10" s="62" t="n">
        <v>0.7914281532727097</v>
      </c>
      <c r="P10" s="62" t="n">
        <v>1.674619901516824</v>
      </c>
      <c r="Q10" s="62" t="n">
        <v>-0.4250079163804678</v>
      </c>
      <c r="R10" s="62" t="n">
        <v>0.7100442927786951</v>
      </c>
      <c r="S10" s="62" t="n">
        <v>1.40065419701101</v>
      </c>
      <c r="T10" s="62" t="n">
        <v>1.355062765514056</v>
      </c>
      <c r="U10" s="30" t="n">
        <v>8</v>
      </c>
      <c r="V10" s="62" t="n">
        <v>0.6834267932278197</v>
      </c>
      <c r="W10" s="62" t="n">
        <v>0.5552447760620403</v>
      </c>
    </row>
    <row r="11">
      <c r="A11" s="30" t="inlineStr">
        <is>
          <t>CCU</t>
        </is>
      </c>
      <c r="B11" s="30" t="inlineStr">
        <is>
          <t>Consumo</t>
        </is>
      </c>
      <c r="C11" s="30" t="n">
        <v>2017</v>
      </c>
      <c r="D11" s="62" t="n">
        <v>1.555429121512259</v>
      </c>
      <c r="E11" s="62" t="n">
        <v>0.1317443912310962</v>
      </c>
      <c r="F11" s="62" t="n">
        <v>0.1299139198099035</v>
      </c>
      <c r="G11" s="62" t="n">
        <v>0.07494496461684758</v>
      </c>
      <c r="H11" s="62" t="n">
        <v>0.3792072912648107</v>
      </c>
      <c r="I11" s="62" t="n">
        <v>9.13009394523691</v>
      </c>
      <c r="J11" s="62" t="n">
        <v>0.8593946952669258</v>
      </c>
      <c r="K11" s="62" t="n">
        <v>0.3489418328360692</v>
      </c>
      <c r="L11" s="30" t="n">
        <v>220640708</v>
      </c>
      <c r="M11" s="62" t="n">
        <v>0.3357483775579407</v>
      </c>
      <c r="N11" s="62" t="n">
        <v>0.4227269969049562</v>
      </c>
      <c r="O11" s="62" t="n">
        <v>0.7065912234396226</v>
      </c>
      <c r="P11" s="62" t="n">
        <v>1.505822789756096</v>
      </c>
      <c r="Q11" s="62" t="n">
        <v>2.450525234453298</v>
      </c>
      <c r="R11" s="62" t="n">
        <v>1.575665065530863</v>
      </c>
      <c r="S11" s="62" t="n">
        <v>0.8181434352078331</v>
      </c>
      <c r="T11" s="62" t="n">
        <v>0.872639143412555</v>
      </c>
      <c r="U11" s="30" t="n">
        <v>8</v>
      </c>
      <c r="V11" s="62" t="n">
        <v>1.085982783282895</v>
      </c>
      <c r="W11" s="62" t="n">
        <v>1.160696802898595</v>
      </c>
    </row>
    <row r="12">
      <c r="A12" s="30" t="inlineStr">
        <is>
          <t>CCU</t>
        </is>
      </c>
      <c r="B12" s="30" t="inlineStr">
        <is>
          <t>Consumo</t>
        </is>
      </c>
      <c r="C12" s="30" t="n">
        <v>2018</v>
      </c>
      <c r="D12" s="62" t="n">
        <v>1.457289650011515</v>
      </c>
      <c r="E12" s="62" t="n">
        <v>0.1227346606354519</v>
      </c>
      <c r="F12" s="62" t="n">
        <v>0.270160254494799</v>
      </c>
      <c r="G12" s="62" t="n">
        <v>0.1338747362156554</v>
      </c>
      <c r="H12" s="62" t="n">
        <v>0.4226126605189666</v>
      </c>
      <c r="I12" s="62" t="n">
        <v>20.44815251795557</v>
      </c>
      <c r="J12" s="62" t="n">
        <v>0.741222969394679</v>
      </c>
      <c r="K12" s="62" t="n">
        <v>-0.01388919933990407</v>
      </c>
      <c r="L12" s="30" t="n">
        <v>481772010</v>
      </c>
      <c r="M12" s="62" t="n">
        <v>0.09092457529495608</v>
      </c>
      <c r="N12" s="62" t="n">
        <v>0.329867777978767</v>
      </c>
      <c r="O12" s="62" t="n">
        <v>3.013402973031773</v>
      </c>
      <c r="P12" s="62" t="n">
        <v>2.726569293744898</v>
      </c>
      <c r="Q12" s="62" t="n">
        <v>2.027039393137056</v>
      </c>
      <c r="R12" s="62" t="n">
        <v>3.706840722748813</v>
      </c>
      <c r="S12" s="62" t="n">
        <v>0.2373030299443604</v>
      </c>
      <c r="T12" s="62" t="n">
        <v>-0.3803926597324086</v>
      </c>
      <c r="U12" s="30" t="n">
        <v>8</v>
      </c>
      <c r="V12" s="62" t="n">
        <v>1.468944388268527</v>
      </c>
      <c r="W12" s="62" t="n">
        <v>1.912800965544229</v>
      </c>
    </row>
    <row r="13">
      <c r="A13" s="30" t="inlineStr">
        <is>
          <t>CCU</t>
        </is>
      </c>
      <c r="B13" s="30" t="inlineStr">
        <is>
          <t>Consumo</t>
        </is>
      </c>
      <c r="C13" s="30" t="n">
        <v>2019</v>
      </c>
      <c r="D13" s="62" t="n">
        <v>1.633170208144894</v>
      </c>
      <c r="E13" s="62" t="n">
        <v>0.1300084841988292</v>
      </c>
      <c r="F13" s="62" t="n">
        <v>0.1170573460176621</v>
      </c>
      <c r="G13" s="62" t="n">
        <v>0.0618796935101474</v>
      </c>
      <c r="H13" s="62" t="n">
        <v>0.3869512190291965</v>
      </c>
      <c r="I13" s="62" t="n">
        <v>7.696255940117033</v>
      </c>
      <c r="J13" s="62" t="n">
        <v>0.7743331297350736</v>
      </c>
      <c r="K13" s="62" t="n">
        <v>-0.1189611916670855</v>
      </c>
      <c r="L13" s="30" t="n">
        <v>213341777</v>
      </c>
      <c r="M13" s="62" t="n">
        <v>0.5296853137407876</v>
      </c>
      <c r="N13" s="62" t="n">
        <v>0.4048357881242273</v>
      </c>
      <c r="O13" s="62" t="n">
        <v>0.4516828442517394</v>
      </c>
      <c r="P13" s="62" t="n">
        <v>0.9721716169095206</v>
      </c>
      <c r="Q13" s="62" t="n">
        <v>2.411306508820477</v>
      </c>
      <c r="R13" s="62" t="n">
        <v>1.089021863136957</v>
      </c>
      <c r="S13" s="62" t="n">
        <v>0.4000468572727723</v>
      </c>
      <c r="T13" s="62" t="n">
        <v>-0.7432572890784109</v>
      </c>
      <c r="U13" s="30" t="n">
        <v>8</v>
      </c>
      <c r="V13" s="62" t="n">
        <v>0.6894366878972588</v>
      </c>
      <c r="W13" s="62" t="n">
        <v>0.902543892175329</v>
      </c>
    </row>
    <row r="14">
      <c r="A14" s="30" t="inlineStr">
        <is>
          <t>CCU</t>
        </is>
      </c>
      <c r="B14" s="30" t="inlineStr">
        <is>
          <t>Consumo</t>
        </is>
      </c>
      <c r="C14" s="30" t="n">
        <v>2020</v>
      </c>
      <c r="D14" s="62" t="n">
        <v>1.840770452929762</v>
      </c>
      <c r="E14" s="62" t="n">
        <v>0.1736331124362002</v>
      </c>
      <c r="F14" s="62" t="n">
        <v>0.09276374109193108</v>
      </c>
      <c r="G14" s="62" t="n">
        <v>0.04284373770743043</v>
      </c>
      <c r="H14" s="62" t="n">
        <v>0.4421263632992896</v>
      </c>
      <c r="I14" s="62" t="n">
        <v>6.001147904425786</v>
      </c>
      <c r="J14" s="62" t="n">
        <v>0.7355826261020486</v>
      </c>
      <c r="K14" s="62" t="n">
        <v>-0.2606616988593771</v>
      </c>
      <c r="L14" s="30" t="n">
        <v>172317339</v>
      </c>
      <c r="M14" s="62" t="n">
        <v>1.047575623335257</v>
      </c>
      <c r="N14" s="62" t="n">
        <v>0.8544551037146481</v>
      </c>
      <c r="O14" s="62" t="n">
        <v>-0.02998852141070155</v>
      </c>
      <c r="P14" s="62" t="n">
        <v>0.1946477479125781</v>
      </c>
      <c r="Q14" s="62" t="n">
        <v>1.816770992016778</v>
      </c>
      <c r="R14" s="62" t="n">
        <v>0.5137038704858533</v>
      </c>
      <c r="S14" s="62" t="n">
        <v>0.2095794838952968</v>
      </c>
      <c r="T14" s="62" t="n">
        <v>-1.232617972945161</v>
      </c>
      <c r="U14" s="30" t="n">
        <v>8</v>
      </c>
      <c r="V14" s="62" t="n">
        <v>0.4217657908755686</v>
      </c>
      <c r="W14" s="62" t="n">
        <v>0.6268595272743038</v>
      </c>
    </row>
    <row r="15">
      <c r="A15" s="30" t="inlineStr">
        <is>
          <t>CCU</t>
        </is>
      </c>
      <c r="B15" s="30" t="inlineStr">
        <is>
          <t>Consumo</t>
        </is>
      </c>
      <c r="C15" s="30" t="n">
        <v>2021</v>
      </c>
      <c r="D15" s="62" t="n">
        <v>1.397197602324668</v>
      </c>
      <c r="E15" s="62" t="n">
        <v>0.1089864022396283</v>
      </c>
      <c r="F15" s="62" t="n">
        <v>0.135766603528035</v>
      </c>
      <c r="G15" s="62" t="n">
        <v>0.07694761815556941</v>
      </c>
      <c r="H15" s="62" t="n">
        <v>0.4992482711790116</v>
      </c>
      <c r="I15" s="62" t="n">
        <v>9.459794821120392</v>
      </c>
      <c r="J15" s="62" t="n">
        <v>0.8728240007064588</v>
      </c>
      <c r="K15" s="62" t="n">
        <v>0.4813253377981346</v>
      </c>
      <c r="L15" s="30" t="n">
        <v>337340947</v>
      </c>
      <c r="M15" s="62" t="n">
        <v>-0.05898415536649993</v>
      </c>
      <c r="N15" s="62" t="n">
        <v>0.1881706958430594</v>
      </c>
      <c r="O15" s="62" t="n">
        <v>0.8226328799957849</v>
      </c>
      <c r="P15" s="62" t="n">
        <v>1.587621200291656</v>
      </c>
      <c r="Q15" s="62" t="n">
        <v>1.201258273901568</v>
      </c>
      <c r="R15" s="62" t="n">
        <v>1.687565217081525</v>
      </c>
      <c r="S15" s="62" t="n">
        <v>0.8841514684859292</v>
      </c>
      <c r="T15" s="62" t="n">
        <v>1.32982369274519</v>
      </c>
      <c r="U15" s="30" t="n">
        <v>8</v>
      </c>
      <c r="V15" s="62" t="n">
        <v>0.9552799091222767</v>
      </c>
      <c r="W15" s="62" t="n">
        <v>0.9522858966000942</v>
      </c>
    </row>
    <row r="16">
      <c r="A16" s="30" t="inlineStr">
        <is>
          <t>CCU</t>
        </is>
      </c>
      <c r="B16" s="30" t="inlineStr">
        <is>
          <t>Consumo</t>
        </is>
      </c>
      <c r="C16" s="30" t="n">
        <v>2022</v>
      </c>
      <c r="D16" s="62" t="n">
        <v>2.084856534713901</v>
      </c>
      <c r="E16" s="62" t="n">
        <v>0.2405499342438785</v>
      </c>
      <c r="F16" s="62" t="n">
        <v>0.07806909406258786</v>
      </c>
      <c r="G16" s="62" t="n">
        <v>0.03768608500436507</v>
      </c>
      <c r="H16" s="62" t="n">
        <v>0.6005737116241529</v>
      </c>
      <c r="I16" s="62" t="n">
        <v>2.787789156914101</v>
      </c>
      <c r="J16" s="62" t="n">
        <v>0.7542073383751384</v>
      </c>
      <c r="K16" s="62" t="n">
        <v>-0.1328779439823621</v>
      </c>
      <c r="L16" s="30" t="n">
        <v>211679270</v>
      </c>
      <c r="M16" s="62" t="n">
        <v>1.656485389284161</v>
      </c>
      <c r="N16" s="62" t="n">
        <v>1.544136525386463</v>
      </c>
      <c r="O16" s="62" t="n">
        <v>-0.3213405345923479</v>
      </c>
      <c r="P16" s="62" t="n">
        <v>-0.01601664562722779</v>
      </c>
      <c r="Q16" s="62" t="n">
        <v>0.1094337957358164</v>
      </c>
      <c r="R16" s="62" t="n">
        <v>-0.5769069138187629</v>
      </c>
      <c r="S16" s="62" t="n">
        <v>0.3011241012288219</v>
      </c>
      <c r="T16" s="62" t="n">
        <v>-0.7913185950338379</v>
      </c>
      <c r="U16" s="30" t="n">
        <v>8</v>
      </c>
      <c r="V16" s="62" t="n">
        <v>0.2381996403203857</v>
      </c>
      <c r="W16" s="62" t="n">
        <v>0.3131396818893872</v>
      </c>
    </row>
    <row r="17">
      <c r="A17" s="30" t="inlineStr">
        <is>
          <t>CCU</t>
        </is>
      </c>
      <c r="B17" s="30" t="inlineStr">
        <is>
          <t>Consumo</t>
        </is>
      </c>
      <c r="C17" s="30" t="n">
        <v>2023</v>
      </c>
      <c r="D17" s="62" t="n">
        <v>2.329779703206292</v>
      </c>
      <c r="E17" s="62" t="n">
        <v>0.2670019849143194</v>
      </c>
      <c r="F17" s="62" t="n">
        <v>0.07023087053821148</v>
      </c>
      <c r="G17" s="62" t="n">
        <v>0.03458741268569202</v>
      </c>
      <c r="H17" s="62" t="n">
        <v>0.6094031647599331</v>
      </c>
      <c r="I17" s="62" t="n">
        <v>2.339315836994662</v>
      </c>
      <c r="J17" s="62" t="n">
        <v>0.7492979904462753</v>
      </c>
      <c r="K17" s="62" t="n">
        <v>0.01064700270609498</v>
      </c>
      <c r="L17" s="30" t="n">
        <v>180181236</v>
      </c>
      <c r="M17" s="62" t="n">
        <v>2.145003747127018</v>
      </c>
      <c r="N17" s="62" t="n">
        <v>1.816765849668435</v>
      </c>
      <c r="O17" s="62" t="n">
        <v>-0.4767496573180992</v>
      </c>
      <c r="P17" s="62" t="n">
        <v>-0.142581957867789</v>
      </c>
      <c r="Q17" s="62" t="n">
        <v>0.01429270362596753</v>
      </c>
      <c r="R17" s="62" t="n">
        <v>-0.7291183155353578</v>
      </c>
      <c r="S17" s="62" t="n">
        <v>0.2769935605302542</v>
      </c>
      <c r="T17" s="62" t="n">
        <v>-0.2956572353458964</v>
      </c>
      <c r="U17" s="30" t="n">
        <v>8</v>
      </c>
      <c r="V17" s="62" t="n">
        <v>0.3261185868605666</v>
      </c>
      <c r="W17" s="62" t="n">
        <v>0.3489499519619267</v>
      </c>
    </row>
    <row r="18">
      <c r="A18" s="30" t="inlineStr">
        <is>
          <t>CCU</t>
        </is>
      </c>
      <c r="B18" s="30" t="inlineStr">
        <is>
          <t>Consumo</t>
        </is>
      </c>
      <c r="C18" s="30" t="n">
        <v>2024</v>
      </c>
      <c r="D18" s="62" t="n">
        <v>2.059597730044766</v>
      </c>
      <c r="E18" s="62" t="n">
        <v>0.2284023230930974</v>
      </c>
      <c r="F18" s="62" t="n">
        <v>0.09044206946555887</v>
      </c>
      <c r="G18" s="62" t="n">
        <v>0.04424995493226701</v>
      </c>
      <c r="H18" s="62" t="n">
        <v>0.580793496332681</v>
      </c>
      <c r="I18" s="62" t="n">
        <v>2.703589249237778</v>
      </c>
      <c r="J18" s="62" t="n">
        <v>0.7280131551386054</v>
      </c>
      <c r="K18" s="62" t="n">
        <v>0.06100840089533799</v>
      </c>
      <c r="L18" s="30" t="n">
        <v>262695001</v>
      </c>
      <c r="M18" s="62" t="n">
        <v>1.5934734685437</v>
      </c>
      <c r="N18" s="62" t="n">
        <v>1.418936590570882</v>
      </c>
      <c r="O18" s="62" t="n">
        <v>-0.07602050169165184</v>
      </c>
      <c r="P18" s="62" t="n">
        <v>0.2520847092417816</v>
      </c>
      <c r="Q18" s="62" t="n">
        <v>0.3225739818898567</v>
      </c>
      <c r="R18" s="62" t="n">
        <v>-0.6054842792997758</v>
      </c>
      <c r="S18" s="62" t="n">
        <v>0.1723738448172185</v>
      </c>
      <c r="T18" s="62" t="n">
        <v>-0.1217348638124632</v>
      </c>
      <c r="U18" s="30" t="n">
        <v>8</v>
      </c>
      <c r="V18" s="62" t="n">
        <v>0.3695253687824435</v>
      </c>
      <c r="W18" s="62" t="n">
        <v>0.4114090870941934</v>
      </c>
    </row>
    <row r="19">
      <c r="A19" s="30" t="inlineStr">
        <is>
          <t>CCU</t>
        </is>
      </c>
      <c r="B19" s="30" t="inlineStr">
        <is>
          <t>Consumo</t>
        </is>
      </c>
      <c r="C19" s="30" t="n">
        <v>2025</v>
      </c>
      <c r="D19" s="62" t="n">
        <v>1.899197203821172</v>
      </c>
      <c r="E19" s="62" t="n">
        <v>0.1962608140326624</v>
      </c>
      <c r="F19" s="62" t="n">
        <v>0.06536529680503399</v>
      </c>
      <c r="G19" s="62" t="n">
        <v>0.03766203291105252</v>
      </c>
      <c r="H19" s="62" t="n">
        <v>0.5565736870334437</v>
      </c>
      <c r="I19" s="62" t="n">
        <v>2.37891143454083</v>
      </c>
      <c r="J19" s="62" t="n">
        <v>0.798166414908255</v>
      </c>
      <c r="K19" s="62" t="n">
        <v>0.05058037244646796</v>
      </c>
      <c r="L19" s="30" t="n">
        <v>190188531</v>
      </c>
      <c r="M19" s="62" t="n">
        <v>1.193330018466669</v>
      </c>
      <c r="N19" s="62" t="n">
        <v>1.087668591513959</v>
      </c>
      <c r="O19" s="62" t="n">
        <v>-0.573219800467115</v>
      </c>
      <c r="P19" s="62" t="n">
        <v>-0.0169990536998069</v>
      </c>
      <c r="Q19" s="62" t="n">
        <v>0.5835526712815968</v>
      </c>
      <c r="R19" s="62" t="n">
        <v>-0.7156796088462039</v>
      </c>
      <c r="S19" s="62" t="n">
        <v>0.5171927728170402</v>
      </c>
      <c r="T19" s="62" t="n">
        <v>-0.1577479115723838</v>
      </c>
      <c r="U19" s="30" t="n">
        <v>8</v>
      </c>
      <c r="V19" s="62" t="n">
        <v>0.2397622099367194</v>
      </c>
      <c r="W19" s="62" t="n">
        <v>0.2173348393664423</v>
      </c>
    </row>
    <row r="20">
      <c r="A20" s="30" t="inlineStr">
        <is>
          <t>CENCOSUD</t>
        </is>
      </c>
      <c r="B20" s="30" t="inlineStr">
        <is>
          <t>Consumo</t>
        </is>
      </c>
      <c r="C20" s="30" t="n">
        <v>2017</v>
      </c>
      <c r="D20" s="62" t="n">
        <v>0.970688900058219</v>
      </c>
      <c r="E20" s="62" t="n">
        <v>-0.00788197212606007</v>
      </c>
      <c r="F20" s="62" t="n">
        <v>0.08947062414527736</v>
      </c>
      <c r="G20" s="62" t="n">
        <v>0.04390510185002311</v>
      </c>
      <c r="H20" s="62" t="n">
        <v>0.6000860992165925</v>
      </c>
      <c r="I20" s="62" t="n">
        <v>3.148309408267395</v>
      </c>
      <c r="J20" s="62" t="n">
        <v>1.043121020227209</v>
      </c>
      <c r="K20" s="62" t="n">
        <v>0.008404979963389847</v>
      </c>
      <c r="L20" s="30" t="n">
        <v>935593172</v>
      </c>
      <c r="M20" s="62" t="n">
        <v>-1.122974826911256</v>
      </c>
      <c r="N20" s="62" t="n">
        <v>-1.016338789270491</v>
      </c>
      <c r="O20" s="62" t="n">
        <v>-0.09528143046351886</v>
      </c>
      <c r="P20" s="62" t="n">
        <v>0.2379991804918392</v>
      </c>
      <c r="Q20" s="62" t="n">
        <v>0.1146880256714855</v>
      </c>
      <c r="R20" s="62" t="n">
        <v>-0.4545466966812947</v>
      </c>
      <c r="S20" s="62" t="n">
        <v>1.72119932492944</v>
      </c>
      <c r="T20" s="62" t="n">
        <v>-0.3034000289629025</v>
      </c>
      <c r="U20" s="30" t="n">
        <v>8</v>
      </c>
      <c r="V20" s="62" t="n">
        <v>-0.1148319051495873</v>
      </c>
      <c r="W20" s="62" t="n">
        <v>-0.2731035753378228</v>
      </c>
    </row>
    <row r="21">
      <c r="A21" s="30" t="inlineStr">
        <is>
          <t>CENCOSUD</t>
        </is>
      </c>
      <c r="B21" s="30" t="inlineStr">
        <is>
          <t>Consumo</t>
        </is>
      </c>
      <c r="C21" s="30" t="n">
        <v>2018</v>
      </c>
      <c r="D21" s="62" t="n">
        <v>1.010187340127415</v>
      </c>
      <c r="E21" s="62" t="n">
        <v>0.002512544303270301</v>
      </c>
      <c r="F21" s="62" t="n">
        <v>0.05342711773406856</v>
      </c>
      <c r="G21" s="62" t="n">
        <v>0.01792194398524127</v>
      </c>
      <c r="H21" s="62" t="n">
        <v>0.600925048667892</v>
      </c>
      <c r="I21" s="62" t="n">
        <v>2.174402459217207</v>
      </c>
      <c r="J21" s="62" t="n">
        <v>0.9070310205855199</v>
      </c>
      <c r="K21" s="62" t="n">
        <v>-0.2886397170445673</v>
      </c>
      <c r="L21" s="30" t="n">
        <v>515358071</v>
      </c>
      <c r="M21" s="62" t="n">
        <v>-1.024439975099628</v>
      </c>
      <c r="N21" s="62" t="n">
        <v>-0.909207208975549</v>
      </c>
      <c r="O21" s="62" t="n">
        <v>-0.8099190896098384</v>
      </c>
      <c r="P21" s="62" t="n">
        <v>-0.8232832495135952</v>
      </c>
      <c r="Q21" s="62" t="n">
        <v>0.1056479904853723</v>
      </c>
      <c r="R21" s="62" t="n">
        <v>-0.7850897530287493</v>
      </c>
      <c r="S21" s="62" t="n">
        <v>1.052286605235047</v>
      </c>
      <c r="T21" s="62" t="n">
        <v>-1.329239660359176</v>
      </c>
      <c r="U21" s="30" t="n">
        <v>8</v>
      </c>
      <c r="V21" s="62" t="n">
        <v>-0.5654055426082645</v>
      </c>
      <c r="W21" s="62" t="n">
        <v>-0.6506411056502325</v>
      </c>
    </row>
    <row r="22">
      <c r="A22" s="30" t="inlineStr">
        <is>
          <t>CENCOSUD</t>
        </is>
      </c>
      <c r="B22" s="30" t="inlineStr">
        <is>
          <t>Consumo</t>
        </is>
      </c>
      <c r="C22" s="30" t="n">
        <v>2019</v>
      </c>
      <c r="D22" s="62" t="n">
        <v>1.265895854300702</v>
      </c>
      <c r="E22" s="62" t="n">
        <v>0.0550795116758752</v>
      </c>
      <c r="F22" s="62" t="n">
        <v>0.06404974750702724</v>
      </c>
      <c r="G22" s="62" t="n">
        <v>0.01262355446267452</v>
      </c>
      <c r="H22" s="62" t="n">
        <v>0.5926031897086054</v>
      </c>
      <c r="I22" s="62" t="n">
        <v>2.167917995502848</v>
      </c>
      <c r="J22" s="62" t="n">
        <v>0.7795536708430244</v>
      </c>
      <c r="K22" s="62" t="n">
        <v>-0.2057508615429768</v>
      </c>
      <c r="L22" s="30" t="n">
        <v>611560661</v>
      </c>
      <c r="M22" s="62" t="n">
        <v>-0.3865362880958912</v>
      </c>
      <c r="N22" s="62" t="n">
        <v>-0.3674232477660515</v>
      </c>
      <c r="O22" s="62" t="n">
        <v>-0.5993033079953047</v>
      </c>
      <c r="P22" s="62" t="n">
        <v>-1.039696040325548</v>
      </c>
      <c r="Q22" s="62" t="n">
        <v>0.1953195406476572</v>
      </c>
      <c r="R22" s="62" t="n">
        <v>-0.7872905736071514</v>
      </c>
      <c r="S22" s="62" t="n">
        <v>0.4257069818961101</v>
      </c>
      <c r="T22" s="62" t="n">
        <v>-1.042984178167105</v>
      </c>
      <c r="U22" s="30" t="n">
        <v>8</v>
      </c>
      <c r="V22" s="62" t="n">
        <v>-0.4502758891766605</v>
      </c>
      <c r="W22" s="62" t="n">
        <v>-0.4906426677738564</v>
      </c>
    </row>
    <row r="23">
      <c r="A23" s="30" t="inlineStr">
        <is>
          <t>CENCOSUD</t>
        </is>
      </c>
      <c r="B23" s="30" t="inlineStr">
        <is>
          <t>Consumo</t>
        </is>
      </c>
      <c r="C23" s="30" t="n">
        <v>2020</v>
      </c>
      <c r="D23" s="62" t="n">
        <v>1.090100036547298</v>
      </c>
      <c r="E23" s="62" t="n">
        <v>0.02096505229754399</v>
      </c>
      <c r="F23" s="62" t="n">
        <v>0.04752886991087582</v>
      </c>
      <c r="G23" s="62" t="n">
        <v>0.005991719546582267</v>
      </c>
      <c r="H23" s="62" t="n">
        <v>0.5833593820883957</v>
      </c>
      <c r="I23" s="62" t="n">
        <v>1.764540124877627</v>
      </c>
      <c r="J23" s="62" t="n">
        <v>0.9069658652394472</v>
      </c>
      <c r="K23" s="62" t="n">
        <v>0.3178689566633295</v>
      </c>
      <c r="L23" s="30" t="n">
        <v>467499544</v>
      </c>
      <c r="M23" s="62" t="n">
        <v>-0.8250856288062992</v>
      </c>
      <c r="N23" s="62" t="n">
        <v>-0.7190255535544763</v>
      </c>
      <c r="O23" s="62" t="n">
        <v>-0.9268641495422016</v>
      </c>
      <c r="P23" s="62" t="n">
        <v>-1.310573426044898</v>
      </c>
      <c r="Q23" s="62" t="n">
        <v>0.294925477585719</v>
      </c>
      <c r="R23" s="62" t="n">
        <v>-0.9241966243848194</v>
      </c>
      <c r="S23" s="62" t="n">
        <v>1.051966352168261</v>
      </c>
      <c r="T23" s="62" t="n">
        <v>0.7653294080072753</v>
      </c>
      <c r="U23" s="30" t="n">
        <v>8</v>
      </c>
      <c r="V23" s="62" t="n">
        <v>-0.3241905180714298</v>
      </c>
      <c r="W23" s="62" t="n">
        <v>-0.6278370007379969</v>
      </c>
    </row>
    <row r="24">
      <c r="A24" s="30" t="inlineStr">
        <is>
          <t>CENCOSUD</t>
        </is>
      </c>
      <c r="B24" s="30" t="inlineStr">
        <is>
          <t>Consumo</t>
        </is>
      </c>
      <c r="C24" s="30" t="n">
        <v>2021</v>
      </c>
      <c r="D24" s="62" t="n">
        <v>1.062819813487121</v>
      </c>
      <c r="E24" s="62" t="n">
        <v>0.01661899942879683</v>
      </c>
      <c r="F24" s="62" t="n">
        <v>0.07647417994317675</v>
      </c>
      <c r="G24" s="62" t="n">
        <v>0.04142872861746904</v>
      </c>
      <c r="H24" s="62" t="n">
        <v>0.6038777881764018</v>
      </c>
      <c r="I24" s="62" t="n">
        <v>6.266644618412569</v>
      </c>
      <c r="J24" s="62" t="n">
        <v>0.9839822655590237</v>
      </c>
      <c r="K24" s="62" t="n">
        <v>0.3484737303816718</v>
      </c>
      <c r="L24" s="30" t="n">
        <v>899341817</v>
      </c>
      <c r="M24" s="62" t="n">
        <v>-0.8931402844310184</v>
      </c>
      <c r="N24" s="62" t="n">
        <v>-0.7638183551282425</v>
      </c>
      <c r="O24" s="62" t="n">
        <v>-0.3529630321327348</v>
      </c>
      <c r="P24" s="62" t="n">
        <v>0.1368516827349317</v>
      </c>
      <c r="Q24" s="62" t="n">
        <v>0.07383097336829812</v>
      </c>
      <c r="R24" s="62" t="n">
        <v>0.6038131929185399</v>
      </c>
      <c r="S24" s="62" t="n">
        <v>1.430519147630672</v>
      </c>
      <c r="T24" s="62" t="n">
        <v>0.8710225582517642</v>
      </c>
      <c r="U24" s="30" t="n">
        <v>8</v>
      </c>
      <c r="V24" s="62" t="n">
        <v>0.1382644854015262</v>
      </c>
      <c r="W24" s="62" t="n">
        <v>-0.07143996459144925</v>
      </c>
    </row>
    <row r="25">
      <c r="A25" s="30" t="inlineStr">
        <is>
          <t>CENCOSUD</t>
        </is>
      </c>
      <c r="B25" s="30" t="inlineStr">
        <is>
          <t>Consumo</t>
        </is>
      </c>
      <c r="C25" s="30" t="n">
        <v>2022</v>
      </c>
      <c r="D25" s="62" t="n">
        <v>0.8280952512134405</v>
      </c>
      <c r="E25" s="62" t="n">
        <v>-0.04836690035446861</v>
      </c>
      <c r="F25" s="62" t="n">
        <v>0.06166726850417478</v>
      </c>
      <c r="G25" s="62" t="n">
        <v>0.03034048637510394</v>
      </c>
      <c r="H25" s="62" t="n">
        <v>0.681697615588582</v>
      </c>
      <c r="I25" s="62" t="n">
        <v>3.744816720482769</v>
      </c>
      <c r="J25" s="62" t="n">
        <v>1.064609059347183</v>
      </c>
      <c r="K25" s="62" t="n">
        <v>0.07076906868335264</v>
      </c>
      <c r="L25" s="30" t="n">
        <v>875804563</v>
      </c>
      <c r="M25" s="62" t="n">
        <v>-1.478696319547041</v>
      </c>
      <c r="N25" s="62" t="n">
        <v>-1.433598636683721</v>
      </c>
      <c r="O25" s="62" t="n">
        <v>-0.6465409212879524</v>
      </c>
      <c r="P25" s="62" t="n">
        <v>-0.3160477197436414</v>
      </c>
      <c r="Q25" s="62" t="n">
        <v>-0.7647105822566574</v>
      </c>
      <c r="R25" s="62" t="n">
        <v>-0.2520927042279412</v>
      </c>
      <c r="S25" s="62" t="n">
        <v>1.826817832729318</v>
      </c>
      <c r="T25" s="62" t="n">
        <v>-0.08802653659203079</v>
      </c>
      <c r="U25" s="30" t="n">
        <v>8</v>
      </c>
      <c r="V25" s="62" t="n">
        <v>-0.3941119484512084</v>
      </c>
      <c r="W25" s="62" t="n">
        <v>-0.6517114845826334</v>
      </c>
    </row>
    <row r="26">
      <c r="A26" s="30" t="inlineStr">
        <is>
          <t>CENCOSUD</t>
        </is>
      </c>
      <c r="B26" s="30" t="inlineStr">
        <is>
          <t>Consumo</t>
        </is>
      </c>
      <c r="C26" s="30" t="n">
        <v>2023</v>
      </c>
      <c r="D26" s="62" t="n">
        <v>0.7834517805861488</v>
      </c>
      <c r="E26" s="62" t="n">
        <v>-0.06060883781475808</v>
      </c>
      <c r="F26" s="62" t="n">
        <v>0.05799285669703245</v>
      </c>
      <c r="G26" s="62" t="n">
        <v>0.02152876675029388</v>
      </c>
      <c r="H26" s="62" t="n">
        <v>0.6848457123362347</v>
      </c>
      <c r="I26" s="62" t="n">
        <v>2.646041051209977</v>
      </c>
      <c r="J26" s="62" t="n">
        <v>1.048442723300785</v>
      </c>
      <c r="K26" s="62" t="n">
        <v>0.2659870782759761</v>
      </c>
      <c r="L26" s="30" t="n">
        <v>825275556</v>
      </c>
      <c r="M26" s="62" t="n">
        <v>-1.531040177805948</v>
      </c>
      <c r="N26" s="62" t="n">
        <v>-1.55977075011576</v>
      </c>
      <c r="O26" s="62" t="n">
        <v>-0.7193937958845037</v>
      </c>
      <c r="P26" s="62" t="n">
        <v>-0.6759625255040504</v>
      </c>
      <c r="Q26" s="62" t="n">
        <v>-0.7986326562552614</v>
      </c>
      <c r="R26" s="62" t="n">
        <v>-0.6250160808563303</v>
      </c>
      <c r="S26" s="62" t="n">
        <v>1.747356683190326</v>
      </c>
      <c r="T26" s="62" t="n">
        <v>0.5861560797603039</v>
      </c>
      <c r="U26" s="30" t="n">
        <v>8</v>
      </c>
      <c r="V26" s="62" t="n">
        <v>-0.4470379029339031</v>
      </c>
      <c r="W26" s="62" t="n">
        <v>-0.799490556162529</v>
      </c>
    </row>
    <row r="27">
      <c r="A27" s="30" t="inlineStr">
        <is>
          <t>CENCOSUD</t>
        </is>
      </c>
      <c r="B27" s="30" t="inlineStr">
        <is>
          <t>Consumo</t>
        </is>
      </c>
      <c r="C27" s="30" t="n">
        <v>2024</v>
      </c>
      <c r="D27" s="62" t="n">
        <v>0.9175831903115046</v>
      </c>
      <c r="E27" s="62" t="n">
        <v>-0.02285307851947079</v>
      </c>
      <c r="F27" s="62" t="n">
        <v>0.05428895834468309</v>
      </c>
      <c r="G27" s="62" t="n">
        <v>0.01525140602813864</v>
      </c>
      <c r="H27" s="62" t="n">
        <v>0.6533566005709127</v>
      </c>
      <c r="I27" s="62" t="n">
        <v>2.163087197464554</v>
      </c>
      <c r="J27" s="62" t="n">
        <v>1.076473895267924</v>
      </c>
      <c r="K27" s="62" t="n">
        <v>0.3459780826234669</v>
      </c>
      <c r="L27" s="30" t="n">
        <v>895432037</v>
      </c>
      <c r="M27" s="62" t="n">
        <v>-1.255455077550944</v>
      </c>
      <c r="N27" s="62" t="n">
        <v>-1.170639212728778</v>
      </c>
      <c r="O27" s="62" t="n">
        <v>-0.7928313027141863</v>
      </c>
      <c r="P27" s="62" t="n">
        <v>-0.9323614080378583</v>
      </c>
      <c r="Q27" s="62" t="n">
        <v>-0.4593241581126871</v>
      </c>
      <c r="R27" s="62" t="n">
        <v>-0.7889301416888168</v>
      </c>
      <c r="S27" s="62" t="n">
        <v>1.88513614917701</v>
      </c>
      <c r="T27" s="62" t="n">
        <v>0.8624038742551825</v>
      </c>
      <c r="U27" s="30" t="n">
        <v>8</v>
      </c>
      <c r="V27" s="62" t="n">
        <v>-0.3315001596751347</v>
      </c>
      <c r="W27" s="62" t="n">
        <v>-0.7207658550103262</v>
      </c>
    </row>
    <row r="28">
      <c r="A28" s="30" t="inlineStr">
        <is>
          <t>CENCOSUD</t>
        </is>
      </c>
      <c r="B28" s="30" t="inlineStr">
        <is>
          <t>Consumo</t>
        </is>
      </c>
      <c r="C28" s="30" t="n">
        <v>2025</v>
      </c>
      <c r="D28" s="62" t="n">
        <v>0.9183256036755445</v>
      </c>
      <c r="E28" s="62" t="n">
        <v>-0.02073286477772995</v>
      </c>
      <c r="F28" s="62" t="n">
        <v>0.06396309963953511</v>
      </c>
      <c r="G28" s="62" t="n">
        <v>0.02678426465265869</v>
      </c>
      <c r="H28" s="62" t="n">
        <v>0.6451747585742134</v>
      </c>
      <c r="I28" s="62" t="n">
        <v>2.701767647970087</v>
      </c>
      <c r="J28" s="62" t="n">
        <v>1.11643007520716</v>
      </c>
      <c r="K28" s="62" t="n">
        <v>0.3221260286084682</v>
      </c>
      <c r="L28" s="30" t="n">
        <v>1061436642</v>
      </c>
      <c r="M28" s="62" t="n">
        <v>-1.253603014768705</v>
      </c>
      <c r="N28" s="62" t="n">
        <v>-1.14878712848224</v>
      </c>
      <c r="O28" s="62" t="n">
        <v>-0.6010212826143152</v>
      </c>
      <c r="P28" s="62" t="n">
        <v>-0.4613016434920859</v>
      </c>
      <c r="Q28" s="62" t="n">
        <v>-0.3711613499449061</v>
      </c>
      <c r="R28" s="62" t="n">
        <v>-0.6061025289704001</v>
      </c>
      <c r="S28" s="62" t="n">
        <v>1.977441113679894</v>
      </c>
      <c r="T28" s="62" t="n">
        <v>0.7800311453519131</v>
      </c>
      <c r="U28" s="30" t="n">
        <v>8</v>
      </c>
      <c r="V28" s="62" t="n">
        <v>-0.2105630861551057</v>
      </c>
      <c r="W28" s="62" t="n">
        <v>-0.5629416046199006</v>
      </c>
    </row>
    <row r="29">
      <c r="A29" s="30" t="inlineStr">
        <is>
          <t>CONCHATORO</t>
        </is>
      </c>
      <c r="B29" s="30" t="inlineStr">
        <is>
          <t>Consumo</t>
        </is>
      </c>
      <c r="C29" s="30" t="n">
        <v>2017</v>
      </c>
      <c r="D29" s="62" t="n">
        <v>1.658623089421524</v>
      </c>
      <c r="E29" s="62" t="n">
        <v>0.1998579999766792</v>
      </c>
      <c r="F29" s="62" t="n">
        <v>0.120120685096396</v>
      </c>
      <c r="G29" s="62" t="n">
        <v>0.04730238680113751</v>
      </c>
      <c r="H29" s="62" t="n">
        <v>0.4784071078635723</v>
      </c>
      <c r="I29" s="62" t="n">
        <v>7.380159101881625</v>
      </c>
      <c r="J29" s="62" t="n">
        <v>0.5805260432949346</v>
      </c>
      <c r="K29" s="62" t="n">
        <v>0.1110660973033852</v>
      </c>
      <c r="L29" s="30" t="n">
        <v>73695885</v>
      </c>
      <c r="M29" s="62" t="n">
        <v>0.5931813880256962</v>
      </c>
      <c r="N29" s="62" t="n">
        <v>1.124743160342371</v>
      </c>
      <c r="O29" s="62" t="n">
        <v>0.5124199280255063</v>
      </c>
      <c r="P29" s="62" t="n">
        <v>0.3767613296925924</v>
      </c>
      <c r="Q29" s="62" t="n">
        <v>1.425830623760403</v>
      </c>
      <c r="R29" s="62" t="n">
        <v>0.9817389085240987</v>
      </c>
      <c r="S29" s="62" t="n">
        <v>-0.5525582248644012</v>
      </c>
      <c r="T29" s="62" t="n">
        <v>0.05113867794412359</v>
      </c>
      <c r="U29" s="30" t="n">
        <v>8</v>
      </c>
      <c r="V29" s="62" t="n">
        <v>0.5641569739312987</v>
      </c>
      <c r="W29" s="62" t="n">
        <v>0.7459717990460739</v>
      </c>
    </row>
    <row r="30">
      <c r="A30" s="30" t="inlineStr">
        <is>
          <t>CONCHATORO</t>
        </is>
      </c>
      <c r="B30" s="30" t="inlineStr">
        <is>
          <t>Consumo</t>
        </is>
      </c>
      <c r="C30" s="30" t="n">
        <v>2018</v>
      </c>
      <c r="D30" s="62" t="n">
        <v>1.812653864620359</v>
      </c>
      <c r="E30" s="62" t="n">
        <v>0.222112435728418</v>
      </c>
      <c r="F30" s="62" t="n">
        <v>0.1191007952963881</v>
      </c>
      <c r="G30" s="62" t="n">
        <v>0.04371202853579314</v>
      </c>
      <c r="H30" s="62" t="n">
        <v>0.50081210556664</v>
      </c>
      <c r="I30" s="62" t="n">
        <v>6.279581019231975</v>
      </c>
      <c r="J30" s="62" t="n">
        <v>0.5358104986950226</v>
      </c>
      <c r="K30" s="62" t="n">
        <v>0.1837208369123142</v>
      </c>
      <c r="L30" s="30" t="n">
        <v>73143241</v>
      </c>
      <c r="M30" s="62" t="n">
        <v>0.9774345276954777</v>
      </c>
      <c r="N30" s="62" t="n">
        <v>1.354109565876026</v>
      </c>
      <c r="O30" s="62" t="n">
        <v>0.4921984864446118</v>
      </c>
      <c r="P30" s="62" t="n">
        <v>0.2301130983935228</v>
      </c>
      <c r="Q30" s="62" t="n">
        <v>1.184407296923734</v>
      </c>
      <c r="R30" s="62" t="n">
        <v>0.6082037945762774</v>
      </c>
      <c r="S30" s="62" t="n">
        <v>-0.7723451058232885</v>
      </c>
      <c r="T30" s="62" t="n">
        <v>0.3020507866279538</v>
      </c>
      <c r="U30" s="30" t="n">
        <v>8</v>
      </c>
      <c r="V30" s="62" t="n">
        <v>0.5470215563392893</v>
      </c>
      <c r="W30" s="62" t="n">
        <v>0.7052869113682729</v>
      </c>
    </row>
    <row r="31">
      <c r="A31" s="30" t="inlineStr">
        <is>
          <t>CONCHATORO</t>
        </is>
      </c>
      <c r="B31" s="30" t="inlineStr">
        <is>
          <t>Consumo</t>
        </is>
      </c>
      <c r="C31" s="30" t="n">
        <v>2019</v>
      </c>
      <c r="D31" s="62" t="n">
        <v>1.89553656841484</v>
      </c>
      <c r="E31" s="62" t="n">
        <v>0.2420929818739029</v>
      </c>
      <c r="F31" s="62" t="n">
        <v>0.1261754232999266</v>
      </c>
      <c r="G31" s="62" t="n">
        <v>0.04259789872849615</v>
      </c>
      <c r="H31" s="62" t="n">
        <v>0.5262192123492982</v>
      </c>
      <c r="I31" s="62" t="n">
        <v>6.67791855278711</v>
      </c>
      <c r="J31" s="62" t="n">
        <v>0.523984266008515</v>
      </c>
      <c r="K31" s="62" t="n">
        <v>0.0611285041765286</v>
      </c>
      <c r="L31" s="30" t="n">
        <v>82894786</v>
      </c>
      <c r="M31" s="62" t="n">
        <v>1.184198008021005</v>
      </c>
      <c r="N31" s="62" t="n">
        <v>1.56004001952193</v>
      </c>
      <c r="O31" s="62" t="n">
        <v>0.6324677360037358</v>
      </c>
      <c r="P31" s="62" t="n">
        <v>0.1846064515347016</v>
      </c>
      <c r="Q31" s="62" t="n">
        <v>0.9106349749598713</v>
      </c>
      <c r="R31" s="62" t="n">
        <v>0.7433991599319015</v>
      </c>
      <c r="S31" s="62" t="n">
        <v>-0.8304736787595705</v>
      </c>
      <c r="T31" s="62" t="n">
        <v>-0.121320088841063</v>
      </c>
      <c r="U31" s="30" t="n">
        <v>8</v>
      </c>
      <c r="V31" s="62" t="n">
        <v>0.5329440727965639</v>
      </c>
      <c r="W31" s="62" t="n">
        <v>0.7454411206889135</v>
      </c>
    </row>
    <row r="32">
      <c r="A32" s="30" t="inlineStr">
        <is>
          <t>CONCHATORO</t>
        </is>
      </c>
      <c r="B32" s="30" t="inlineStr">
        <is>
          <t>Consumo</t>
        </is>
      </c>
      <c r="C32" s="30" t="n">
        <v>2020</v>
      </c>
      <c r="D32" s="62" t="n">
        <v>2.237144056869294</v>
      </c>
      <c r="E32" s="62" t="n">
        <v>0.2831545486940095</v>
      </c>
      <c r="F32" s="62" t="n">
        <v>0.1571171410618776</v>
      </c>
      <c r="G32" s="62" t="n">
        <v>0.06180696663063272</v>
      </c>
      <c r="H32" s="62" t="n">
        <v>0.493179323401255</v>
      </c>
      <c r="I32" s="62" t="n">
        <v>7.872061104568451</v>
      </c>
      <c r="J32" s="62" t="n">
        <v>0.6009782400721966</v>
      </c>
      <c r="K32" s="62" t="n">
        <v>-0.1068888213411109</v>
      </c>
      <c r="L32" s="30" t="n">
        <v>120833674</v>
      </c>
      <c r="M32" s="62" t="n">
        <v>2.03638971973503</v>
      </c>
      <c r="N32" s="62" t="n">
        <v>1.895010119788168</v>
      </c>
      <c r="O32" s="62" t="n">
        <v>1.245951798822062</v>
      </c>
      <c r="P32" s="62" t="n">
        <v>0.9692010865444387</v>
      </c>
      <c r="Q32" s="62" t="n">
        <v>1.266653753174633</v>
      </c>
      <c r="R32" s="62" t="n">
        <v>1.148689962267077</v>
      </c>
      <c r="S32" s="62" t="n">
        <v>-0.4520311133497925</v>
      </c>
      <c r="T32" s="62" t="n">
        <v>-0.7015655300602541</v>
      </c>
      <c r="U32" s="30" t="n">
        <v>8</v>
      </c>
      <c r="V32" s="62" t="n">
        <v>0.9260374746151702</v>
      </c>
      <c r="W32" s="62" t="n">
        <v>1.26060580421349</v>
      </c>
    </row>
    <row r="33">
      <c r="A33" s="30" t="inlineStr">
        <is>
          <t>CONCHATORO</t>
        </is>
      </c>
      <c r="B33" s="30" t="inlineStr">
        <is>
          <t>Consumo</t>
        </is>
      </c>
      <c r="C33" s="30" t="n">
        <v>2021</v>
      </c>
      <c r="D33" s="62" t="n">
        <v>1.914221426995682</v>
      </c>
      <c r="E33" s="62" t="n">
        <v>0.2482145678009028</v>
      </c>
      <c r="F33" s="62" t="n">
        <v>0.1707802776581708</v>
      </c>
      <c r="G33" s="62" t="n">
        <v>0.06971381271443707</v>
      </c>
      <c r="H33" s="62" t="n">
        <v>0.5399423572979276</v>
      </c>
      <c r="I33" s="62" t="n">
        <v>10.94099105189984</v>
      </c>
      <c r="J33" s="62" t="n">
        <v>0.5792821694518299</v>
      </c>
      <c r="K33" s="62" t="n">
        <v>0.1201755158163853</v>
      </c>
      <c r="L33" s="30" t="n">
        <v>142894004</v>
      </c>
      <c r="M33" s="62" t="n">
        <v>1.23081022278592</v>
      </c>
      <c r="N33" s="62" t="n">
        <v>1.62313243740683</v>
      </c>
      <c r="O33" s="62" t="n">
        <v>1.516851967145722</v>
      </c>
      <c r="P33" s="62" t="n">
        <v>1.292156320437418</v>
      </c>
      <c r="Q33" s="62" t="n">
        <v>0.7627622836939267</v>
      </c>
      <c r="R33" s="62" t="n">
        <v>2.190281754477273</v>
      </c>
      <c r="S33" s="62" t="n">
        <v>-0.558672142400874</v>
      </c>
      <c r="T33" s="62" t="n">
        <v>0.08259792506665362</v>
      </c>
      <c r="U33" s="30" t="n">
        <v>8</v>
      </c>
      <c r="V33" s="62" t="n">
        <v>1.017490096076609</v>
      </c>
      <c r="W33" s="62" t="n">
        <v>1.322316921317422</v>
      </c>
    </row>
    <row r="34">
      <c r="A34" s="30" t="inlineStr">
        <is>
          <t>CONCHATORO</t>
        </is>
      </c>
      <c r="B34" s="30" t="inlineStr">
        <is>
          <t>Consumo</t>
        </is>
      </c>
      <c r="C34" s="30" t="n">
        <v>2022</v>
      </c>
      <c r="D34" s="62" t="n">
        <v>1.772177632477906</v>
      </c>
      <c r="E34" s="62" t="n">
        <v>0.2160833931003973</v>
      </c>
      <c r="F34" s="62" t="n">
        <v>0.1347232173262714</v>
      </c>
      <c r="G34" s="62" t="n">
        <v>0.0562551103036606</v>
      </c>
      <c r="H34" s="62" t="n">
        <v>0.5169310306899991</v>
      </c>
      <c r="I34" s="62" t="n">
        <v>7.535736667689957</v>
      </c>
      <c r="J34" s="62" t="n">
        <v>0.5503811472416217</v>
      </c>
      <c r="K34" s="62" t="n">
        <v>-0.1632598678639856</v>
      </c>
      <c r="L34" s="30" t="n">
        <v>117287577</v>
      </c>
      <c r="M34" s="62" t="n">
        <v>0.876460425197692</v>
      </c>
      <c r="N34" s="62" t="n">
        <v>1.291970949924361</v>
      </c>
      <c r="O34" s="62" t="n">
        <v>0.8019455732641048</v>
      </c>
      <c r="P34" s="62" t="n">
        <v>0.7424354407213692</v>
      </c>
      <c r="Q34" s="62" t="n">
        <v>1.010719060937898</v>
      </c>
      <c r="R34" s="62" t="n">
        <v>1.034541780658378</v>
      </c>
      <c r="S34" s="62" t="n">
        <v>-0.7007271164583226</v>
      </c>
      <c r="T34" s="62" t="n">
        <v>-0.8962421365404531</v>
      </c>
      <c r="U34" s="30" t="n">
        <v>8</v>
      </c>
      <c r="V34" s="62" t="n">
        <v>0.5201379972131286</v>
      </c>
      <c r="W34" s="62" t="n">
        <v>0.8294001219773864</v>
      </c>
    </row>
    <row r="35">
      <c r="A35" s="30" t="inlineStr">
        <is>
          <t>CONCHATORO</t>
        </is>
      </c>
      <c r="B35" s="30" t="inlineStr">
        <is>
          <t>Consumo</t>
        </is>
      </c>
      <c r="C35" s="30" t="n">
        <v>2023</v>
      </c>
      <c r="D35" s="62" t="n">
        <v>1.800636383829231</v>
      </c>
      <c r="E35" s="62" t="n">
        <v>0.2232754964062069</v>
      </c>
      <c r="F35" s="62" t="n">
        <v>0.08903692544158498</v>
      </c>
      <c r="G35" s="62" t="n">
        <v>0.02687323043430669</v>
      </c>
      <c r="H35" s="62" t="n">
        <v>0.522110527069782</v>
      </c>
      <c r="I35" s="62" t="n">
        <v>3.378014338376458</v>
      </c>
      <c r="J35" s="62" t="n">
        <v>0.5115760408963816</v>
      </c>
      <c r="K35" s="62" t="n">
        <v>0.01849466988331128</v>
      </c>
      <c r="L35" s="30" t="n">
        <v>74542889</v>
      </c>
      <c r="M35" s="62" t="n">
        <v>0.9474550984616052</v>
      </c>
      <c r="N35" s="62" t="n">
        <v>1.366096706330087</v>
      </c>
      <c r="O35" s="62" t="n">
        <v>-0.103880411451815</v>
      </c>
      <c r="P35" s="62" t="n">
        <v>-0.4576678349524893</v>
      </c>
      <c r="Q35" s="62" t="n">
        <v>0.9549077966870454</v>
      </c>
      <c r="R35" s="62" t="n">
        <v>-0.3765850703366248</v>
      </c>
      <c r="S35" s="62" t="n">
        <v>-0.8914628743521228</v>
      </c>
      <c r="T35" s="62" t="n">
        <v>-0.2685554284949883</v>
      </c>
      <c r="U35" s="30" t="n">
        <v>8</v>
      </c>
      <c r="V35" s="62" t="n">
        <v>0.1462884977363372</v>
      </c>
      <c r="W35" s="62" t="n">
        <v>0.2737669213620252</v>
      </c>
    </row>
    <row r="36">
      <c r="A36" s="30" t="inlineStr">
        <is>
          <t>CONCHATORO</t>
        </is>
      </c>
      <c r="B36" s="30" t="inlineStr">
        <is>
          <t>Consumo</t>
        </is>
      </c>
      <c r="C36" s="30" t="n">
        <v>2024</v>
      </c>
      <c r="D36" s="62" t="n">
        <v>1.680524094473256</v>
      </c>
      <c r="E36" s="62" t="n">
        <v>0.2001627856847575</v>
      </c>
      <c r="F36" s="62" t="n">
        <v>0.1347792570646087</v>
      </c>
      <c r="G36" s="62" t="n">
        <v>0.0457909281553455</v>
      </c>
      <c r="H36" s="62" t="n">
        <v>0.5200679821402651</v>
      </c>
      <c r="I36" s="62" t="n">
        <v>5.478588552946035</v>
      </c>
      <c r="J36" s="62" t="n">
        <v>0.5577421485714774</v>
      </c>
      <c r="K36" s="62" t="n">
        <v>0.0713695087720867</v>
      </c>
      <c r="L36" s="30" t="n">
        <v>129203433</v>
      </c>
      <c r="M36" s="62" t="n">
        <v>0.647816768144951</v>
      </c>
      <c r="N36" s="62" t="n">
        <v>1.127884448807278</v>
      </c>
      <c r="O36" s="62" t="n">
        <v>0.8030566779099085</v>
      </c>
      <c r="P36" s="62" t="n">
        <v>0.3150257811189114</v>
      </c>
      <c r="Q36" s="62" t="n">
        <v>0.9769170822327357</v>
      </c>
      <c r="R36" s="62" t="n">
        <v>0.3363477428501323</v>
      </c>
      <c r="S36" s="62" t="n">
        <v>-0.6645461521538781</v>
      </c>
      <c r="T36" s="62" t="n">
        <v>-0.08595292529545884</v>
      </c>
      <c r="U36" s="30" t="n">
        <v>8</v>
      </c>
      <c r="V36" s="62" t="n">
        <v>0.4320686779518225</v>
      </c>
      <c r="W36" s="62" t="n">
        <v>0.6077363255083112</v>
      </c>
    </row>
    <row r="37">
      <c r="A37" s="30" t="inlineStr">
        <is>
          <t>CONCHATORO</t>
        </is>
      </c>
      <c r="B37" s="30" t="inlineStr">
        <is>
          <t>Consumo</t>
        </is>
      </c>
      <c r="C37" s="30" t="n">
        <v>2025</v>
      </c>
      <c r="D37" s="62" t="n">
        <v>1.826504340180057</v>
      </c>
      <c r="E37" s="62" t="n">
        <v>0.2199783405352866</v>
      </c>
      <c r="F37" s="62" t="n">
        <v>0.1145005423747849</v>
      </c>
      <c r="G37" s="62" t="n">
        <v>0.03934699023525632</v>
      </c>
      <c r="H37" s="62" t="n">
        <v>0.5014411401587798</v>
      </c>
      <c r="I37" s="62" t="n">
        <v>5.318562130904287</v>
      </c>
      <c r="J37" s="62" t="n">
        <v>0.5614537030798233</v>
      </c>
      <c r="K37" s="62" t="n">
        <v>-0.02398467006099481</v>
      </c>
      <c r="L37" s="30" t="n">
        <v>111676152</v>
      </c>
      <c r="M37" s="62" t="n">
        <v>1.011986640498023</v>
      </c>
      <c r="N37" s="62" t="n">
        <v>1.332114411787387</v>
      </c>
      <c r="O37" s="62" t="n">
        <v>0.4009888815335523</v>
      </c>
      <c r="P37" s="62" t="n">
        <v>0.05182305071076774</v>
      </c>
      <c r="Q37" s="62" t="n">
        <v>1.177629183132231</v>
      </c>
      <c r="R37" s="62" t="n">
        <v>0.2820349333054279</v>
      </c>
      <c r="S37" s="62" t="n">
        <v>-0.6463030334309128</v>
      </c>
      <c r="T37" s="62" t="n">
        <v>-0.4152572241148462</v>
      </c>
      <c r="U37" s="30" t="n">
        <v>8</v>
      </c>
      <c r="V37" s="62" t="n">
        <v>0.3993771054277039</v>
      </c>
      <c r="W37" s="62" t="n">
        <v>0.5916962663658024</v>
      </c>
    </row>
    <row r="38">
      <c r="A38" s="30" t="inlineStr">
        <is>
          <t>FALABELLA</t>
        </is>
      </c>
      <c r="B38" s="30" t="inlineStr">
        <is>
          <t>Consumo</t>
        </is>
      </c>
      <c r="C38" s="30" t="n">
        <v>2017</v>
      </c>
      <c r="D38" s="62" t="n">
        <v>1.603677378004812</v>
      </c>
      <c r="E38" s="62" t="n">
        <v>0.09598907734213902</v>
      </c>
      <c r="F38" s="62" t="n">
        <v>0.1017926927158272</v>
      </c>
      <c r="G38" s="62" t="n">
        <v>0.03897353411360494</v>
      </c>
      <c r="H38" s="62" t="n">
        <v>0.6308763669591249</v>
      </c>
      <c r="I38" s="62" t="n">
        <v>4.277491747916762</v>
      </c>
      <c r="J38" s="62" t="n">
        <v>0.5724897600117419</v>
      </c>
      <c r="K38" s="62" t="n">
        <v>0.1745779764042403</v>
      </c>
      <c r="L38" s="30" t="n">
        <v>835702892</v>
      </c>
      <c r="M38" s="62" t="n">
        <v>0.456110974038575</v>
      </c>
      <c r="N38" s="62" t="n">
        <v>0.05421314569230952</v>
      </c>
      <c r="O38" s="62" t="n">
        <v>0.1490292683523918</v>
      </c>
      <c r="P38" s="62" t="n">
        <v>0.03656923043421888</v>
      </c>
      <c r="Q38" s="62" t="n">
        <v>-0.2170901325372134</v>
      </c>
      <c r="R38" s="62" t="n">
        <v>-0.07130332616701641</v>
      </c>
      <c r="S38" s="62" t="n">
        <v>-0.5920583506734124</v>
      </c>
      <c r="T38" s="62" t="n">
        <v>0.2704760480516283</v>
      </c>
      <c r="U38" s="30" t="n">
        <v>8</v>
      </c>
      <c r="V38" s="62" t="n">
        <v>0.01074335714893516</v>
      </c>
      <c r="W38" s="62" t="n">
        <v>0.03891009352732892</v>
      </c>
    </row>
    <row r="39">
      <c r="A39" s="30" t="inlineStr">
        <is>
          <t>FALABELLA</t>
        </is>
      </c>
      <c r="B39" s="30" t="inlineStr">
        <is>
          <t>Consumo</t>
        </is>
      </c>
      <c r="C39" s="30" t="n">
        <v>2018</v>
      </c>
      <c r="D39" s="62" t="n">
        <v>1.631145943407337</v>
      </c>
      <c r="E39" s="62" t="n">
        <v>0.10066756014715</v>
      </c>
      <c r="F39" s="62" t="n">
        <v>0.09430349834709287</v>
      </c>
      <c r="G39" s="62" t="n">
        <v>0.03424248181930562</v>
      </c>
      <c r="H39" s="62" t="n">
        <v>0.6229324121797933</v>
      </c>
      <c r="I39" s="62" t="n">
        <v>4.407756187588593</v>
      </c>
      <c r="J39" s="62" t="n">
        <v>0.5342727887943979</v>
      </c>
      <c r="K39" s="62" t="n">
        <v>-0.1626749088217034</v>
      </c>
      <c r="L39" s="30" t="n">
        <v>800031021</v>
      </c>
      <c r="M39" s="62" t="n">
        <v>0.5246354782132757</v>
      </c>
      <c r="N39" s="62" t="n">
        <v>0.1024321522897937</v>
      </c>
      <c r="O39" s="62" t="n">
        <v>0.0005403763033173793</v>
      </c>
      <c r="P39" s="62" t="n">
        <v>-0.1566706637120704</v>
      </c>
      <c r="Q39" s="62" t="n">
        <v>-0.1314906597551351</v>
      </c>
      <c r="R39" s="62" t="n">
        <v>-0.02709170403565331</v>
      </c>
      <c r="S39" s="62" t="n">
        <v>-0.7799032931584055</v>
      </c>
      <c r="T39" s="62" t="n">
        <v>-0.8942219888173629</v>
      </c>
      <c r="U39" s="30" t="n">
        <v>8</v>
      </c>
      <c r="V39" s="62" t="n">
        <v>-0.17022128783403</v>
      </c>
      <c r="W39" s="62" t="n">
        <v>-0.02316260576040792</v>
      </c>
    </row>
    <row r="40">
      <c r="A40" s="30" t="inlineStr">
        <is>
          <t>FALABELLA</t>
        </is>
      </c>
      <c r="B40" s="30" t="inlineStr">
        <is>
          <t>Consumo</t>
        </is>
      </c>
      <c r="C40" s="30" t="n">
        <v>2019</v>
      </c>
      <c r="D40" s="62" t="n">
        <v>1.200012467471799</v>
      </c>
      <c r="E40" s="62" t="n">
        <v>0.02206665165829569</v>
      </c>
      <c r="F40" s="62" t="n">
        <v>0.04903317803895165</v>
      </c>
      <c r="G40" s="62" t="n">
        <v>0.01942745002608844</v>
      </c>
      <c r="H40" s="62" t="n">
        <v>0.6600455996470858</v>
      </c>
      <c r="I40" s="62" t="n">
        <v>1.881240798472494</v>
      </c>
      <c r="J40" s="62" t="n">
        <v>0.4392782496294974</v>
      </c>
      <c r="K40" s="62" t="n">
        <v>-0.3534487328791874</v>
      </c>
      <c r="L40" s="30" t="n">
        <v>394892761</v>
      </c>
      <c r="M40" s="62" t="n">
        <v>-0.5508923929613307</v>
      </c>
      <c r="N40" s="62" t="n">
        <v>-0.7076718671014711</v>
      </c>
      <c r="O40" s="62" t="n">
        <v>-0.8970381046780266</v>
      </c>
      <c r="P40" s="62" t="n">
        <v>-0.7617908351683857</v>
      </c>
      <c r="Q40" s="62" t="n">
        <v>-0.5314009523877425</v>
      </c>
      <c r="R40" s="62" t="n">
        <v>-0.8845885310598109</v>
      </c>
      <c r="S40" s="62" t="n">
        <v>-1.246822653259891</v>
      </c>
      <c r="T40" s="62" t="n">
        <v>-1.553056673706366</v>
      </c>
      <c r="U40" s="30" t="n">
        <v>8</v>
      </c>
      <c r="V40" s="62" t="n">
        <v>-0.8916577512903782</v>
      </c>
      <c r="W40" s="62" t="n">
        <v>-0.7766961896889127</v>
      </c>
    </row>
    <row r="41">
      <c r="A41" s="30" t="inlineStr">
        <is>
          <t>FALABELLA</t>
        </is>
      </c>
      <c r="B41" s="30" t="inlineStr">
        <is>
          <t>Consumo</t>
        </is>
      </c>
      <c r="C41" s="30" t="n">
        <v>2020</v>
      </c>
      <c r="D41" s="62" t="n">
        <v>1.415216982580964</v>
      </c>
      <c r="E41" s="62" t="n">
        <v>0.04746927984651764</v>
      </c>
      <c r="F41" s="62" t="n">
        <v>0.02013225992195981</v>
      </c>
      <c r="G41" s="62" t="n">
        <v>0.001938017522888821</v>
      </c>
      <c r="H41" s="62" t="n">
        <v>0.6836299756552128</v>
      </c>
      <c r="I41" s="62" t="n">
        <v>0.655045492757956</v>
      </c>
      <c r="J41" s="62" t="n">
        <v>0.4377216461955041</v>
      </c>
      <c r="K41" s="62" t="n">
        <v>-0.1782288154773135</v>
      </c>
      <c r="L41" s="30" t="n">
        <v>166716250</v>
      </c>
      <c r="M41" s="62" t="n">
        <v>-0.01403207725453025</v>
      </c>
      <c r="N41" s="62" t="n">
        <v>-0.4458584657805622</v>
      </c>
      <c r="O41" s="62" t="n">
        <v>-1.470059059816943</v>
      </c>
      <c r="P41" s="62" t="n">
        <v>-1.476146939341929</v>
      </c>
      <c r="Q41" s="62" t="n">
        <v>-0.785532579300132</v>
      </c>
      <c r="R41" s="62" t="n">
        <v>-1.300758006413763</v>
      </c>
      <c r="S41" s="62" t="n">
        <v>-1.254473706528019</v>
      </c>
      <c r="T41" s="62" t="n">
        <v>-0.9479371839751329</v>
      </c>
      <c r="U41" s="30" t="n">
        <v>8</v>
      </c>
      <c r="V41" s="62" t="n">
        <v>-0.9618497523013764</v>
      </c>
      <c r="W41" s="62" t="n">
        <v>-0.9643107438977291</v>
      </c>
    </row>
    <row r="42">
      <c r="A42" s="30" t="inlineStr">
        <is>
          <t>FALABELLA</t>
        </is>
      </c>
      <c r="B42" s="30" t="inlineStr">
        <is>
          <t>Consumo</t>
        </is>
      </c>
      <c r="C42" s="30" t="n">
        <v>2021</v>
      </c>
      <c r="D42" s="62" t="n">
        <v>1.255235135309828</v>
      </c>
      <c r="E42" s="62" t="n">
        <v>0.02914845368149132</v>
      </c>
      <c r="F42" s="62" t="n">
        <v>0.07993730912984949</v>
      </c>
      <c r="G42" s="62" t="n">
        <v>0.03242818465819601</v>
      </c>
      <c r="H42" s="62" t="n">
        <v>0.6899559022421168</v>
      </c>
      <c r="I42" s="62" t="n">
        <v>3.523739880045758</v>
      </c>
      <c r="J42" s="62" t="n">
        <v>0.4822262621736412</v>
      </c>
      <c r="K42" s="62" t="n">
        <v>0.06969919049164686</v>
      </c>
      <c r="L42" s="30" t="n">
        <v>826182765</v>
      </c>
      <c r="M42" s="62" t="n">
        <v>-0.4131310691589115</v>
      </c>
      <c r="N42" s="62" t="n">
        <v>-0.6346829361359024</v>
      </c>
      <c r="O42" s="62" t="n">
        <v>-0.2842992759751078</v>
      </c>
      <c r="P42" s="62" t="n">
        <v>-0.230775655488463</v>
      </c>
      <c r="Q42" s="62" t="n">
        <v>-0.8536971139354464</v>
      </c>
      <c r="R42" s="62" t="n">
        <v>-0.3271259654619385</v>
      </c>
      <c r="S42" s="62" t="n">
        <v>-1.035723586818484</v>
      </c>
      <c r="T42" s="62" t="n">
        <v>-0.09172134569272641</v>
      </c>
      <c r="U42" s="30" t="n">
        <v>8</v>
      </c>
      <c r="V42" s="62" t="n">
        <v>-0.4838946185833725</v>
      </c>
      <c r="W42" s="62" t="n">
        <v>-0.4638274832687898</v>
      </c>
    </row>
    <row r="43">
      <c r="A43" s="30" t="inlineStr">
        <is>
          <t>FALABELLA</t>
        </is>
      </c>
      <c r="B43" s="30" t="inlineStr">
        <is>
          <t>Consumo</t>
        </is>
      </c>
      <c r="C43" s="30" t="n">
        <v>2022</v>
      </c>
      <c r="D43" s="62" t="n">
        <v>1.295255351220926</v>
      </c>
      <c r="E43" s="62" t="n">
        <v>0.03482365043691167</v>
      </c>
      <c r="F43" s="62" t="n">
        <v>0.02107483057122916</v>
      </c>
      <c r="G43" s="62" t="n">
        <v>0.005874022316048463</v>
      </c>
      <c r="H43" s="62" t="n">
        <v>0.7116417121468998</v>
      </c>
      <c r="I43" s="62" t="n">
        <v>0.7114958565135511</v>
      </c>
      <c r="J43" s="62" t="n">
        <v>0.463985953685532</v>
      </c>
      <c r="K43" s="62" t="n">
        <v>-0.3822945646211671</v>
      </c>
      <c r="L43" s="30" t="n">
        <v>220456772</v>
      </c>
      <c r="M43" s="62" t="n">
        <v>-0.3132945683411303</v>
      </c>
      <c r="N43" s="62" t="n">
        <v>-0.5761912495791978</v>
      </c>
      <c r="O43" s="62" t="n">
        <v>-1.451370631596641</v>
      </c>
      <c r="P43" s="62" t="n">
        <v>-1.315380770997958</v>
      </c>
      <c r="Q43" s="62" t="n">
        <v>-1.087370888052524</v>
      </c>
      <c r="R43" s="62" t="n">
        <v>-1.281598808724602</v>
      </c>
      <c r="S43" s="62" t="n">
        <v>-1.125378773760729</v>
      </c>
      <c r="T43" s="62" t="n">
        <v>-1.652675342881661</v>
      </c>
      <c r="U43" s="30" t="n">
        <v>8</v>
      </c>
      <c r="V43" s="62" t="n">
        <v>-1.100407629241805</v>
      </c>
      <c r="W43" s="62" t="n">
        <v>-1.052089404904467</v>
      </c>
    </row>
    <row r="44">
      <c r="A44" s="30" t="inlineStr">
        <is>
          <t>FALABELLA</t>
        </is>
      </c>
      <c r="B44" s="30" t="inlineStr">
        <is>
          <t>Consumo</t>
        </is>
      </c>
      <c r="C44" s="30" t="n">
        <v>2023</v>
      </c>
      <c r="D44" s="62" t="n">
        <v>1.553105414928251</v>
      </c>
      <c r="E44" s="62" t="n">
        <v>0.05190685769938467</v>
      </c>
      <c r="F44" s="62" t="n">
        <v>0.05625733048671923</v>
      </c>
      <c r="G44" s="62" t="n">
        <v>0.007910628360999868</v>
      </c>
      <c r="H44" s="62" t="n">
        <v>0.6872188017556712</v>
      </c>
      <c r="I44" s="62" t="n">
        <v>1.501872987316939</v>
      </c>
      <c r="J44" s="62" t="n">
        <v>0.3924226593883405</v>
      </c>
      <c r="K44" s="62" t="n">
        <v>0.3333331792458309</v>
      </c>
      <c r="L44" s="30" t="n">
        <v>526293777</v>
      </c>
      <c r="M44" s="62" t="n">
        <v>0.3299515389104459</v>
      </c>
      <c r="N44" s="62" t="n">
        <v>-0.4001223575843192</v>
      </c>
      <c r="O44" s="62" t="n">
        <v>-0.7538042212791768</v>
      </c>
      <c r="P44" s="62" t="n">
        <v>-1.232195569891998</v>
      </c>
      <c r="Q44" s="62" t="n">
        <v>-0.8242036984894148</v>
      </c>
      <c r="R44" s="62" t="n">
        <v>-1.013345591373936</v>
      </c>
      <c r="S44" s="62" t="n">
        <v>-1.434973232311265</v>
      </c>
      <c r="T44" s="62" t="n">
        <v>0.8187348804956069</v>
      </c>
      <c r="U44" s="30" t="n">
        <v>8</v>
      </c>
      <c r="V44" s="62" t="n">
        <v>-0.5637447814405071</v>
      </c>
      <c r="W44" s="62" t="n">
        <v>-0.6686556905185516</v>
      </c>
    </row>
    <row r="45">
      <c r="A45" s="30" t="inlineStr">
        <is>
          <t>FALABELLA</t>
        </is>
      </c>
      <c r="B45" s="30" t="inlineStr">
        <is>
          <t>Consumo</t>
        </is>
      </c>
      <c r="C45" s="30" t="n">
        <v>2024</v>
      </c>
      <c r="D45" s="62" t="n">
        <v>1.543701872793412</v>
      </c>
      <c r="E45" s="62" t="n">
        <v>0.06224230004442474</v>
      </c>
      <c r="F45" s="62" t="n">
        <v>0.09515148021349062</v>
      </c>
      <c r="G45" s="62" t="n">
        <v>0.02515273580091839</v>
      </c>
      <c r="H45" s="62" t="n">
        <v>0.6658377318010307</v>
      </c>
      <c r="I45" s="62" t="n">
        <v>2.800116896535761</v>
      </c>
      <c r="J45" s="62" t="n">
        <v>0.4086046167437012</v>
      </c>
      <c r="K45" s="62" t="n">
        <v>0.597727332348637</v>
      </c>
      <c r="L45" s="30" t="n">
        <v>982163520</v>
      </c>
      <c r="M45" s="62" t="n">
        <v>0.3064929762649954</v>
      </c>
      <c r="N45" s="62" t="n">
        <v>-0.2935996271620505</v>
      </c>
      <c r="O45" s="62" t="n">
        <v>0.01735338470176127</v>
      </c>
      <c r="P45" s="62" t="n">
        <v>-0.5279414612313241</v>
      </c>
      <c r="Q45" s="62" t="n">
        <v>-0.5938136262302202</v>
      </c>
      <c r="R45" s="62" t="n">
        <v>-0.5727228911702203</v>
      </c>
      <c r="S45" s="62" t="n">
        <v>-1.397590404384639</v>
      </c>
      <c r="T45" s="62" t="n">
        <v>1.731816323437667</v>
      </c>
      <c r="U45" s="30" t="n">
        <v>8</v>
      </c>
      <c r="V45" s="62" t="n">
        <v>-0.1662506657217538</v>
      </c>
      <c r="W45" s="62" t="n">
        <v>-0.2790976026027865</v>
      </c>
    </row>
    <row r="46">
      <c r="A46" s="30" t="inlineStr">
        <is>
          <t>FALABELLA</t>
        </is>
      </c>
      <c r="B46" s="30" t="inlineStr">
        <is>
          <t>Consumo</t>
        </is>
      </c>
      <c r="C46" s="30" t="n">
        <v>2025</v>
      </c>
      <c r="D46" s="62" t="n">
        <v>1.5461148349306</v>
      </c>
      <c r="E46" s="62" t="n">
        <v>0.05347324439780891</v>
      </c>
      <c r="F46" s="62" t="n">
        <v>0.2250662100907945</v>
      </c>
      <c r="G46" s="62" t="n">
        <v>0.0740057112622679</v>
      </c>
      <c r="H46" s="62" t="n">
        <v>0.6207115900020493</v>
      </c>
      <c r="I46" s="62" t="n">
        <v>7.610503082831927</v>
      </c>
      <c r="J46" s="62" t="n">
        <v>0.4230181843373087</v>
      </c>
      <c r="K46" s="62" t="n">
        <v>0.833926546153134</v>
      </c>
      <c r="L46" s="30" t="n">
        <v>2552787807</v>
      </c>
      <c r="M46" s="62" t="n">
        <v>0.3125124764325555</v>
      </c>
      <c r="N46" s="62" t="n">
        <v>-0.3839783182250995</v>
      </c>
      <c r="O46" s="62" t="n">
        <v>2.593183754503709</v>
      </c>
      <c r="P46" s="62" t="n">
        <v>1.467458973944078</v>
      </c>
      <c r="Q46" s="62" t="n">
        <v>-0.1075603614543144</v>
      </c>
      <c r="R46" s="62" t="n">
        <v>1.059917428092942</v>
      </c>
      <c r="S46" s="62" t="n">
        <v>-1.326744502959672</v>
      </c>
      <c r="T46" s="62" t="n">
        <v>2.325299218531139</v>
      </c>
      <c r="U46" s="30" t="n">
        <v>8</v>
      </c>
      <c r="V46" s="62" t="n">
        <v>0.7425110836081673</v>
      </c>
      <c r="W46" s="62" t="n">
        <v>0.8168125255819948</v>
      </c>
    </row>
    <row r="47">
      <c r="A47" s="30" t="inlineStr">
        <is>
          <t>RIPLEY</t>
        </is>
      </c>
      <c r="B47" s="30" t="inlineStr">
        <is>
          <t>Consumo</t>
        </is>
      </c>
      <c r="C47" s="30" t="n">
        <v>2017</v>
      </c>
      <c r="D47" s="62" t="n">
        <v>1.182590086458377</v>
      </c>
      <c r="E47" s="62" t="n">
        <v>0.07516908033195999</v>
      </c>
      <c r="F47" s="62" t="n">
        <v>0.07359594155982407</v>
      </c>
      <c r="G47" s="62" t="n">
        <v>0.03088810722090848</v>
      </c>
      <c r="H47" s="62" t="n">
        <v>0.6600286675101628</v>
      </c>
      <c r="I47" s="62" t="n">
        <v>5.497858874843486</v>
      </c>
      <c r="J47" s="62" t="n">
        <v>0.6004956212722086</v>
      </c>
      <c r="K47" s="62" t="n">
        <v>0.7125136821218474</v>
      </c>
      <c r="L47" s="30" t="n">
        <v>122834400</v>
      </c>
      <c r="M47" s="62" t="n">
        <v>-0.5943551658798509</v>
      </c>
      <c r="N47" s="62" t="n">
        <v>-0.1603691484048613</v>
      </c>
      <c r="O47" s="62" t="n">
        <v>-0.4100301087172867</v>
      </c>
      <c r="P47" s="62" t="n">
        <v>-0.2936801389829976</v>
      </c>
      <c r="Q47" s="62" t="n">
        <v>-0.5312185014506534</v>
      </c>
      <c r="R47" s="62" t="n">
        <v>0.3428880710642339</v>
      </c>
      <c r="S47" s="62" t="n">
        <v>-0.4544032924586587</v>
      </c>
      <c r="T47" s="62" t="n">
        <v>2.128229347897483</v>
      </c>
      <c r="U47" s="30" t="n">
        <v>8</v>
      </c>
      <c r="V47" s="62" t="n">
        <v>0.003382632883426023</v>
      </c>
      <c r="W47" s="62" t="n">
        <v>-0.1993258226141061</v>
      </c>
    </row>
    <row r="48">
      <c r="A48" s="30" t="inlineStr">
        <is>
          <t>RIPLEY</t>
        </is>
      </c>
      <c r="B48" s="30" t="inlineStr">
        <is>
          <t>Consumo</t>
        </is>
      </c>
      <c r="C48" s="30" t="n">
        <v>2018</v>
      </c>
      <c r="D48" s="62" t="n">
        <v>1.170464670953181</v>
      </c>
      <c r="E48" s="62" t="n">
        <v>0.07158735555131639</v>
      </c>
      <c r="F48" s="62" t="n">
        <v>0.06528832518732003</v>
      </c>
      <c r="G48" s="62" t="n">
        <v>0.02343837399369426</v>
      </c>
      <c r="H48" s="62" t="n">
        <v>0.6602301171579239</v>
      </c>
      <c r="I48" s="62" t="n">
        <v>5.222013753896955</v>
      </c>
      <c r="J48" s="62" t="n">
        <v>0.5726586003213794</v>
      </c>
      <c r="K48" s="62" t="n">
        <v>-0.1199820093448188</v>
      </c>
      <c r="L48" s="30" t="n">
        <v>111124860</v>
      </c>
      <c r="M48" s="62" t="n">
        <v>-0.6246038546347955</v>
      </c>
      <c r="N48" s="62" t="n">
        <v>-0.1972843660141352</v>
      </c>
      <c r="O48" s="62" t="n">
        <v>-0.5747459232609479</v>
      </c>
      <c r="P48" s="62" t="n">
        <v>-0.5979645921435762</v>
      </c>
      <c r="Q48" s="62" t="n">
        <v>-0.5333892066119359</v>
      </c>
      <c r="R48" s="62" t="n">
        <v>0.249266509532999</v>
      </c>
      <c r="S48" s="62" t="n">
        <v>-0.5912284628711417</v>
      </c>
      <c r="T48" s="62" t="n">
        <v>-0.746782668392692</v>
      </c>
      <c r="U48" s="30" t="n">
        <v>8</v>
      </c>
      <c r="V48" s="62" t="n">
        <v>-0.4520915705495282</v>
      </c>
      <c r="W48" s="62" t="n">
        <v>-0.3931131288127205</v>
      </c>
    </row>
    <row r="49">
      <c r="A49" s="30" t="inlineStr">
        <is>
          <t>RIPLEY</t>
        </is>
      </c>
      <c r="B49" s="30" t="inlineStr">
        <is>
          <t>Consumo</t>
        </is>
      </c>
      <c r="C49" s="30" t="n">
        <v>2019</v>
      </c>
      <c r="D49" s="62" t="n">
        <v>1.107120801629864</v>
      </c>
      <c r="E49" s="62" t="n">
        <v>0.04271811894792886</v>
      </c>
      <c r="F49" s="62" t="n">
        <v>0.09836839140242833</v>
      </c>
      <c r="G49" s="62" t="n">
        <v>0.02784567598678582</v>
      </c>
      <c r="H49" s="62" t="n">
        <v>0.7136164505885947</v>
      </c>
      <c r="I49" s="62" t="n">
        <v>4.592660984737149</v>
      </c>
      <c r="J49" s="62" t="n">
        <v>0.478601624103614</v>
      </c>
      <c r="K49" s="62" t="n">
        <v>-0.4032705646690845</v>
      </c>
      <c r="L49" s="30" t="n">
        <v>169924098</v>
      </c>
      <c r="M49" s="62" t="n">
        <v>-0.7826247477640864</v>
      </c>
      <c r="N49" s="62" t="n">
        <v>-0.4948265326225271</v>
      </c>
      <c r="O49" s="62" t="n">
        <v>0.08113535573189178</v>
      </c>
      <c r="P49" s="62" t="n">
        <v>-0.4179482833739695</v>
      </c>
      <c r="Q49" s="62" t="n">
        <v>-1.108649530011991</v>
      </c>
      <c r="R49" s="62" t="n">
        <v>0.03566480144199716</v>
      </c>
      <c r="S49" s="62" t="n">
        <v>-1.053539491849811</v>
      </c>
      <c r="T49" s="62" t="n">
        <v>-1.686722292097763</v>
      </c>
      <c r="U49" s="30" t="n">
        <v>8</v>
      </c>
      <c r="V49" s="62" t="n">
        <v>-0.6784388400682824</v>
      </c>
      <c r="W49" s="62" t="n">
        <v>-0.4928359994262619</v>
      </c>
    </row>
    <row r="50">
      <c r="A50" s="30" t="inlineStr">
        <is>
          <t>RIPLEY</t>
        </is>
      </c>
      <c r="B50" s="30" t="inlineStr">
        <is>
          <t>Consumo</t>
        </is>
      </c>
      <c r="C50" s="30" t="n">
        <v>2020</v>
      </c>
      <c r="D50" s="62" t="n">
        <v>1.182905341847768</v>
      </c>
      <c r="E50" s="62" t="n">
        <v>0.08152745119997439</v>
      </c>
      <c r="F50" s="62" t="n">
        <v>-0.02450321368626159</v>
      </c>
      <c r="G50" s="62" t="n">
        <v>-0.02229323021924436</v>
      </c>
      <c r="H50" s="62" t="n">
        <v>0.745751423655508</v>
      </c>
      <c r="I50" s="62" t="n">
        <v>-0.8805002547307307</v>
      </c>
      <c r="J50" s="62" t="n">
        <v>0.4255547529419467</v>
      </c>
      <c r="K50" s="62" t="n">
        <v>-0.3102284495879966</v>
      </c>
      <c r="L50" s="30" t="n">
        <v>-36743575</v>
      </c>
      <c r="M50" s="62" t="n">
        <v>-0.5935687134776284</v>
      </c>
      <c r="N50" s="62" t="n">
        <v>-0.09483629521030572</v>
      </c>
      <c r="O50" s="62" t="n">
        <v>-2.316985518980589</v>
      </c>
      <c r="P50" s="62" t="n">
        <v>-2.272160177528312</v>
      </c>
      <c r="Q50" s="62" t="n">
        <v>-1.452949460949239</v>
      </c>
      <c r="R50" s="62" t="n">
        <v>-1.821920716086647</v>
      </c>
      <c r="S50" s="62" t="n">
        <v>-1.314276702177195</v>
      </c>
      <c r="T50" s="62" t="n">
        <v>-1.403796040788587</v>
      </c>
      <c r="U50" s="30" t="n">
        <v>8</v>
      </c>
      <c r="V50" s="62" t="n">
        <v>-1.408811703149813</v>
      </c>
      <c r="W50" s="62" t="n">
        <v>-1.462067427321627</v>
      </c>
    </row>
    <row r="51">
      <c r="A51" s="30" t="inlineStr">
        <is>
          <t>RIPLEY</t>
        </is>
      </c>
      <c r="B51" s="30" t="inlineStr">
        <is>
          <t>Consumo</t>
        </is>
      </c>
      <c r="C51" s="30" t="n">
        <v>2021</v>
      </c>
      <c r="D51" s="62" t="n">
        <v>1.036565836198114</v>
      </c>
      <c r="E51" s="62" t="n">
        <v>0.01609277949173248</v>
      </c>
      <c r="F51" s="62" t="n">
        <v>0.06788642028469996</v>
      </c>
      <c r="G51" s="62" t="n">
        <v>0.0222197915303929</v>
      </c>
      <c r="H51" s="62" t="n">
        <v>0.7251283111419301</v>
      </c>
      <c r="I51" s="62" t="n">
        <v>3.269820305186259</v>
      </c>
      <c r="J51" s="62" t="n">
        <v>0.5830294341295186</v>
      </c>
      <c r="K51" s="62" t="n">
        <v>-0.311071342389919</v>
      </c>
      <c r="L51" s="30" t="n">
        <v>139995110</v>
      </c>
      <c r="M51" s="62" t="n">
        <v>-0.9586348142683009</v>
      </c>
      <c r="N51" s="62" t="n">
        <v>-0.7692418660557288</v>
      </c>
      <c r="O51" s="62" t="n">
        <v>-0.5232332713716265</v>
      </c>
      <c r="P51" s="62" t="n">
        <v>-0.6477376091319149</v>
      </c>
      <c r="Q51" s="62" t="n">
        <v>-1.232694696617186</v>
      </c>
      <c r="R51" s="62" t="n">
        <v>-0.4133060183123266</v>
      </c>
      <c r="S51" s="62" t="n">
        <v>-0.5402535002260848</v>
      </c>
      <c r="T51" s="62" t="n">
        <v>-1.406706959077788</v>
      </c>
      <c r="U51" s="30" t="n">
        <v>8</v>
      </c>
      <c r="V51" s="62" t="n">
        <v>-0.8114760918826196</v>
      </c>
      <c r="W51" s="62" t="n">
        <v>-0.7550464218943655</v>
      </c>
    </row>
    <row r="52">
      <c r="A52" s="30" t="inlineStr">
        <is>
          <t>RIPLEY</t>
        </is>
      </c>
      <c r="B52" s="30" t="inlineStr">
        <is>
          <t>Consumo</t>
        </is>
      </c>
      <c r="C52" s="30" t="n">
        <v>2022</v>
      </c>
      <c r="D52" s="62" t="n">
        <v>1.06771449022141</v>
      </c>
      <c r="E52" s="62" t="n">
        <v>0.0296867823979585</v>
      </c>
      <c r="F52" s="62" t="n">
        <v>0.01600842611448148</v>
      </c>
      <c r="G52" s="62" t="n">
        <v>0.005437576074421047</v>
      </c>
      <c r="H52" s="62" t="n">
        <v>0.7381368593331483</v>
      </c>
      <c r="I52" s="62" t="n">
        <v>0.754675465421989</v>
      </c>
      <c r="J52" s="62" t="n">
        <v>0.5367532139536538</v>
      </c>
      <c r="K52" s="62" t="n">
        <v>0.05035552538995902</v>
      </c>
      <c r="L52" s="30" t="n">
        <v>33212705</v>
      </c>
      <c r="M52" s="62" t="n">
        <v>-0.880929770652903</v>
      </c>
      <c r="N52" s="62" t="n">
        <v>-0.6291346254948664</v>
      </c>
      <c r="O52" s="62" t="n">
        <v>-1.551822662538133</v>
      </c>
      <c r="P52" s="62" t="n">
        <v>-1.333207423566193</v>
      </c>
      <c r="Q52" s="62" t="n">
        <v>-1.372867305570814</v>
      </c>
      <c r="R52" s="62" t="n">
        <v>-1.266943692119877</v>
      </c>
      <c r="S52" s="62" t="n">
        <v>-0.7677114499396182</v>
      </c>
      <c r="T52" s="62" t="n">
        <v>-0.1585244176803635</v>
      </c>
      <c r="U52" s="30" t="n">
        <v>8</v>
      </c>
      <c r="V52" s="62" t="n">
        <v>-0.995142668445346</v>
      </c>
      <c r="W52" s="62" t="n">
        <v>-1.137373615694347</v>
      </c>
    </row>
    <row r="53">
      <c r="A53" s="30" t="inlineStr">
        <is>
          <t>RIPLEY</t>
        </is>
      </c>
      <c r="B53" s="30" t="inlineStr">
        <is>
          <t>Consumo</t>
        </is>
      </c>
      <c r="C53" s="30" t="n">
        <v>2023</v>
      </c>
      <c r="D53" s="62" t="n">
        <v>0.8433197888049953</v>
      </c>
      <c r="E53" s="62" t="n">
        <v>-0.07535177798197955</v>
      </c>
      <c r="F53" s="62" t="n">
        <v>-0.02088087102726425</v>
      </c>
      <c r="G53" s="62" t="n">
        <v>-0.01334488957009568</v>
      </c>
      <c r="H53" s="62" t="n">
        <v>0.7454068246696294</v>
      </c>
      <c r="I53" s="62" t="n">
        <v>-0.9424236032483622</v>
      </c>
      <c r="J53" s="62" t="n">
        <v>0.5155984780263221</v>
      </c>
      <c r="K53" s="62" t="n">
        <v>0.4263533380760407</v>
      </c>
      <c r="L53" s="30" t="n">
        <v>-40225281</v>
      </c>
      <c r="M53" s="62" t="n">
        <v>-1.440716400520964</v>
      </c>
      <c r="N53" s="62" t="n">
        <v>-1.711719567460595</v>
      </c>
      <c r="O53" s="62" t="n">
        <v>-2.283229886246312</v>
      </c>
      <c r="P53" s="62" t="n">
        <v>-2.100377483665956</v>
      </c>
      <c r="Q53" s="62" t="n">
        <v>-1.451204257030541</v>
      </c>
      <c r="R53" s="62" t="n">
        <v>-1.831798576042546</v>
      </c>
      <c r="S53" s="62" t="n">
        <v>-0.871691698163774</v>
      </c>
      <c r="T53" s="62" t="n">
        <v>1.139978674469983</v>
      </c>
      <c r="U53" s="30" t="n">
        <v>8</v>
      </c>
      <c r="V53" s="62" t="n">
        <v>-1.318844899332588</v>
      </c>
      <c r="W53" s="62" t="n">
        <v>-1.691139457150431</v>
      </c>
    </row>
    <row r="54">
      <c r="A54" s="30" t="inlineStr">
        <is>
          <t>RIPLEY</t>
        </is>
      </c>
      <c r="B54" s="30" t="inlineStr">
        <is>
          <t>Consumo</t>
        </is>
      </c>
      <c r="C54" s="30" t="n">
        <v>2024</v>
      </c>
      <c r="D54" s="62" t="n">
        <v>0.8550985750609059</v>
      </c>
      <c r="E54" s="62" t="n">
        <v>-0.06780775383935336</v>
      </c>
      <c r="F54" s="62" t="n">
        <v>0.05844700384774345</v>
      </c>
      <c r="G54" s="62" t="n">
        <v>0.01370414047370191</v>
      </c>
      <c r="H54" s="62" t="n">
        <v>0.7325503870701355</v>
      </c>
      <c r="I54" s="62" t="n">
        <v>2.390576794754382</v>
      </c>
      <c r="J54" s="62" t="n">
        <v>0.5292196268166409</v>
      </c>
      <c r="K54" s="62" t="n">
        <v>0.5530929722485656</v>
      </c>
      <c r="L54" s="30" t="n">
        <v>121997739</v>
      </c>
      <c r="M54" s="62" t="n">
        <v>-1.411332431022074</v>
      </c>
      <c r="N54" s="62" t="n">
        <v>-1.633966722133205</v>
      </c>
      <c r="O54" s="62" t="n">
        <v>-0.71038938180255</v>
      </c>
      <c r="P54" s="62" t="n">
        <v>-0.9955594902733524</v>
      </c>
      <c r="Q54" s="62" t="n">
        <v>-1.312670704040582</v>
      </c>
      <c r="R54" s="62" t="n">
        <v>-0.711720397114383</v>
      </c>
      <c r="S54" s="62" t="n">
        <v>-0.8047407120025322</v>
      </c>
      <c r="T54" s="62" t="n">
        <v>1.57767219639594</v>
      </c>
      <c r="U54" s="30" t="n">
        <v>8</v>
      </c>
      <c r="V54" s="62" t="n">
        <v>-0.7503384552490924</v>
      </c>
      <c r="W54" s="62" t="n">
        <v>-1.017762680272836</v>
      </c>
    </row>
    <row r="55">
      <c r="A55" s="30" t="inlineStr">
        <is>
          <t>RIPLEY</t>
        </is>
      </c>
      <c r="B55" s="30" t="inlineStr">
        <is>
          <t>Consumo</t>
        </is>
      </c>
      <c r="C55" s="30" t="n">
        <v>2025</v>
      </c>
      <c r="D55" s="62" t="n">
        <v>0.8326216855459099</v>
      </c>
      <c r="E55" s="62" t="n">
        <v>-0.07669743620342591</v>
      </c>
      <c r="F55" s="62" t="n">
        <v>0.08821902048624394</v>
      </c>
      <c r="G55" s="62" t="n">
        <v>0.02888576087077722</v>
      </c>
      <c r="H55" s="62" t="n">
        <v>0.719296806750664</v>
      </c>
      <c r="I55" s="62" t="n">
        <v>3.695652323246643</v>
      </c>
      <c r="J55" s="62" t="n">
        <v>0.5380356321946719</v>
      </c>
      <c r="K55" s="62" t="n">
        <v>0.5637870977864545</v>
      </c>
      <c r="L55" s="30" t="n">
        <v>195829054</v>
      </c>
      <c r="M55" s="62" t="n">
        <v>-1.467404442313317</v>
      </c>
      <c r="N55" s="62" t="n">
        <v>-1.718238040119411</v>
      </c>
      <c r="O55" s="62" t="n">
        <v>-0.1200970823833458</v>
      </c>
      <c r="P55" s="62" t="n">
        <v>-0.3754660023964728</v>
      </c>
      <c r="Q55" s="62" t="n">
        <v>-1.169857770264396</v>
      </c>
      <c r="R55" s="62" t="n">
        <v>-0.2687790520784811</v>
      </c>
      <c r="S55" s="62" t="n">
        <v>-0.7614080780853772</v>
      </c>
      <c r="T55" s="62" t="n">
        <v>1.61460420666374</v>
      </c>
      <c r="U55" s="30" t="n">
        <v>8</v>
      </c>
      <c r="V55" s="62" t="n">
        <v>-0.5333307826221325</v>
      </c>
      <c r="W55" s="62" t="n">
        <v>-0.7424493960790244</v>
      </c>
    </row>
    <row r="56">
      <c r="A56" s="30" t="inlineStr">
        <is>
          <t>BCI</t>
        </is>
      </c>
      <c r="B56" s="30" t="inlineStr">
        <is>
          <t>Financiero (bancos)</t>
        </is>
      </c>
      <c r="C56" s="30" t="n">
        <v>2017</v>
      </c>
      <c r="D56" s="62" t="n">
        <v>0.07394923582810051</v>
      </c>
      <c r="E56" s="62" t="n"/>
      <c r="F56" s="62" t="n">
        <v>0.5371267659494953</v>
      </c>
      <c r="G56" s="62" t="n">
        <v>0.01096185872277974</v>
      </c>
      <c r="H56" s="62" t="n">
        <v>0.9194801489201377</v>
      </c>
      <c r="I56" s="62" t="n">
        <v>3.534546890944402</v>
      </c>
      <c r="J56" s="62" t="n">
        <v>0.04074863098138097</v>
      </c>
      <c r="K56" s="62" t="n">
        <v>0.3114746700502624</v>
      </c>
      <c r="M56" s="62" t="n">
        <v>-0.7935341540601112</v>
      </c>
      <c r="N56" s="62" t="n"/>
      <c r="O56" s="62" t="n">
        <v>-0.3036044373646079</v>
      </c>
      <c r="P56" s="62" t="n">
        <v>-0.02386508026731999</v>
      </c>
      <c r="Q56" s="62" t="n">
        <v>-0.1755761441106762</v>
      </c>
      <c r="R56" s="62" t="n">
        <v>0.4609656424270543</v>
      </c>
      <c r="S56" s="62" t="n">
        <v>0.02703254788051067</v>
      </c>
      <c r="T56" s="62" t="n">
        <v>0.4778230370204203</v>
      </c>
      <c r="U56" s="30" t="n">
        <v>7</v>
      </c>
      <c r="V56" s="62" t="n">
        <v>-0.04725122692496143</v>
      </c>
      <c r="W56" s="62" t="n">
        <v>-0.01096634796063812</v>
      </c>
    </row>
    <row r="57">
      <c r="A57" s="30" t="inlineStr">
        <is>
          <t>BCI</t>
        </is>
      </c>
      <c r="B57" s="30" t="inlineStr">
        <is>
          <t>Financiero (bancos)</t>
        </is>
      </c>
      <c r="C57" s="30" t="n">
        <v>2018</v>
      </c>
      <c r="D57" s="62" t="n">
        <v>0.08385526396447604</v>
      </c>
      <c r="E57" s="62" t="n"/>
      <c r="F57" s="62" t="n">
        <v>0.5452153446593275</v>
      </c>
      <c r="G57" s="62" t="n">
        <v>0.009573148952869497</v>
      </c>
      <c r="H57" s="62" t="n">
        <v>0.9163630793410267</v>
      </c>
      <c r="I57" s="62" t="n">
        <v>2.951271623991318</v>
      </c>
      <c r="J57" s="62" t="n">
        <v>0.03833648970318225</v>
      </c>
      <c r="K57" s="62" t="n">
        <v>0.0933694611829381</v>
      </c>
      <c r="M57" s="62" t="n">
        <v>-0.5150543429250732</v>
      </c>
      <c r="N57" s="62" t="n"/>
      <c r="O57" s="62" t="n">
        <v>-0.3587418148179496</v>
      </c>
      <c r="P57" s="62" t="n">
        <v>-0.2187851126909433</v>
      </c>
      <c r="Q57" s="62" t="n">
        <v>0.01763165647557216</v>
      </c>
      <c r="R57" s="62" t="n">
        <v>-0.03651551903190602</v>
      </c>
      <c r="S57" s="62" t="n">
        <v>-0.2726409732994713</v>
      </c>
      <c r="T57" s="62" t="n">
        <v>-0.1804736962418181</v>
      </c>
      <c r="U57" s="30" t="n">
        <v>7</v>
      </c>
      <c r="V57" s="62" t="n">
        <v>-0.2235114003616556</v>
      </c>
      <c r="W57" s="62" t="n">
        <v>-0.2286365058305827</v>
      </c>
    </row>
    <row r="58">
      <c r="A58" s="30" t="inlineStr">
        <is>
          <t>BCI</t>
        </is>
      </c>
      <c r="B58" s="30" t="inlineStr">
        <is>
          <t>Financiero (bancos)</t>
        </is>
      </c>
      <c r="C58" s="30" t="n">
        <v>2019</v>
      </c>
      <c r="D58" s="62" t="n">
        <v>0.1144596929858706</v>
      </c>
      <c r="E58" s="62" t="n"/>
      <c r="F58" s="62" t="n">
        <v>0.50625704360108</v>
      </c>
      <c r="G58" s="62" t="n">
        <v>0.008000914642262432</v>
      </c>
      <c r="H58" s="62" t="n">
        <v>0.9246568402884421</v>
      </c>
      <c r="I58" s="62" t="n">
        <v>2.278343469251707</v>
      </c>
      <c r="J58" s="62" t="n">
        <v>0.03758273797485807</v>
      </c>
      <c r="K58" s="62" t="n">
        <v>-0.1937168462338623</v>
      </c>
      <c r="M58" s="62" t="n">
        <v>0.3453021487426309</v>
      </c>
      <c r="N58" s="62" t="n"/>
      <c r="O58" s="62" t="n">
        <v>-0.09317494238603637</v>
      </c>
      <c r="P58" s="62" t="n">
        <v>-0.4394647460032881</v>
      </c>
      <c r="Q58" s="62" t="n">
        <v>-0.496447118658871</v>
      </c>
      <c r="R58" s="62" t="n">
        <v>-0.6104625024983319</v>
      </c>
      <c r="S58" s="62" t="n">
        <v>-0.366283678461037</v>
      </c>
      <c r="T58" s="62" t="n">
        <v>-1.046972847354535</v>
      </c>
      <c r="U58" s="30" t="n">
        <v>7</v>
      </c>
      <c r="V58" s="62" t="n">
        <v>-0.3867862409456384</v>
      </c>
      <c r="W58" s="62" t="n">
        <v>-0.3881339321688435</v>
      </c>
    </row>
    <row r="59">
      <c r="A59" s="30" t="inlineStr">
        <is>
          <t>BCI</t>
        </is>
      </c>
      <c r="B59" s="30" t="inlineStr">
        <is>
          <t>Financiero (bancos)</t>
        </is>
      </c>
      <c r="C59" s="30" t="n">
        <v>2020</v>
      </c>
      <c r="D59" s="62" t="n">
        <v>0.1504233191024657</v>
      </c>
      <c r="E59" s="62" t="n"/>
      <c r="F59" s="62" t="n">
        <v>0.5096918410807705</v>
      </c>
      <c r="G59" s="62" t="n">
        <v>0.005555520660986114</v>
      </c>
      <c r="H59" s="62" t="n">
        <v>0.9318586915503398</v>
      </c>
      <c r="I59" s="62" t="n">
        <v>1.523309747045087</v>
      </c>
      <c r="J59" s="62" t="n">
        <v>0.03555737574960898</v>
      </c>
      <c r="K59" s="62" t="n">
        <v>-0.1104487170611176</v>
      </c>
      <c r="M59" s="62" t="n">
        <v>1.356317226713621</v>
      </c>
      <c r="N59" s="62" t="n"/>
      <c r="O59" s="62" t="n">
        <v>-0.1165889106377474</v>
      </c>
      <c r="P59" s="62" t="n">
        <v>-0.7827015291287663</v>
      </c>
      <c r="Q59" s="62" t="n">
        <v>-0.9428451881101738</v>
      </c>
      <c r="R59" s="62" t="n">
        <v>-1.254438124893862</v>
      </c>
      <c r="S59" s="62" t="n">
        <v>-0.6179055196819454</v>
      </c>
      <c r="T59" s="62" t="n">
        <v>-0.7956485543495914</v>
      </c>
      <c r="U59" s="30" t="n">
        <v>7</v>
      </c>
      <c r="V59" s="62" t="n">
        <v>-0.4505443714412093</v>
      </c>
      <c r="W59" s="62" t="n">
        <v>-0.5088912510463227</v>
      </c>
    </row>
    <row r="60">
      <c r="A60" s="30" t="inlineStr">
        <is>
          <t>BCI</t>
        </is>
      </c>
      <c r="B60" s="30" t="inlineStr">
        <is>
          <t>Financiero (bancos)</t>
        </is>
      </c>
      <c r="C60" s="30" t="n">
        <v>2021</v>
      </c>
      <c r="D60" s="62" t="n">
        <v>0.1028204043813649</v>
      </c>
      <c r="E60" s="62" t="n"/>
      <c r="F60" s="62" t="n">
        <v>0.4816631448714039</v>
      </c>
      <c r="G60" s="62" t="n">
        <v>0.00752682593470542</v>
      </c>
      <c r="H60" s="62" t="n">
        <v>0.9349108601537734</v>
      </c>
      <c r="I60" s="62" t="n">
        <v>2.802613938508782</v>
      </c>
      <c r="J60" s="62" t="n">
        <v>0.03125138359441859</v>
      </c>
      <c r="K60" s="62" t="n">
        <v>-0.04754018271293048</v>
      </c>
      <c r="M60" s="62" t="n">
        <v>0.01809664844462068</v>
      </c>
      <c r="N60" s="62" t="n"/>
      <c r="O60" s="62" t="n">
        <v>0.07447417446795955</v>
      </c>
      <c r="P60" s="62" t="n">
        <v>-0.5060080859083999</v>
      </c>
      <c r="Q60" s="62" t="n">
        <v>-1.132030179949843</v>
      </c>
      <c r="R60" s="62" t="n">
        <v>-0.1633071082243921</v>
      </c>
      <c r="S60" s="62" t="n">
        <v>-1.152862507061595</v>
      </c>
      <c r="T60" s="62" t="n">
        <v>-0.6057746725161751</v>
      </c>
      <c r="U60" s="30" t="n">
        <v>7</v>
      </c>
      <c r="V60" s="62" t="n">
        <v>-0.4953445329639749</v>
      </c>
      <c r="W60" s="62" t="n">
        <v>-0.4478211206238801</v>
      </c>
    </row>
    <row r="61">
      <c r="A61" s="30" t="inlineStr">
        <is>
          <t>BCI</t>
        </is>
      </c>
      <c r="B61" s="30" t="inlineStr">
        <is>
          <t>Financiero (bancos)</t>
        </is>
      </c>
      <c r="C61" s="30" t="n">
        <v>2022</v>
      </c>
      <c r="D61" s="62" t="n">
        <v>0.100462222401538</v>
      </c>
      <c r="E61" s="62" t="n"/>
      <c r="F61" s="62" t="n">
        <v>0.4787969870463153</v>
      </c>
      <c r="G61" s="62" t="n">
        <v>0.01051932357292189</v>
      </c>
      <c r="H61" s="62" t="n">
        <v>0.9387975067558881</v>
      </c>
      <c r="I61" s="62" t="n">
        <v>2.842712665620639</v>
      </c>
      <c r="J61" s="62" t="n">
        <v>0.03458192068575382</v>
      </c>
      <c r="K61" s="62" t="n">
        <v>0.1000193346002161</v>
      </c>
      <c r="M61" s="62" t="n">
        <v>-0.04819693192113585</v>
      </c>
      <c r="N61" s="62" t="n"/>
      <c r="O61" s="62" t="n">
        <v>0.09401189938997316</v>
      </c>
      <c r="P61" s="62" t="n">
        <v>-0.0859795462471053</v>
      </c>
      <c r="Q61" s="62" t="n">
        <v>-1.372939284668881</v>
      </c>
      <c r="R61" s="62" t="n">
        <v>-0.1291065129534165</v>
      </c>
      <c r="S61" s="62" t="n">
        <v>-0.7390916443838158</v>
      </c>
      <c r="T61" s="62" t="n">
        <v>-0.1604026948662186</v>
      </c>
      <c r="U61" s="30" t="n">
        <v>7</v>
      </c>
      <c r="V61" s="62" t="n">
        <v>-0.348814959378657</v>
      </c>
      <c r="W61" s="62" t="n">
        <v>-0.263268977916663</v>
      </c>
    </row>
    <row r="62">
      <c r="A62" s="30" t="inlineStr">
        <is>
          <t>BCI</t>
        </is>
      </c>
      <c r="B62" s="30" t="inlineStr">
        <is>
          <t>Financiero (bancos)</t>
        </is>
      </c>
      <c r="C62" s="30" t="n">
        <v>2023</v>
      </c>
      <c r="D62" s="62" t="n">
        <v>0.08566851783887566</v>
      </c>
      <c r="E62" s="62" t="n"/>
      <c r="F62" s="62" t="n">
        <v>0.517035217525446</v>
      </c>
      <c r="G62" s="62" t="n">
        <v>0.008607329970747077</v>
      </c>
      <c r="H62" s="62" t="n">
        <v>0.923489443514011</v>
      </c>
      <c r="I62" s="62" t="n">
        <v>3.048749579759056</v>
      </c>
      <c r="J62" s="62" t="n">
        <v>0.03178177069907812</v>
      </c>
      <c r="K62" s="62" t="n">
        <v>0.3016327111704238</v>
      </c>
      <c r="M62" s="62" t="n">
        <v>-0.4640798666232687</v>
      </c>
      <c r="N62" s="62" t="n"/>
      <c r="O62" s="62" t="n">
        <v>-0.1666464712225105</v>
      </c>
      <c r="P62" s="62" t="n">
        <v>-0.3543479721088772</v>
      </c>
      <c r="Q62" s="62" t="n">
        <v>-0.4240874367605799</v>
      </c>
      <c r="R62" s="62" t="n">
        <v>0.04662437974230304</v>
      </c>
      <c r="S62" s="62" t="n">
        <v>-1.086969612363292</v>
      </c>
      <c r="T62" s="62" t="n">
        <v>0.4481175136487147</v>
      </c>
      <c r="U62" s="30" t="n">
        <v>7</v>
      </c>
      <c r="V62" s="62" t="n">
        <v>-0.2859127808125015</v>
      </c>
      <c r="W62" s="62" t="n">
        <v>-0.292979725942615</v>
      </c>
    </row>
    <row r="63">
      <c r="A63" s="30" t="inlineStr">
        <is>
          <t>BCI</t>
        </is>
      </c>
      <c r="B63" s="30" t="inlineStr">
        <is>
          <t>Financiero (bancos)</t>
        </is>
      </c>
      <c r="C63" s="30" t="n">
        <v>2024</v>
      </c>
      <c r="D63" s="62" t="n">
        <v>0.07259421764454804</v>
      </c>
      <c r="E63" s="62" t="n"/>
      <c r="F63" s="62" t="n">
        <v>0.4886754738150529</v>
      </c>
      <c r="G63" s="62" t="n">
        <v>0.009610896038029273</v>
      </c>
      <c r="H63" s="62" t="n">
        <v>0.9161114889210213</v>
      </c>
      <c r="I63" s="62" t="n">
        <v>4.354385479984127</v>
      </c>
      <c r="J63" s="62" t="n">
        <v>0.03280939665670974</v>
      </c>
      <c r="K63" s="62" t="n">
        <v>0.1994519869830731</v>
      </c>
      <c r="M63" s="62" t="n">
        <v>-0.8316266370053794</v>
      </c>
      <c r="N63" s="62" t="n"/>
      <c r="O63" s="62" t="n">
        <v>0.02667326386756273</v>
      </c>
      <c r="P63" s="62" t="n">
        <v>-0.2134869119994364</v>
      </c>
      <c r="Q63" s="62" t="n">
        <v>0.03322618539579703</v>
      </c>
      <c r="R63" s="62" t="n">
        <v>1.160213967518753</v>
      </c>
      <c r="S63" s="62" t="n">
        <v>-0.9593020118115603</v>
      </c>
      <c r="T63" s="62" t="n">
        <v>0.1397102212038061</v>
      </c>
      <c r="U63" s="30" t="n">
        <v>7</v>
      </c>
      <c r="V63" s="62" t="n">
        <v>-0.09208456040435106</v>
      </c>
      <c r="W63" s="62" t="n">
        <v>-0.05056305819464633</v>
      </c>
    </row>
    <row r="64">
      <c r="A64" s="30" t="inlineStr">
        <is>
          <t>BCI</t>
        </is>
      </c>
      <c r="B64" s="30" t="inlineStr">
        <is>
          <t>Financiero (bancos)</t>
        </is>
      </c>
      <c r="C64" s="30" t="n">
        <v>2025</v>
      </c>
      <c r="D64" s="62" t="n">
        <v>0.07212758184164833</v>
      </c>
      <c r="E64" s="62" t="n"/>
      <c r="F64" s="62" t="n">
        <v>0.5166242874082979</v>
      </c>
      <c r="G64" s="62" t="n">
        <v>0.01221363695550245</v>
      </c>
      <c r="H64" s="62" t="n">
        <v>0.908708027460063</v>
      </c>
      <c r="I64" s="62" t="n">
        <v>4.734983592729356</v>
      </c>
      <c r="J64" s="62" t="n">
        <v>0.0375055913385659</v>
      </c>
      <c r="K64" s="62" t="n">
        <v>1.185247648095751</v>
      </c>
      <c r="M64" s="62" t="n">
        <v>-0.8447447756247499</v>
      </c>
      <c r="N64" s="62" t="n"/>
      <c r="O64" s="62" t="n">
        <v>-0.1638452857746149</v>
      </c>
      <c r="P64" s="62" t="n">
        <v>0.1518351697030307</v>
      </c>
      <c r="Q64" s="62" t="n">
        <v>0.4921208200175721</v>
      </c>
      <c r="R64" s="62" t="n">
        <v>1.484829808280632</v>
      </c>
      <c r="S64" s="62" t="n">
        <v>-0.3758680275842893</v>
      </c>
      <c r="T64" s="62" t="n">
        <v>2.961463627496042</v>
      </c>
      <c r="U64" s="30" t="n">
        <v>7</v>
      </c>
      <c r="V64" s="62" t="n">
        <v>0.529398762359089</v>
      </c>
      <c r="W64" s="62" t="n">
        <v>0.4940389677543818</v>
      </c>
    </row>
    <row r="65">
      <c r="A65" s="30" t="inlineStr">
        <is>
          <t>BSANTANDER</t>
        </is>
      </c>
      <c r="B65" s="30" t="inlineStr">
        <is>
          <t>Financiero (bancos)</t>
        </is>
      </c>
      <c r="C65" s="30" t="n">
        <v>2017</v>
      </c>
      <c r="D65" s="62" t="n">
        <v>0.07381941906536346</v>
      </c>
      <c r="E65" s="62" t="n"/>
      <c r="F65" s="62" t="n">
        <v>0.4425109550883896</v>
      </c>
      <c r="G65" s="62" t="n">
        <v>0.01612273773199008</v>
      </c>
      <c r="H65" s="62" t="n">
        <v>0.9131929733873428</v>
      </c>
      <c r="I65" s="62" t="n">
        <v>3.409304657341956</v>
      </c>
      <c r="J65" s="62" t="n">
        <v>0.05090645729802296</v>
      </c>
      <c r="K65" s="62" t="n">
        <v>0.3514781981527775</v>
      </c>
      <c r="M65" s="62" t="n">
        <v>-0.7971835831826093</v>
      </c>
      <c r="N65" s="62" t="n"/>
      <c r="O65" s="62" t="n">
        <v>0.3413627272821655</v>
      </c>
      <c r="P65" s="62" t="n">
        <v>0.7005186070993347</v>
      </c>
      <c r="Q65" s="62" t="n">
        <v>0.2141268528103605</v>
      </c>
      <c r="R65" s="62" t="n">
        <v>0.3541453204172904</v>
      </c>
      <c r="S65" s="62" t="n">
        <v>1.288994940943962</v>
      </c>
      <c r="T65" s="62" t="n">
        <v>0.598563811647537</v>
      </c>
      <c r="U65" s="30" t="n">
        <v>7</v>
      </c>
      <c r="V65" s="62" t="n">
        <v>0.3857898110025773</v>
      </c>
      <c r="W65" s="62" t="n">
        <v>0.4589641315369825</v>
      </c>
    </row>
    <row r="66">
      <c r="A66" s="30" t="inlineStr">
        <is>
          <t>BSANTANDER</t>
        </is>
      </c>
      <c r="B66" s="30" t="inlineStr">
        <is>
          <t>Financiero (bancos)</t>
        </is>
      </c>
      <c r="C66" s="30" t="n">
        <v>2018</v>
      </c>
      <c r="D66" s="62" t="n">
        <v>0.09470487641107649</v>
      </c>
      <c r="E66" s="62" t="n"/>
      <c r="F66" s="62" t="n">
        <v>0.4150106413400791</v>
      </c>
      <c r="G66" s="62" t="n">
        <v>0.01521179132592515</v>
      </c>
      <c r="H66" s="62" t="n">
        <v>0.9161752389625464</v>
      </c>
      <c r="I66" s="62" t="n">
        <v>3.344491440700124</v>
      </c>
      <c r="J66" s="62" t="n">
        <v>0.0471935147870688</v>
      </c>
      <c r="K66" s="62" t="n">
        <v>0.1209570675253246</v>
      </c>
      <c r="M66" s="62" t="n">
        <v>-0.2100483421927622</v>
      </c>
      <c r="N66" s="62" t="n"/>
      <c r="O66" s="62" t="n">
        <v>0.5288239900850794</v>
      </c>
      <c r="P66" s="62" t="n">
        <v>0.5726576912667655</v>
      </c>
      <c r="Q66" s="62" t="n">
        <v>0.02927471591533502</v>
      </c>
      <c r="R66" s="62" t="n">
        <v>0.2988654960878575</v>
      </c>
      <c r="S66" s="62" t="n">
        <v>0.8277157587281641</v>
      </c>
      <c r="T66" s="62" t="n">
        <v>-0.09720731655271538</v>
      </c>
      <c r="U66" s="30" t="n">
        <v>7</v>
      </c>
      <c r="V66" s="62" t="n">
        <v>0.2785831419053891</v>
      </c>
      <c r="W66" s="62" t="n">
        <v>0.354194290355147</v>
      </c>
    </row>
    <row r="67">
      <c r="A67" s="30" t="inlineStr">
        <is>
          <t>BSANTANDER</t>
        </is>
      </c>
      <c r="B67" s="30" t="inlineStr">
        <is>
          <t>Financiero (bancos)</t>
        </is>
      </c>
      <c r="C67" s="30" t="n">
        <v>2019</v>
      </c>
      <c r="D67" s="62" t="n">
        <v>0.1513189579216465</v>
      </c>
      <c r="E67" s="62" t="n"/>
      <c r="F67" s="62" t="n">
        <v>0.4203489026914258</v>
      </c>
      <c r="G67" s="62" t="n">
        <v>0.01095680542184084</v>
      </c>
      <c r="H67" s="62" t="n">
        <v>0.9313871619826437</v>
      </c>
      <c r="I67" s="62" t="n">
        <v>2.671185666683316</v>
      </c>
      <c r="J67" s="62" t="n">
        <v>0.03826850776913063</v>
      </c>
      <c r="K67" s="62" t="n">
        <v>-0.1362951791483554</v>
      </c>
      <c r="M67" s="62" t="n">
        <v>1.381495565173494</v>
      </c>
      <c r="N67" s="62" t="n"/>
      <c r="O67" s="62" t="n">
        <v>0.492434688375497</v>
      </c>
      <c r="P67" s="62" t="n">
        <v>-0.02457436424025462</v>
      </c>
      <c r="Q67" s="62" t="n">
        <v>-0.9136179962321097</v>
      </c>
      <c r="R67" s="62" t="n">
        <v>-0.2754035625414513</v>
      </c>
      <c r="S67" s="62" t="n">
        <v>-0.2810867412725182</v>
      </c>
      <c r="T67" s="62" t="n">
        <v>-0.8736597199094435</v>
      </c>
      <c r="U67" s="30" t="n">
        <v>7</v>
      </c>
      <c r="V67" s="62" t="n">
        <v>-0.07063030437811228</v>
      </c>
      <c r="W67" s="62" t="n">
        <v>-0.02894778143385279</v>
      </c>
    </row>
    <row r="68">
      <c r="A68" s="30" t="inlineStr">
        <is>
          <t>BSANTANDER</t>
        </is>
      </c>
      <c r="B68" s="30" t="inlineStr">
        <is>
          <t>Financiero (bancos)</t>
        </is>
      </c>
      <c r="C68" s="30" t="n">
        <v>2020</v>
      </c>
      <c r="D68" s="62" t="n">
        <v>0.1114951768872408</v>
      </c>
      <c r="E68" s="62" t="n"/>
      <c r="F68" s="62" t="n">
        <v>0.4253150250226861</v>
      </c>
      <c r="G68" s="62" t="n">
        <v>0.009368945040720594</v>
      </c>
      <c r="H68" s="62" t="n">
        <v>0.934513160543722</v>
      </c>
      <c r="I68" s="62" t="n">
        <v>2.2790462419263</v>
      </c>
      <c r="J68" s="62" t="n">
        <v>0.0362944672498211</v>
      </c>
      <c r="K68" s="62" t="n">
        <v>-0.1637616783638777</v>
      </c>
      <c r="M68" s="62" t="n">
        <v>0.2619632088680625</v>
      </c>
      <c r="N68" s="62" t="n"/>
      <c r="O68" s="62" t="n">
        <v>0.4585821450200961</v>
      </c>
      <c r="P68" s="62" t="n">
        <v>-0.2474472810140391</v>
      </c>
      <c r="Q68" s="62" t="n">
        <v>-1.10737924900272</v>
      </c>
      <c r="R68" s="62" t="n">
        <v>-0.609863100832932</v>
      </c>
      <c r="S68" s="62" t="n">
        <v>-0.5263326058991553</v>
      </c>
      <c r="T68" s="62" t="n">
        <v>-0.9565605676316409</v>
      </c>
      <c r="U68" s="30" t="n">
        <v>7</v>
      </c>
      <c r="V68" s="62" t="n">
        <v>-0.3895767786417612</v>
      </c>
      <c r="W68" s="62" t="n">
        <v>-0.3279063785552008</v>
      </c>
    </row>
    <row r="69">
      <c r="A69" s="30" t="inlineStr">
        <is>
          <t>BSANTANDER</t>
        </is>
      </c>
      <c r="B69" s="30" t="inlineStr">
        <is>
          <t>Financiero (bancos)</t>
        </is>
      </c>
      <c r="C69" s="30" t="n">
        <v>2021</v>
      </c>
      <c r="D69" s="62" t="n">
        <v>0.102795331034793</v>
      </c>
      <c r="E69" s="62" t="n"/>
      <c r="F69" s="62" t="n">
        <v>0.3981830459601651</v>
      </c>
      <c r="G69" s="62" t="n">
        <v>0.0123277424856911</v>
      </c>
      <c r="H69" s="62" t="n">
        <v>0.9451150660759741</v>
      </c>
      <c r="I69" s="62" t="n">
        <v>3.415333785366455</v>
      </c>
      <c r="J69" s="62" t="n">
        <v>0.03616645090918515</v>
      </c>
      <c r="K69" s="62" t="n">
        <v>0.04409808533921811</v>
      </c>
      <c r="M69" s="62" t="n">
        <v>0.01739178260719784</v>
      </c>
      <c r="N69" s="62" t="n"/>
      <c r="O69" s="62" t="n">
        <v>0.6435325824570101</v>
      </c>
      <c r="P69" s="62" t="n">
        <v>0.1678510818295249</v>
      </c>
      <c r="Q69" s="62" t="n">
        <v>-1.627470379247714</v>
      </c>
      <c r="R69" s="62" t="n">
        <v>0.35928762248657</v>
      </c>
      <c r="S69" s="62" t="n">
        <v>-0.5422367769830313</v>
      </c>
      <c r="T69" s="62" t="n">
        <v>-0.3291871814891488</v>
      </c>
      <c r="U69" s="30" t="n">
        <v>7</v>
      </c>
      <c r="V69" s="62" t="n">
        <v>-0.1872616097627987</v>
      </c>
      <c r="W69" s="62" t="n">
        <v>-0.0312120541351802</v>
      </c>
    </row>
    <row r="70">
      <c r="A70" s="30" t="inlineStr">
        <is>
          <t>BSANTANDER</t>
        </is>
      </c>
      <c r="B70" s="30" t="inlineStr">
        <is>
          <t>Financiero (bancos)</t>
        </is>
      </c>
      <c r="C70" s="30" t="n">
        <v>2022</v>
      </c>
      <c r="D70" s="62" t="n">
        <v>0.07326587960818962</v>
      </c>
      <c r="E70" s="62" t="n"/>
      <c r="F70" s="62" t="n">
        <v>0.4281423809337622</v>
      </c>
      <c r="G70" s="62" t="n">
        <v>0.01208628870210948</v>
      </c>
      <c r="H70" s="62" t="n">
        <v>0.9378215178108674</v>
      </c>
      <c r="I70" s="62" t="n">
        <v>3.463506068444579</v>
      </c>
      <c r="J70" s="62" t="n">
        <v>0.03293994974107906</v>
      </c>
      <c r="K70" s="62" t="n">
        <v>0.04912620500613607</v>
      </c>
      <c r="M70" s="62" t="n">
        <v>-0.8127447709126862</v>
      </c>
      <c r="N70" s="62" t="n"/>
      <c r="O70" s="62" t="n">
        <v>0.4393089209276562</v>
      </c>
      <c r="P70" s="62" t="n">
        <v>0.1339605019947067</v>
      </c>
      <c r="Q70" s="62" t="n">
        <v>-1.312443786356096</v>
      </c>
      <c r="R70" s="62" t="n">
        <v>0.4003742323492207</v>
      </c>
      <c r="S70" s="62" t="n">
        <v>-0.9430826871611079</v>
      </c>
      <c r="T70" s="62" t="n">
        <v>-0.3140110434758783</v>
      </c>
      <c r="U70" s="30" t="n">
        <v>7</v>
      </c>
      <c r="V70" s="62" t="n">
        <v>-0.344091233233455</v>
      </c>
      <c r="W70" s="62" t="n">
        <v>-0.1969310208983553</v>
      </c>
    </row>
    <row r="71">
      <c r="A71" s="30" t="inlineStr">
        <is>
          <t>BSANTANDER</t>
        </is>
      </c>
      <c r="B71" s="30" t="inlineStr">
        <is>
          <t>Financiero (bancos)</t>
        </is>
      </c>
      <c r="C71" s="30" t="n">
        <v>2023</v>
      </c>
      <c r="D71" s="62" t="n">
        <v>0.09176787806814614</v>
      </c>
      <c r="E71" s="62" t="n"/>
      <c r="F71" s="62" t="n">
        <v>0.4664048892249448</v>
      </c>
      <c r="G71" s="62" t="n">
        <v>0.007208987957881409</v>
      </c>
      <c r="H71" s="62" t="n">
        <v>0.9366070083289764</v>
      </c>
      <c r="I71" s="62" t="n">
        <v>2.197558727821752</v>
      </c>
      <c r="J71" s="62" t="n">
        <v>0.02752614193894665</v>
      </c>
      <c r="K71" s="62" t="n">
        <v>0.358935014572997</v>
      </c>
      <c r="M71" s="62" t="n">
        <v>-0.2926136986184929</v>
      </c>
      <c r="N71" s="62" t="n"/>
      <c r="O71" s="62" t="n">
        <v>0.1784850558649269</v>
      </c>
      <c r="P71" s="62" t="n">
        <v>-0.550619991210974</v>
      </c>
      <c r="Q71" s="62" t="n">
        <v>-1.237163880074943</v>
      </c>
      <c r="R71" s="62" t="n">
        <v>-0.6793645960238722</v>
      </c>
      <c r="S71" s="62" t="n">
        <v>-1.498586548912986</v>
      </c>
      <c r="T71" s="62" t="n">
        <v>0.6210703712820336</v>
      </c>
      <c r="U71" s="30" t="n">
        <v>7</v>
      </c>
      <c r="V71" s="62" t="n">
        <v>-0.4941133268134725</v>
      </c>
      <c r="W71" s="62" t="n">
        <v>-0.4942338459804847</v>
      </c>
    </row>
    <row r="72">
      <c r="A72" s="30" t="inlineStr">
        <is>
          <t>BSANTANDER</t>
        </is>
      </c>
      <c r="B72" s="30" t="inlineStr">
        <is>
          <t>Financiero (bancos)</t>
        </is>
      </c>
      <c r="C72" s="30" t="n">
        <v>2024</v>
      </c>
      <c r="D72" s="62" t="n">
        <v>0.08595744781255633</v>
      </c>
      <c r="E72" s="62" t="n"/>
      <c r="F72" s="62" t="n">
        <v>0.3899237065003885</v>
      </c>
      <c r="G72" s="62" t="n">
        <v>0.01262813697871472</v>
      </c>
      <c r="H72" s="62" t="n">
        <v>0.9357741450352565</v>
      </c>
      <c r="I72" s="62" t="n">
        <v>3.04308791438058</v>
      </c>
      <c r="J72" s="62" t="n">
        <v>0.03831304275794721</v>
      </c>
      <c r="K72" s="62" t="n">
        <v>0.1464614153765273</v>
      </c>
      <c r="M72" s="62" t="n">
        <v>-0.4559574220476889</v>
      </c>
      <c r="N72" s="62" t="n"/>
      <c r="O72" s="62" t="n">
        <v>0.6998339839325759</v>
      </c>
      <c r="P72" s="62" t="n">
        <v>0.210014610587465</v>
      </c>
      <c r="Q72" s="62" t="n">
        <v>-1.185539852736249</v>
      </c>
      <c r="R72" s="62" t="n">
        <v>0.04179549014616241</v>
      </c>
      <c r="S72" s="62" t="n">
        <v>-0.275553915714165</v>
      </c>
      <c r="T72" s="62" t="n">
        <v>-0.020228738362757</v>
      </c>
      <c r="U72" s="30" t="n">
        <v>7</v>
      </c>
      <c r="V72" s="62" t="n">
        <v>-0.1408051205992367</v>
      </c>
      <c r="W72" s="62" t="n">
        <v>-0.0172806151397388</v>
      </c>
    </row>
    <row r="73">
      <c r="A73" s="30" t="inlineStr">
        <is>
          <t>BSANTANDER</t>
        </is>
      </c>
      <c r="B73" s="30" t="inlineStr">
        <is>
          <t>Financiero (bancos)</t>
        </is>
      </c>
      <c r="C73" s="30" t="n">
        <v>2025</v>
      </c>
      <c r="D73" s="62" t="n">
        <v>0.06462822877041156</v>
      </c>
      <c r="E73" s="62" t="n"/>
      <c r="F73" s="62" t="n">
        <v>0.3600691034060864</v>
      </c>
      <c r="G73" s="62" t="n">
        <v>0.01570764792468281</v>
      </c>
      <c r="H73" s="62" t="n">
        <v>0.9289280839988611</v>
      </c>
      <c r="I73" s="62" t="n">
        <v>3.23046290784424</v>
      </c>
      <c r="J73" s="62" t="n">
        <v>0.04246179074724347</v>
      </c>
      <c r="K73" s="62" t="n">
        <v>0.5887074078730079</v>
      </c>
      <c r="M73" s="62" t="n">
        <v>-1.055567761200995</v>
      </c>
      <c r="N73" s="62" t="n"/>
      <c r="O73" s="62" t="n">
        <v>0.9033437201399119</v>
      </c>
      <c r="P73" s="62" t="n">
        <v>0.6422563838096704</v>
      </c>
      <c r="Q73" s="62" t="n">
        <v>-0.7611950115478202</v>
      </c>
      <c r="R73" s="62" t="n">
        <v>0.2016094487657454</v>
      </c>
      <c r="S73" s="62" t="n">
        <v>0.2398677677824162</v>
      </c>
      <c r="T73" s="62" t="n">
        <v>1.314581620686698</v>
      </c>
      <c r="U73" s="30" t="n">
        <v>7</v>
      </c>
      <c r="V73" s="62" t="n">
        <v>0.2121280240622323</v>
      </c>
      <c r="W73" s="62" t="n">
        <v>0.3265877768002363</v>
      </c>
    </row>
    <row r="74">
      <c r="A74" s="30" t="inlineStr">
        <is>
          <t>CHILE</t>
        </is>
      </c>
      <c r="B74" s="30" t="inlineStr">
        <is>
          <t>Financiero (bancos)</t>
        </is>
      </c>
      <c r="C74" s="30" t="n">
        <v>2017</v>
      </c>
      <c r="D74" s="62" t="n">
        <v>0.05570068170837345</v>
      </c>
      <c r="E74" s="62" t="n"/>
      <c r="F74" s="62" t="n">
        <v>0.4617749097567967</v>
      </c>
      <c r="G74" s="62" t="n">
        <v>0.01754843105334395</v>
      </c>
      <c r="H74" s="62" t="n">
        <v>0.9053833410898086</v>
      </c>
      <c r="I74" s="62" t="n">
        <v>3.940850788571039</v>
      </c>
      <c r="J74" s="62" t="n">
        <v>0.05207348922081485</v>
      </c>
      <c r="K74" s="62" t="n">
        <v>0.3372794507922741</v>
      </c>
      <c r="M74" s="62" t="n">
        <v>-1.306540359452183</v>
      </c>
      <c r="N74" s="62" t="n"/>
      <c r="O74" s="62" t="n">
        <v>0.2100462157045641</v>
      </c>
      <c r="P74" s="62" t="n">
        <v>0.900629670221187</v>
      </c>
      <c r="Q74" s="62" t="n">
        <v>0.6981974971442725</v>
      </c>
      <c r="R74" s="62" t="n">
        <v>0.8075061977166378</v>
      </c>
      <c r="S74" s="62" t="n">
        <v>1.433981708009966</v>
      </c>
      <c r="T74" s="62" t="n">
        <v>0.55570839772883</v>
      </c>
      <c r="U74" s="30" t="n">
        <v>7</v>
      </c>
      <c r="V74" s="62" t="n">
        <v>0.4713613324390392</v>
      </c>
      <c r="W74" s="62" t="n">
        <v>0.5563014817917258</v>
      </c>
    </row>
    <row r="75">
      <c r="A75" s="30" t="inlineStr">
        <is>
          <t>CHILE</t>
        </is>
      </c>
      <c r="B75" s="30" t="inlineStr">
        <is>
          <t>Financiero (bancos)</t>
        </is>
      </c>
      <c r="C75" s="30" t="n">
        <v>2018</v>
      </c>
      <c r="D75" s="62" t="n">
        <v>0.04348084069582309</v>
      </c>
      <c r="E75" s="62" t="n"/>
      <c r="F75" s="62" t="n">
        <v>0.4525338670131528</v>
      </c>
      <c r="G75" s="62" t="n">
        <v>0.0165580749274511</v>
      </c>
      <c r="H75" s="62" t="n">
        <v>0.9080300955905507</v>
      </c>
      <c r="I75" s="62" t="n">
        <v>3.670139653885789</v>
      </c>
      <c r="J75" s="62" t="n">
        <v>0.05214215517315525</v>
      </c>
      <c r="K75" s="62" t="n">
        <v>0.0853335043188661</v>
      </c>
      <c r="M75" s="62" t="n">
        <v>-1.529832311663234</v>
      </c>
      <c r="N75" s="62" t="n"/>
      <c r="O75" s="62" t="n">
        <v>0.2730395894600041</v>
      </c>
      <c r="P75" s="62" t="n">
        <v>0.761622764420815</v>
      </c>
      <c r="Q75" s="62" t="n">
        <v>0.5341416097790702</v>
      </c>
      <c r="R75" s="62" t="n">
        <v>0.5766140318159642</v>
      </c>
      <c r="S75" s="62" t="n">
        <v>1.442512455321082</v>
      </c>
      <c r="T75" s="62" t="n">
        <v>-0.2047282483441149</v>
      </c>
      <c r="U75" s="30" t="n">
        <v>7</v>
      </c>
      <c r="V75" s="62" t="n">
        <v>0.2647671272556553</v>
      </c>
      <c r="W75" s="62" t="n">
        <v>0.3751660561604439</v>
      </c>
    </row>
    <row r="76">
      <c r="A76" s="30" t="inlineStr">
        <is>
          <t>CHILE</t>
        </is>
      </c>
      <c r="B76" s="30" t="inlineStr">
        <is>
          <t>Financiero (bancos)</t>
        </is>
      </c>
      <c r="C76" s="30" t="n">
        <v>2019</v>
      </c>
      <c r="D76" s="62" t="n">
        <v>0.1078390141962104</v>
      </c>
      <c r="E76" s="62" t="n"/>
      <c r="F76" s="62" t="n">
        <v>0.4522188908524115</v>
      </c>
      <c r="G76" s="62" t="n">
        <v>0.01436784860578137</v>
      </c>
      <c r="H76" s="62" t="n">
        <v>0.9145156752908712</v>
      </c>
      <c r="I76" s="62" t="n">
        <v>3.196225458859575</v>
      </c>
      <c r="J76" s="62" t="n">
        <v>0.04880923961241512</v>
      </c>
      <c r="K76" s="62" t="n">
        <v>-0.1680846805020457</v>
      </c>
      <c r="M76" s="62" t="n">
        <v>0.1591805918938222</v>
      </c>
      <c r="N76" s="62" t="n"/>
      <c r="O76" s="62" t="n">
        <v>0.2751866860126393</v>
      </c>
      <c r="P76" s="62" t="n">
        <v>0.4542014479692624</v>
      </c>
      <c r="Q76" s="62" t="n">
        <v>0.1321407696877515</v>
      </c>
      <c r="R76" s="62" t="n">
        <v>0.1724079947502898</v>
      </c>
      <c r="S76" s="62" t="n">
        <v>1.028446102363349</v>
      </c>
      <c r="T76" s="62" t="n">
        <v>-0.9696084824440416</v>
      </c>
      <c r="U76" s="30" t="n">
        <v>7</v>
      </c>
      <c r="V76" s="62" t="n">
        <v>0.178850730033296</v>
      </c>
      <c r="W76" s="62" t="n">
        <v>0.2480727892613071</v>
      </c>
    </row>
    <row r="77">
      <c r="A77" s="30" t="inlineStr">
        <is>
          <t>CHILE</t>
        </is>
      </c>
      <c r="B77" s="30" t="inlineStr">
        <is>
          <t>Financiero (bancos)</t>
        </is>
      </c>
      <c r="C77" s="30" t="n">
        <v>2020</v>
      </c>
      <c r="D77" s="62" t="n">
        <v>0.106379709450001</v>
      </c>
      <c r="E77" s="62" t="n"/>
      <c r="F77" s="62" t="n">
        <v>0.4551046734920513</v>
      </c>
      <c r="G77" s="62" t="n">
        <v>0.01004680949925058</v>
      </c>
      <c r="H77" s="62" t="n">
        <v>0.9191613535060785</v>
      </c>
      <c r="I77" s="62" t="n">
        <v>2.273171522434512</v>
      </c>
      <c r="J77" s="62" t="n">
        <v>0.04205960495046646</v>
      </c>
      <c r="K77" s="62" t="n">
        <v>-0.0418728026748777</v>
      </c>
      <c r="M77" s="62" t="n">
        <v>0.1181563888006992</v>
      </c>
      <c r="N77" s="62" t="n"/>
      <c r="O77" s="62" t="n">
        <v>0.2555151847071375</v>
      </c>
      <c r="P77" s="62" t="n">
        <v>-0.1523018697132836</v>
      </c>
      <c r="Q77" s="62" t="n">
        <v>-0.1558159946420434</v>
      </c>
      <c r="R77" s="62" t="n">
        <v>-0.6148737063593538</v>
      </c>
      <c r="S77" s="62" t="n">
        <v>0.1899020236620121</v>
      </c>
      <c r="T77" s="62" t="n">
        <v>-0.5886690848753258</v>
      </c>
      <c r="U77" s="30" t="n">
        <v>7</v>
      </c>
      <c r="V77" s="62" t="n">
        <v>-0.1354410083457368</v>
      </c>
      <c r="W77" s="62" t="n">
        <v>-0.1365280878679083</v>
      </c>
    </row>
    <row r="78">
      <c r="A78" s="30" t="inlineStr">
        <is>
          <t>CHILE</t>
        </is>
      </c>
      <c r="B78" s="30" t="inlineStr">
        <is>
          <t>Financiero (bancos)</t>
        </is>
      </c>
      <c r="C78" s="30" t="n">
        <v>2021</v>
      </c>
      <c r="D78" s="62" t="n">
        <v>0.1341531348873454</v>
      </c>
      <c r="E78" s="62" t="n"/>
      <c r="F78" s="62" t="n">
        <v>0.3980545739795907</v>
      </c>
      <c r="G78" s="62" t="n">
        <v>0.01533627842972746</v>
      </c>
      <c r="H78" s="62" t="n">
        <v>0.9183207972064915</v>
      </c>
      <c r="I78" s="62" t="n">
        <v>3.602671060386862</v>
      </c>
      <c r="J78" s="62" t="n">
        <v>0.04313639826546674</v>
      </c>
      <c r="K78" s="62" t="n">
        <v>-0.05934780053004096</v>
      </c>
      <c r="M78" s="62" t="n">
        <v>0.8989272652697222</v>
      </c>
      <c r="N78" s="62" t="n"/>
      <c r="O78" s="62" t="n">
        <v>0.6444083368187126</v>
      </c>
      <c r="P78" s="62" t="n">
        <v>0.590130766516347</v>
      </c>
      <c r="Q78" s="62" t="n">
        <v>-0.1037151256077253</v>
      </c>
      <c r="R78" s="62" t="n">
        <v>0.5190694106781906</v>
      </c>
      <c r="S78" s="62" t="n">
        <v>0.3236779542866751</v>
      </c>
      <c r="T78" s="62" t="n">
        <v>-0.6414130521632251</v>
      </c>
      <c r="U78" s="30" t="n">
        <v>7</v>
      </c>
      <c r="V78" s="62" t="n">
        <v>0.3187265079712424</v>
      </c>
      <c r="W78" s="62" t="n">
        <v>0.3898277081456835</v>
      </c>
    </row>
    <row r="79">
      <c r="A79" s="30" t="inlineStr">
        <is>
          <t>CHILE</t>
        </is>
      </c>
      <c r="B79" s="30" t="inlineStr">
        <is>
          <t>Financiero (bancos)</t>
        </is>
      </c>
      <c r="C79" s="30" t="n">
        <v>2022</v>
      </c>
      <c r="D79" s="62" t="n">
        <v>0.1003938442386049</v>
      </c>
      <c r="E79" s="62" t="n"/>
      <c r="F79" s="62" t="n">
        <v>0.319496072802002</v>
      </c>
      <c r="G79" s="62" t="n">
        <v>0.02550766581251008</v>
      </c>
      <c r="H79" s="62" t="n">
        <v>0.9120749952773709</v>
      </c>
      <c r="I79" s="62" t="n">
        <v>4.872962485427168</v>
      </c>
      <c r="J79" s="62" t="n">
        <v>0.05638895912265068</v>
      </c>
      <c r="K79" s="62" t="n">
        <v>0.4079989240256139</v>
      </c>
      <c r="M79" s="62" t="n">
        <v>-0.05011918952400383</v>
      </c>
      <c r="N79" s="62" t="n"/>
      <c r="O79" s="62" t="n">
        <v>1.083116814896427</v>
      </c>
      <c r="P79" s="62" t="n">
        <v>1.90327236496725</v>
      </c>
      <c r="Q79" s="62" t="n">
        <v>0.2834233783607621</v>
      </c>
      <c r="R79" s="62" t="n">
        <v>1.602513351000865</v>
      </c>
      <c r="S79" s="62" t="n">
        <v>1.970116167760642</v>
      </c>
      <c r="T79" s="62" t="n">
        <v>0.76915767044131</v>
      </c>
      <c r="U79" s="30" t="n">
        <v>7</v>
      </c>
      <c r="V79" s="62" t="n">
        <v>1.080211508271893</v>
      </c>
      <c r="W79" s="62" t="n">
        <v>1.264800624929872</v>
      </c>
    </row>
    <row r="80">
      <c r="A80" s="30" t="inlineStr">
        <is>
          <t>CHILE</t>
        </is>
      </c>
      <c r="B80" s="30" t="inlineStr">
        <is>
          <t>Financiero (bancos)</t>
        </is>
      </c>
      <c r="C80" s="30" t="n">
        <v>2023</v>
      </c>
      <c r="D80" s="62" t="n">
        <v>0.08591447867812872</v>
      </c>
      <c r="E80" s="62" t="n"/>
      <c r="F80" s="62" t="n">
        <v>0.373173211515493</v>
      </c>
      <c r="G80" s="62" t="n">
        <v>0.02229033705151446</v>
      </c>
      <c r="H80" s="62" t="n">
        <v>0.9061293216720407</v>
      </c>
      <c r="I80" s="62" t="n">
        <v>5.200728960144616</v>
      </c>
      <c r="J80" s="62" t="n">
        <v>0.05372183339088528</v>
      </c>
      <c r="K80" s="62" t="n">
        <v>0.3116435449142672</v>
      </c>
      <c r="M80" s="62" t="n">
        <v>-0.4571653770701562</v>
      </c>
      <c r="N80" s="62" t="n"/>
      <c r="O80" s="62" t="n">
        <v>0.8140170063948304</v>
      </c>
      <c r="P80" s="62" t="n">
        <v>1.566206085783463</v>
      </c>
      <c r="Q80" s="62" t="n">
        <v>0.6519587899498592</v>
      </c>
      <c r="R80" s="62" t="n">
        <v>1.810807886232172</v>
      </c>
      <c r="S80" s="62" t="n">
        <v>1.638764531481389</v>
      </c>
      <c r="T80" s="62" t="n">
        <v>0.4783327441103232</v>
      </c>
      <c r="U80" s="30" t="n">
        <v>7</v>
      </c>
      <c r="V80" s="62" t="n">
        <v>0.9289888095545543</v>
      </c>
      <c r="W80" s="62" t="n">
        <v>1.087666118799373</v>
      </c>
    </row>
    <row r="81">
      <c r="A81" s="30" t="inlineStr">
        <is>
          <t>CHILE</t>
        </is>
      </c>
      <c r="B81" s="30" t="inlineStr">
        <is>
          <t>Financiero (bancos)</t>
        </is>
      </c>
      <c r="C81" s="30" t="n">
        <v>2024</v>
      </c>
      <c r="D81" s="62" t="n">
        <v>0.09493091044502536</v>
      </c>
      <c r="E81" s="62" t="n"/>
      <c r="F81" s="62" t="n">
        <v>0.3713535087886544</v>
      </c>
      <c r="G81" s="62" t="n">
        <v>0.02317653267442294</v>
      </c>
      <c r="H81" s="62" t="n">
        <v>0.8920634666865878</v>
      </c>
      <c r="I81" s="62" t="n">
        <v>4.894784013536821</v>
      </c>
      <c r="J81" s="62" t="n">
        <v>0.05855186293858798</v>
      </c>
      <c r="K81" s="62" t="n">
        <v>0.09237618863841135</v>
      </c>
      <c r="M81" s="62" t="n">
        <v>-0.2036940381046251</v>
      </c>
      <c r="N81" s="62" t="n"/>
      <c r="O81" s="62" t="n">
        <v>0.8264213656403693</v>
      </c>
      <c r="P81" s="62" t="n">
        <v>1.690592968697205</v>
      </c>
      <c r="Q81" s="62" t="n">
        <v>1.523813856425312</v>
      </c>
      <c r="R81" s="62" t="n">
        <v>1.621125145060826</v>
      </c>
      <c r="S81" s="62" t="n">
        <v>2.144777268845368</v>
      </c>
      <c r="T81" s="62" t="n">
        <v>-0.1834716442261727</v>
      </c>
      <c r="U81" s="30" t="n">
        <v>7</v>
      </c>
      <c r="V81" s="62" t="n">
        <v>1.059937846048326</v>
      </c>
      <c r="W81" s="62" t="n">
        <v>1.174126806036686</v>
      </c>
    </row>
    <row r="82">
      <c r="A82" s="30" t="inlineStr">
        <is>
          <t>CHILE</t>
        </is>
      </c>
      <c r="B82" s="30" t="inlineStr">
        <is>
          <t>Financiero (bancos)</t>
        </is>
      </c>
      <c r="C82" s="30" t="n">
        <v>2025</v>
      </c>
      <c r="D82" s="62" t="n">
        <v>0.09100707413775008</v>
      </c>
      <c r="E82" s="62" t="n"/>
      <c r="F82" s="62" t="n">
        <v>0.3737347981601018</v>
      </c>
      <c r="G82" s="62" t="n">
        <v>0.02203773955281231</v>
      </c>
      <c r="H82" s="62" t="n">
        <v>0.8928014916250824</v>
      </c>
      <c r="I82" s="62" t="n">
        <v>4.962014416858826</v>
      </c>
      <c r="J82" s="62" t="n">
        <v>0.05593331187215125</v>
      </c>
      <c r="K82" s="62" t="n">
        <v>0.6632031974958579</v>
      </c>
      <c r="M82" s="62" t="n">
        <v>-0.3140015376121552</v>
      </c>
      <c r="N82" s="62" t="n"/>
      <c r="O82" s="62" t="n">
        <v>0.8101888412860568</v>
      </c>
      <c r="P82" s="62" t="n">
        <v>1.530751368243503</v>
      </c>
      <c r="Q82" s="62" t="n">
        <v>1.478068270218343</v>
      </c>
      <c r="R82" s="62" t="n">
        <v>1.678466611474618</v>
      </c>
      <c r="S82" s="62" t="n">
        <v>1.913508614460485</v>
      </c>
      <c r="T82" s="62" t="n">
        <v>1.539428772229717</v>
      </c>
      <c r="U82" s="30" t="n">
        <v>7</v>
      </c>
      <c r="V82" s="62" t="n">
        <v>1.23377299147151</v>
      </c>
      <c r="W82" s="62" t="n">
        <v>1.293224743047384</v>
      </c>
    </row>
    <row r="83">
      <c r="A83" s="30" t="inlineStr">
        <is>
          <t>ITAUCL</t>
        </is>
      </c>
      <c r="B83" s="30" t="inlineStr">
        <is>
          <t>Financiero (bancos)</t>
        </is>
      </c>
      <c r="C83" s="30" t="n">
        <v>2017</v>
      </c>
      <c r="D83" s="62" t="n">
        <v>0.0678564163495088</v>
      </c>
      <c r="E83" s="62" t="n"/>
      <c r="F83" s="62" t="n">
        <v>0.6916723660209085</v>
      </c>
      <c r="G83" s="62" t="n">
        <v>0.001897532261322873</v>
      </c>
      <c r="H83" s="62" t="n">
        <v>0.8789945022318089</v>
      </c>
      <c r="I83" s="62" t="n">
        <v>0.9628565867927978</v>
      </c>
      <c r="J83" s="62" t="n">
        <v>0.03752116100472614</v>
      </c>
      <c r="K83" s="62" t="n">
        <v>-0.003713337925125515</v>
      </c>
      <c r="M83" s="62" t="n">
        <v>-0.9648164474595832</v>
      </c>
      <c r="N83" s="62" t="n"/>
      <c r="O83" s="62" t="n">
        <v>-1.357094721700039</v>
      </c>
      <c r="P83" s="62" t="n">
        <v>-1.296138701471612</v>
      </c>
      <c r="Q83" s="62" t="n">
        <v>2.31749367527982</v>
      </c>
      <c r="R83" s="62" t="n">
        <v>-1.732454089057966</v>
      </c>
      <c r="S83" s="62" t="n">
        <v>-0.3739337226892959</v>
      </c>
      <c r="T83" s="62" t="n">
        <v>-0.4734941602678245</v>
      </c>
      <c r="U83" s="30" t="n">
        <v>7</v>
      </c>
      <c r="V83" s="62" t="n">
        <v>-0.5543483096237859</v>
      </c>
      <c r="W83" s="62" t="n">
        <v>-0.8573813494919129</v>
      </c>
    </row>
    <row r="84">
      <c r="A84" s="30" t="inlineStr">
        <is>
          <t>ITAUCL</t>
        </is>
      </c>
      <c r="B84" s="30" t="inlineStr">
        <is>
          <t>Financiero (bancos)</t>
        </is>
      </c>
      <c r="C84" s="30" t="n">
        <v>2018</v>
      </c>
      <c r="D84" s="62" t="n">
        <v>0.06848622613351957</v>
      </c>
      <c r="E84" s="62" t="n"/>
      <c r="F84" s="62" t="n">
        <v>0.6018947069155357</v>
      </c>
      <c r="G84" s="62" t="n">
        <v>0.005994392565497042</v>
      </c>
      <c r="H84" s="62" t="n">
        <v>0.8797497314156493</v>
      </c>
      <c r="I84" s="62" t="n">
        <v>2.050517547115345</v>
      </c>
      <c r="J84" s="62" t="n">
        <v>0.04220585077472116</v>
      </c>
      <c r="K84" s="62" t="n">
        <v>0.1666632943878461</v>
      </c>
      <c r="M84" s="62" t="n">
        <v>-0.947111136381546</v>
      </c>
      <c r="N84" s="62" t="n"/>
      <c r="O84" s="62" t="n">
        <v>-0.7451077639724517</v>
      </c>
      <c r="P84" s="62" t="n">
        <v>-0.7211012381892011</v>
      </c>
      <c r="Q84" s="62" t="n">
        <v>2.287065894378798</v>
      </c>
      <c r="R84" s="62" t="n">
        <v>-0.8047774525337024</v>
      </c>
      <c r="S84" s="62" t="n">
        <v>0.2080709433303495</v>
      </c>
      <c r="T84" s="62" t="n">
        <v>0.040745646558971</v>
      </c>
      <c r="U84" s="30" t="n">
        <v>7</v>
      </c>
      <c r="V84" s="62" t="n">
        <v>-0.0974593009726832</v>
      </c>
      <c r="W84" s="62" t="n">
        <v>-0.3211004984566232</v>
      </c>
    </row>
    <row r="85">
      <c r="A85" s="30" t="inlineStr">
        <is>
          <t>ITAUCL</t>
        </is>
      </c>
      <c r="B85" s="30" t="inlineStr">
        <is>
          <t>Financiero (bancos)</t>
        </is>
      </c>
      <c r="C85" s="30" t="n">
        <v>2019</v>
      </c>
      <c r="D85" s="62" t="n">
        <v>0.06121640256983982</v>
      </c>
      <c r="E85" s="62" t="n"/>
      <c r="F85" s="62" t="n">
        <v>0.5994535970047343</v>
      </c>
      <c r="G85" s="62" t="n">
        <v>0.00392071352581938</v>
      </c>
      <c r="H85" s="62" t="n">
        <v>0.8981703405942285</v>
      </c>
      <c r="I85" s="62" t="n">
        <v>1.555475327943277</v>
      </c>
      <c r="J85" s="62" t="n">
        <v>0.03658602531894645</v>
      </c>
      <c r="K85" s="62" t="n">
        <v>-0.3157656745937356</v>
      </c>
      <c r="M85" s="62" t="n">
        <v>-1.151481552569292</v>
      </c>
      <c r="N85" s="62" t="n"/>
      <c r="O85" s="62" t="n">
        <v>-0.7284674612214459</v>
      </c>
      <c r="P85" s="62" t="n">
        <v>-1.01216391694913</v>
      </c>
      <c r="Q85" s="62" t="n">
        <v>1.145286638406231</v>
      </c>
      <c r="R85" s="62" t="n">
        <v>-1.227003787367733</v>
      </c>
      <c r="S85" s="62" t="n">
        <v>-0.4901107502421444</v>
      </c>
      <c r="T85" s="62" t="n">
        <v>-1.415347107763247</v>
      </c>
      <c r="U85" s="30" t="n">
        <v>7</v>
      </c>
      <c r="V85" s="62" t="n">
        <v>-0.6970411339581087</v>
      </c>
      <c r="W85" s="62" t="n">
        <v>-0.8332373905742316</v>
      </c>
    </row>
    <row r="86">
      <c r="A86" s="30" t="inlineStr">
        <is>
          <t>ITAUCL</t>
        </is>
      </c>
      <c r="B86" s="30" t="inlineStr">
        <is>
          <t>Financiero (bancos)</t>
        </is>
      </c>
      <c r="C86" s="30" t="n">
        <v>2020</v>
      </c>
      <c r="D86" s="62" t="n">
        <v>0.1752121185651886</v>
      </c>
      <c r="E86" s="62" t="n"/>
      <c r="F86" s="62" t="n">
        <v>1.509517976545599</v>
      </c>
      <c r="G86" s="62" t="n">
        <v>-0.0263010091211234</v>
      </c>
      <c r="H86" s="62" t="n">
        <v>0.9330766607570328</v>
      </c>
      <c r="I86" s="62" t="n">
        <v>-1.042313594810572</v>
      </c>
      <c r="J86" s="62" t="n">
        <v>0.03021879655868205</v>
      </c>
      <c r="K86" s="62" t="n">
        <v>-0.4029738108778004</v>
      </c>
      <c r="M86" s="62" t="n">
        <v>2.053183831331319</v>
      </c>
      <c r="N86" s="62" t="n"/>
      <c r="O86" s="62" t="n">
        <v>-4.980847600102311</v>
      </c>
      <c r="P86" s="62" t="n">
        <v>-3.868814049322287</v>
      </c>
      <c r="Q86" s="62" t="n">
        <v>-1.018339541262864</v>
      </c>
      <c r="R86" s="62" t="n">
        <v>-2.844103066479207</v>
      </c>
      <c r="S86" s="62" t="n">
        <v>-1.281146449515846</v>
      </c>
      <c r="T86" s="62" t="n">
        <v>-1.586437658479974</v>
      </c>
      <c r="U86" s="30" t="n">
        <v>7</v>
      </c>
      <c r="V86" s="62" t="n">
        <v>-1.93235779054731</v>
      </c>
      <c r="W86" s="62" t="n">
        <v>-2.324518269130697</v>
      </c>
    </row>
    <row r="87">
      <c r="A87" s="30" t="inlineStr">
        <is>
          <t>ITAUCL</t>
        </is>
      </c>
      <c r="B87" s="30" t="inlineStr">
        <is>
          <t>Financiero (bancos)</t>
        </is>
      </c>
      <c r="C87" s="30" t="n">
        <v>2021</v>
      </c>
      <c r="D87" s="62" t="n">
        <v>0.1965306550391891</v>
      </c>
      <c r="E87" s="62" t="n"/>
      <c r="F87" s="62" t="n">
        <v>0.5390583292364025</v>
      </c>
      <c r="G87" s="62" t="n">
        <v>0.007371430913160097</v>
      </c>
      <c r="H87" s="62" t="n">
        <v>0.9113677506176789</v>
      </c>
      <c r="I87" s="62" t="n">
        <v>2.764640076504606</v>
      </c>
      <c r="J87" s="62" t="n">
        <v>0.035063169152144</v>
      </c>
      <c r="K87" s="62" t="n">
        <v>-0.3104602156178946</v>
      </c>
      <c r="M87" s="62" t="n">
        <v>2.442735350264588</v>
      </c>
      <c r="N87" s="62" t="n"/>
      <c r="O87" s="62" t="n">
        <v>-0.3167713159777519</v>
      </c>
      <c r="P87" s="62" t="n">
        <v>-0.527819412720079</v>
      </c>
      <c r="Q87" s="62" t="n">
        <v>0.3272610860882947</v>
      </c>
      <c r="R87" s="62" t="n">
        <v>-0.195695385329993</v>
      </c>
      <c r="S87" s="62" t="n">
        <v>-0.6793035118274572</v>
      </c>
      <c r="T87" s="62" t="n">
        <v>-1.399333889507752</v>
      </c>
      <c r="U87" s="30" t="n">
        <v>7</v>
      </c>
      <c r="V87" s="62" t="n">
        <v>-0.04984672557287852</v>
      </c>
      <c r="W87" s="62" t="n">
        <v>-0.1626297283748518</v>
      </c>
    </row>
    <row r="88">
      <c r="A88" s="30" t="inlineStr">
        <is>
          <t>ITAUCL</t>
        </is>
      </c>
      <c r="B88" s="30" t="inlineStr">
        <is>
          <t>Financiero (bancos)</t>
        </is>
      </c>
      <c r="C88" s="30" t="n">
        <v>2022</v>
      </c>
      <c r="D88" s="62" t="n">
        <v>0.1666723341012463</v>
      </c>
      <c r="E88" s="62" t="n"/>
      <c r="F88" s="62" t="n">
        <v>0.520984340811107</v>
      </c>
      <c r="G88" s="62" t="n">
        <v>0.01070110920436147</v>
      </c>
      <c r="H88" s="62" t="n">
        <v>0.9180303964497009</v>
      </c>
      <c r="I88" s="62" t="n">
        <v>2.377906678397416</v>
      </c>
      <c r="J88" s="62" t="n">
        <v>0.0357525001329364</v>
      </c>
      <c r="K88" s="62" t="n">
        <v>0.1948799610352556</v>
      </c>
      <c r="M88" s="62" t="n">
        <v>1.813112075839342</v>
      </c>
      <c r="N88" s="62" t="n"/>
      <c r="O88" s="62" t="n">
        <v>-0.1935664418406597</v>
      </c>
      <c r="P88" s="62" t="n">
        <v>-0.06046401957471616</v>
      </c>
      <c r="Q88" s="62" t="n">
        <v>-0.08571498474333515</v>
      </c>
      <c r="R88" s="62" t="n">
        <v>-0.5255440707891867</v>
      </c>
      <c r="S88" s="62" t="n">
        <v>-0.5936641489345956</v>
      </c>
      <c r="T88" s="62" t="n">
        <v>0.1259106894940004</v>
      </c>
      <c r="U88" s="30" t="n">
        <v>7</v>
      </c>
      <c r="V88" s="62" t="n">
        <v>0.06858129992154993</v>
      </c>
      <c r="W88" s="62" t="n">
        <v>-0.02498815794082901</v>
      </c>
    </row>
    <row r="89">
      <c r="A89" s="30" t="inlineStr">
        <is>
          <t>ITAUCL</t>
        </is>
      </c>
      <c r="B89" s="30" t="inlineStr">
        <is>
          <t>Financiero (bancos)</t>
        </is>
      </c>
      <c r="C89" s="30" t="n">
        <v>2023</v>
      </c>
      <c r="D89" s="62" t="n">
        <v>0.1241854977999316</v>
      </c>
      <c r="E89" s="62" t="n"/>
      <c r="F89" s="62" t="n">
        <v>0.5108208804693478</v>
      </c>
      <c r="G89" s="62" t="n">
        <v>0.008450361249068996</v>
      </c>
      <c r="H89" s="62" t="n">
        <v>0.9110268288678435</v>
      </c>
      <c r="I89" s="62" t="n">
        <v>2.098806043051092</v>
      </c>
      <c r="J89" s="62" t="n">
        <v>0.03576496949257688</v>
      </c>
      <c r="K89" s="62" t="n">
        <v>0.09480549725416521</v>
      </c>
      <c r="M89" s="62" t="n">
        <v>0.6187154936745317</v>
      </c>
      <c r="N89" s="62" t="n"/>
      <c r="O89" s="62" t="n">
        <v>-0.1242852282679396</v>
      </c>
      <c r="P89" s="62" t="n">
        <v>-0.3763801842974354</v>
      </c>
      <c r="Q89" s="62" t="n">
        <v>0.3483927098092224</v>
      </c>
      <c r="R89" s="62" t="n">
        <v>-0.7635917235918407</v>
      </c>
      <c r="S89" s="62" t="n">
        <v>-0.5921150120975071</v>
      </c>
      <c r="T89" s="62" t="n">
        <v>-0.176139375849174</v>
      </c>
      <c r="U89" s="30" t="n">
        <v>7</v>
      </c>
      <c r="V89" s="62" t="n">
        <v>-0.1522004743743061</v>
      </c>
      <c r="W89" s="62" t="n">
        <v>-0.2574131548063084</v>
      </c>
    </row>
    <row r="90">
      <c r="A90" s="30" t="inlineStr">
        <is>
          <t>ITAUCL</t>
        </is>
      </c>
      <c r="B90" s="30" t="inlineStr">
        <is>
          <t>Financiero (bancos)</t>
        </is>
      </c>
      <c r="C90" s="30" t="n">
        <v>2024</v>
      </c>
      <c r="D90" s="62" t="n">
        <v>0.1606586889481895</v>
      </c>
      <c r="E90" s="62" t="n"/>
      <c r="F90" s="62" t="n">
        <v>0.4975079769191309</v>
      </c>
      <c r="G90" s="62" t="n">
        <v>0.008853218271193224</v>
      </c>
      <c r="H90" s="62" t="n">
        <v>0.9065837770796982</v>
      </c>
      <c r="I90" s="62" t="n">
        <v>2.522509175478066</v>
      </c>
      <c r="J90" s="62" t="n">
        <v>0.03820827221986619</v>
      </c>
      <c r="K90" s="62" t="n">
        <v>0.2432819381232838</v>
      </c>
      <c r="M90" s="62" t="n">
        <v>1.644055543453081</v>
      </c>
      <c r="N90" s="62" t="n"/>
      <c r="O90" s="62" t="n">
        <v>-0.03353521959757019</v>
      </c>
      <c r="P90" s="62" t="n">
        <v>-0.3198349611586838</v>
      </c>
      <c r="Q90" s="62" t="n">
        <v>0.6237899193008252</v>
      </c>
      <c r="R90" s="62" t="n">
        <v>-0.4022111913181737</v>
      </c>
      <c r="S90" s="62" t="n">
        <v>-0.2885701334400633</v>
      </c>
      <c r="T90" s="62" t="n">
        <v>0.2720001092100842</v>
      </c>
      <c r="U90" s="30" t="n">
        <v>7</v>
      </c>
      <c r="V90" s="62" t="n">
        <v>0.213670580921357</v>
      </c>
      <c r="W90" s="62" t="n">
        <v>0.06898150113640943</v>
      </c>
    </row>
    <row r="91">
      <c r="A91" s="30" t="inlineStr">
        <is>
          <t>ITAUCL</t>
        </is>
      </c>
      <c r="B91" s="30" t="inlineStr">
        <is>
          <t>Financiero (bancos)</t>
        </is>
      </c>
      <c r="C91" s="30" t="n">
        <v>2025</v>
      </c>
      <c r="D91" s="62" t="n">
        <v>0.1348131287212253</v>
      </c>
      <c r="E91" s="62" t="n"/>
      <c r="F91" s="62" t="n">
        <v>0.5498785665090019</v>
      </c>
      <c r="G91" s="62" t="n">
        <v>0.009748287965717953</v>
      </c>
      <c r="H91" s="62" t="n">
        <v>0.901887115463774</v>
      </c>
      <c r="I91" s="62" t="n">
        <v>2.139941915298413</v>
      </c>
      <c r="J91" s="62" t="n">
        <v>0.03456879914284931</v>
      </c>
      <c r="K91" s="62" t="n">
        <v>1.039820623516008</v>
      </c>
      <c r="M91" s="62" t="n">
        <v>0.9174811150749999</v>
      </c>
      <c r="N91" s="62" t="n"/>
      <c r="O91" s="62" t="n">
        <v>-0.3905295778475188</v>
      </c>
      <c r="P91" s="62" t="n">
        <v>-0.1942025088937013</v>
      </c>
      <c r="Q91" s="62" t="n">
        <v>0.9149068282693289</v>
      </c>
      <c r="R91" s="62" t="n">
        <v>-0.728506537123835</v>
      </c>
      <c r="S91" s="62" t="n">
        <v>-0.7407218055195049</v>
      </c>
      <c r="T91" s="62" t="n">
        <v>2.676155503912287</v>
      </c>
      <c r="U91" s="30" t="n">
        <v>7</v>
      </c>
      <c r="V91" s="62" t="n">
        <v>0.3506547168388651</v>
      </c>
      <c r="W91" s="62" t="n">
        <v>0.1136162567147238</v>
      </c>
    </row>
    <row r="92">
      <c r="A92" s="30" t="inlineStr">
        <is>
          <t>CAP</t>
        </is>
      </c>
      <c r="B92" s="30" t="inlineStr">
        <is>
          <t>Industria, recursos naturales e inmobiliario</t>
        </is>
      </c>
      <c r="C92" s="30" t="n">
        <v>2017</v>
      </c>
      <c r="D92" s="62" t="n">
        <v>1.26094841180446</v>
      </c>
      <c r="E92" s="62" t="n">
        <v>0.05008809432137104</v>
      </c>
      <c r="F92" s="62" t="n">
        <v>0.1923635036458562</v>
      </c>
      <c r="G92" s="62" t="n">
        <v>0.03460947433301365</v>
      </c>
      <c r="H92" s="62" t="n">
        <v>0.4119612612000683</v>
      </c>
      <c r="I92" s="62" t="n">
        <v>4.057458587667479</v>
      </c>
      <c r="J92" s="62" t="n">
        <v>0.3480252692601716</v>
      </c>
      <c r="K92" s="62" t="n">
        <v>0.7109474414102572</v>
      </c>
      <c r="L92" s="30" t="n">
        <v>371578</v>
      </c>
      <c r="M92" s="62" t="n">
        <v>-0.6045385075078187</v>
      </c>
      <c r="N92" s="62" t="n">
        <v>-0.2357092554980739</v>
      </c>
      <c r="O92" s="62" t="n">
        <v>-0.1396020311640064</v>
      </c>
      <c r="P92" s="62" t="n">
        <v>0.05259275810601565</v>
      </c>
      <c r="Q92" s="62" t="n">
        <v>0.9084058249542293</v>
      </c>
      <c r="R92" s="62" t="n">
        <v>-0.1686965516090966</v>
      </c>
      <c r="S92" s="62" t="n">
        <v>-0.4678200552827567</v>
      </c>
      <c r="T92" s="62" t="n">
        <v>1.472111809249239</v>
      </c>
      <c r="U92" s="30" t="n">
        <v>8</v>
      </c>
      <c r="V92" s="62" t="n">
        <v>0.1020929989059664</v>
      </c>
      <c r="W92" s="62" t="n">
        <v>-0.0001980246048924189</v>
      </c>
    </row>
    <row r="93">
      <c r="A93" s="30" t="inlineStr">
        <is>
          <t>CAP</t>
        </is>
      </c>
      <c r="B93" s="30" t="inlineStr">
        <is>
          <t>Industria, recursos naturales e inmobiliario</t>
        </is>
      </c>
      <c r="C93" s="30" t="n">
        <v>2018</v>
      </c>
      <c r="D93" s="62" t="n">
        <v>1.373215449813769</v>
      </c>
      <c r="E93" s="62" t="n">
        <v>0.06098622386845606</v>
      </c>
      <c r="F93" s="62" t="n">
        <v>0.1727307533015428</v>
      </c>
      <c r="G93" s="62" t="n">
        <v>0.03266245248278334</v>
      </c>
      <c r="H93" s="62" t="n">
        <v>0.3742833687635554</v>
      </c>
      <c r="I93" s="62" t="n">
        <v>4.237772260756059</v>
      </c>
      <c r="J93" s="62" t="n">
        <v>0.3589140473108134</v>
      </c>
      <c r="K93" s="62" t="n">
        <v>-0.1921949744972201</v>
      </c>
      <c r="L93" s="30" t="n">
        <v>331148</v>
      </c>
      <c r="M93" s="62" t="n">
        <v>-0.500311292376695</v>
      </c>
      <c r="N93" s="62" t="n">
        <v>-0.1744860695620591</v>
      </c>
      <c r="O93" s="62" t="n">
        <v>-0.1952071719089388</v>
      </c>
      <c r="P93" s="62" t="n">
        <v>0.02921639737697969</v>
      </c>
      <c r="Q93" s="62" t="n">
        <v>1.011211647186536</v>
      </c>
      <c r="R93" s="62" t="n">
        <v>-0.1434187617378515</v>
      </c>
      <c r="S93" s="62" t="n">
        <v>-0.4306409449360862</v>
      </c>
      <c r="T93" s="62" t="n">
        <v>-0.7360946817648955</v>
      </c>
      <c r="U93" s="30" t="n">
        <v>8</v>
      </c>
      <c r="V93" s="62" t="n">
        <v>-0.1424663597153763</v>
      </c>
      <c r="W93" s="62" t="n">
        <v>-0.03396777921694626</v>
      </c>
    </row>
    <row r="94">
      <c r="A94" s="30" t="inlineStr">
        <is>
          <t>CAP</t>
        </is>
      </c>
      <c r="B94" s="30" t="inlineStr">
        <is>
          <t>Industria, recursos naturales e inmobiliario</t>
        </is>
      </c>
      <c r="C94" s="30" t="n">
        <v>2019</v>
      </c>
      <c r="D94" s="62" t="n">
        <v>1.084135635858599</v>
      </c>
      <c r="E94" s="62" t="n">
        <v>0.01758088317832492</v>
      </c>
      <c r="F94" s="62" t="n">
        <v>-0.01402421884874633</v>
      </c>
      <c r="G94" s="62" t="n">
        <v>-0.01631398488884752</v>
      </c>
      <c r="H94" s="62" t="n">
        <v>0.4080284956290092</v>
      </c>
      <c r="I94" s="62" t="n">
        <v>-0.22651052722453</v>
      </c>
      <c r="J94" s="62" t="n">
        <v>0.2902584264433304</v>
      </c>
      <c r="K94" s="62" t="n">
        <v>-0.04301713427244747</v>
      </c>
      <c r="L94" s="30" t="n">
        <v>-22302</v>
      </c>
      <c r="M94" s="62" t="n">
        <v>-0.768689121643666</v>
      </c>
      <c r="N94" s="62" t="n">
        <v>-0.4183272931598058</v>
      </c>
      <c r="O94" s="62" t="n">
        <v>-0.7241466393351426</v>
      </c>
      <c r="P94" s="62" t="n">
        <v>-0.5588051839354506</v>
      </c>
      <c r="Q94" s="62" t="n">
        <v>0.9288328296939773</v>
      </c>
      <c r="R94" s="62" t="n">
        <v>-0.7692570595631779</v>
      </c>
      <c r="S94" s="62" t="n">
        <v>-0.6650616386337488</v>
      </c>
      <c r="T94" s="62" t="n">
        <v>-0.3713510164274462</v>
      </c>
      <c r="U94" s="30" t="n">
        <v>8</v>
      </c>
      <c r="V94" s="62" t="n">
        <v>-0.4183506403755576</v>
      </c>
      <c r="W94" s="62" t="n">
        <v>-0.4048122199971155</v>
      </c>
    </row>
    <row r="95">
      <c r="A95" s="30" t="inlineStr">
        <is>
          <t>CAP</t>
        </is>
      </c>
      <c r="B95" s="30" t="inlineStr">
        <is>
          <t>Industria, recursos naturales e inmobiliario</t>
        </is>
      </c>
      <c r="C95" s="30" t="n">
        <v>2020</v>
      </c>
      <c r="D95" s="62" t="n">
        <v>0.9540481962693307</v>
      </c>
      <c r="E95" s="62" t="n">
        <v>-0.01219429039778473</v>
      </c>
      <c r="F95" s="62" t="n">
        <v>0.263563721279894</v>
      </c>
      <c r="G95" s="62" t="n">
        <v>0.07364902045416888</v>
      </c>
      <c r="H95" s="62" t="n">
        <v>0.4119682151339166</v>
      </c>
      <c r="I95" s="62" t="n">
        <v>8.280128994429786</v>
      </c>
      <c r="J95" s="62" t="n">
        <v>0.456685500021479</v>
      </c>
      <c r="K95" s="62" t="n">
        <v>0.7306093188930181</v>
      </c>
      <c r="L95" s="30" t="n">
        <v>706088</v>
      </c>
      <c r="M95" s="62" t="n">
        <v>-0.8894605590338961</v>
      </c>
      <c r="N95" s="62" t="n">
        <v>-0.5855973719610682</v>
      </c>
      <c r="O95" s="62" t="n">
        <v>0.06205581367061868</v>
      </c>
      <c r="P95" s="62" t="n">
        <v>0.5213098979357565</v>
      </c>
      <c r="Q95" s="62" t="n">
        <v>0.9083697058321729</v>
      </c>
      <c r="R95" s="62" t="n">
        <v>0.4232706209814476</v>
      </c>
      <c r="S95" s="62" t="n">
        <v>-0.09680590741597858</v>
      </c>
      <c r="T95" s="62" t="n">
        <v>1.520185606601931</v>
      </c>
      <c r="U95" s="30" t="n">
        <v>8</v>
      </c>
      <c r="V95" s="62" t="n">
        <v>0.2329159758263731</v>
      </c>
      <c r="W95" s="62" t="n">
        <v>0.1344722096041683</v>
      </c>
    </row>
    <row r="96">
      <c r="A96" s="30" t="inlineStr">
        <is>
          <t>CAP</t>
        </is>
      </c>
      <c r="B96" s="30" t="inlineStr">
        <is>
          <t>Industria, recursos naturales e inmobiliario</t>
        </is>
      </c>
      <c r="C96" s="30" t="n">
        <v>2021</v>
      </c>
      <c r="D96" s="62" t="n">
        <v>1.224185310968812</v>
      </c>
      <c r="E96" s="62" t="n">
        <v>0.05492683227818525</v>
      </c>
      <c r="F96" s="62" t="n">
        <v>0.4181229046450485</v>
      </c>
      <c r="G96" s="62" t="n">
        <v>0.1501985227019413</v>
      </c>
      <c r="H96" s="62" t="n">
        <v>0.4453822866391363</v>
      </c>
      <c r="I96" s="62" t="n">
        <v>24.26472955696902</v>
      </c>
      <c r="J96" s="62" t="n">
        <v>0.5560636458307813</v>
      </c>
      <c r="K96" s="62" t="n">
        <v>-0.004775660490083156</v>
      </c>
      <c r="L96" s="30" t="n">
        <v>1537389</v>
      </c>
      <c r="M96" s="62" t="n">
        <v>-0.6386688781635992</v>
      </c>
      <c r="N96" s="62" t="n">
        <v>-0.2085263382510564</v>
      </c>
      <c r="O96" s="62" t="n">
        <v>0.4998082932629925</v>
      </c>
      <c r="P96" s="62" t="n">
        <v>1.440379592998709</v>
      </c>
      <c r="Q96" s="62" t="n">
        <v>0.7348151461517695</v>
      </c>
      <c r="R96" s="62" t="n">
        <v>2.664117736314502</v>
      </c>
      <c r="S96" s="62" t="n">
        <v>0.2425150918649094</v>
      </c>
      <c r="T96" s="62" t="n">
        <v>-0.2778496271174187</v>
      </c>
      <c r="U96" s="30" t="n">
        <v>8</v>
      </c>
      <c r="V96" s="62" t="n">
        <v>0.557073877132601</v>
      </c>
      <c r="W96" s="62" t="n">
        <v>0.7536820660895204</v>
      </c>
    </row>
    <row r="97">
      <c r="A97" s="30" t="inlineStr">
        <is>
          <t>CAP</t>
        </is>
      </c>
      <c r="B97" s="30" t="inlineStr">
        <is>
          <t>Industria, recursos naturales e inmobiliario</t>
        </is>
      </c>
      <c r="C97" s="30" t="n">
        <v>2022</v>
      </c>
      <c r="D97" s="62" t="n">
        <v>1.133910180498423</v>
      </c>
      <c r="E97" s="62" t="n">
        <v>0.03034652284664286</v>
      </c>
      <c r="F97" s="62" t="n">
        <v>0.196341241504208</v>
      </c>
      <c r="G97" s="62" t="n">
        <v>0.05105209538998202</v>
      </c>
      <c r="H97" s="62" t="n">
        <v>0.4361587069608597</v>
      </c>
      <c r="I97" s="62" t="n">
        <v>7.314186928396163</v>
      </c>
      <c r="J97" s="62" t="n">
        <v>0.4581058396913701</v>
      </c>
      <c r="K97" s="62" t="n">
        <v>0.03668377219348451</v>
      </c>
      <c r="L97" s="30" t="n">
        <v>590211</v>
      </c>
      <c r="M97" s="62" t="n">
        <v>-0.7224791007486769</v>
      </c>
      <c r="N97" s="62" t="n">
        <v>-0.3466128647683172</v>
      </c>
      <c r="O97" s="62" t="n">
        <v>-0.1283360256588653</v>
      </c>
      <c r="P97" s="62" t="n">
        <v>0.2500063829778006</v>
      </c>
      <c r="Q97" s="62" t="n">
        <v>0.7827229358232662</v>
      </c>
      <c r="R97" s="62" t="n">
        <v>0.2878572596164483</v>
      </c>
      <c r="S97" s="62" t="n">
        <v>-0.09195623878731903</v>
      </c>
      <c r="T97" s="62" t="n">
        <v>-0.1764802453310177</v>
      </c>
      <c r="U97" s="30" t="n">
        <v>8</v>
      </c>
      <c r="V97" s="62" t="n">
        <v>-0.01815973710958511</v>
      </c>
      <c r="W97" s="62" t="n">
        <v>0.02583539407445276</v>
      </c>
    </row>
    <row r="98">
      <c r="A98" s="30" t="inlineStr">
        <is>
          <t>CAP</t>
        </is>
      </c>
      <c r="B98" s="30" t="inlineStr">
        <is>
          <t>Industria, recursos naturales e inmobiliario</t>
        </is>
      </c>
      <c r="C98" s="30" t="n">
        <v>2023</v>
      </c>
      <c r="D98" s="62" t="n">
        <v>1.429129094625514</v>
      </c>
      <c r="E98" s="62" t="n">
        <v>0.08635560490627328</v>
      </c>
      <c r="F98" s="62" t="n">
        <v>0.2709330674174292</v>
      </c>
      <c r="G98" s="62" t="n">
        <v>0.01255555523839156</v>
      </c>
      <c r="H98" s="62" t="n">
        <v>0.4774721902679497</v>
      </c>
      <c r="I98" s="62" t="n">
        <v>7.350408516120283</v>
      </c>
      <c r="J98" s="62" t="n">
        <v>0.3426454426864044</v>
      </c>
      <c r="K98" s="62" t="n">
        <v>0.08289958525421759</v>
      </c>
      <c r="L98" s="30" t="n">
        <v>650445</v>
      </c>
      <c r="M98" s="62" t="n">
        <v>-0.4484018130682998</v>
      </c>
      <c r="N98" s="62" t="n">
        <v>-0.03196672019578796</v>
      </c>
      <c r="O98" s="62" t="n">
        <v>0.0829277507140426</v>
      </c>
      <c r="P98" s="62" t="n">
        <v>-0.2121913110526729</v>
      </c>
      <c r="Q98" s="62" t="n">
        <v>0.5681383886181871</v>
      </c>
      <c r="R98" s="62" t="n">
        <v>0.2929350868694232</v>
      </c>
      <c r="S98" s="62" t="n">
        <v>-0.4861891656550866</v>
      </c>
      <c r="T98" s="62" t="n">
        <v>-0.06348139089712125</v>
      </c>
      <c r="U98" s="30" t="n">
        <v>8</v>
      </c>
      <c r="V98" s="62" t="n">
        <v>-0.03727864683341446</v>
      </c>
      <c r="W98" s="62" t="n">
        <v>0.02184668127825341</v>
      </c>
    </row>
    <row r="99">
      <c r="A99" s="30" t="inlineStr">
        <is>
          <t>CAP</t>
        </is>
      </c>
      <c r="B99" s="30" t="inlineStr">
        <is>
          <t>Industria, recursos naturales e inmobiliario</t>
        </is>
      </c>
      <c r="C99" s="30" t="n">
        <v>2024</v>
      </c>
      <c r="D99" s="62" t="n">
        <v>1.119297375003145</v>
      </c>
      <c r="E99" s="62" t="n">
        <v>0.02163514072486249</v>
      </c>
      <c r="F99" s="62" t="n">
        <v>0.1095862197986307</v>
      </c>
      <c r="G99" s="62" t="n">
        <v>-0.06419787622933551</v>
      </c>
      <c r="H99" s="62" t="n">
        <v>0.4987278490681933</v>
      </c>
      <c r="I99" s="62" t="n">
        <v>1.621156625714473</v>
      </c>
      <c r="J99" s="62" t="n">
        <v>0.2834222630110493</v>
      </c>
      <c r="K99" s="62" t="n">
        <v>-0.2694444444444445</v>
      </c>
      <c r="L99" s="30" t="n">
        <v>197405</v>
      </c>
      <c r="M99" s="62" t="n">
        <v>-0.7360454337439356</v>
      </c>
      <c r="N99" s="62" t="n">
        <v>-0.3955514064783567</v>
      </c>
      <c r="O99" s="62" t="n">
        <v>-0.3740491890040896</v>
      </c>
      <c r="P99" s="62" t="n">
        <v>-1.133709423943236</v>
      </c>
      <c r="Q99" s="62" t="n">
        <v>0.4577353057967207</v>
      </c>
      <c r="R99" s="62" t="n">
        <v>-0.5102365358059493</v>
      </c>
      <c r="S99" s="62" t="n">
        <v>-0.6884033279780066</v>
      </c>
      <c r="T99" s="62" t="n">
        <v>-0.9249716273720405</v>
      </c>
      <c r="U99" s="30" t="n">
        <v>8</v>
      </c>
      <c r="V99" s="62" t="n">
        <v>-0.5381539548161117</v>
      </c>
      <c r="W99" s="62" t="n">
        <v>-0.4820767799350357</v>
      </c>
    </row>
    <row r="100">
      <c r="A100" s="30" t="inlineStr">
        <is>
          <t>CAP</t>
        </is>
      </c>
      <c r="B100" s="30" t="inlineStr">
        <is>
          <t>Industria, recursos naturales e inmobiliario</t>
        </is>
      </c>
      <c r="C100" s="30" t="n">
        <v>2025</v>
      </c>
      <c r="D100" s="62" t="n">
        <v>1.166509850015256</v>
      </c>
      <c r="E100" s="62" t="n">
        <v>0.02774800268924094</v>
      </c>
      <c r="F100" s="62" t="n">
        <v>0.02917722132212247</v>
      </c>
      <c r="G100" s="62" t="n">
        <v>-0.01610716023481154</v>
      </c>
      <c r="H100" s="62" t="n">
        <v>0.5066006411799175</v>
      </c>
      <c r="I100" s="62" t="n">
        <v>0.4349031540576442</v>
      </c>
      <c r="J100" s="62" t="n">
        <v>0.3155595674716949</v>
      </c>
      <c r="K100" s="62" t="n">
        <v>0.4106463878326996</v>
      </c>
      <c r="L100" s="30" t="n">
        <v>56313</v>
      </c>
      <c r="M100" s="62" t="n">
        <v>-0.6922140039920244</v>
      </c>
      <c r="N100" s="62" t="n">
        <v>-0.3612107535223238</v>
      </c>
      <c r="O100" s="62" t="n">
        <v>-0.6017887363946238</v>
      </c>
      <c r="P100" s="62" t="n">
        <v>-0.5563220029070348</v>
      </c>
      <c r="Q100" s="62" t="n">
        <v>0.4168435824342381</v>
      </c>
      <c r="R100" s="62" t="n">
        <v>-0.6765348839952491</v>
      </c>
      <c r="S100" s="62" t="n">
        <v>-0.5786723385841628</v>
      </c>
      <c r="T100" s="62" t="n">
        <v>0.7378679911222423</v>
      </c>
      <c r="U100" s="30" t="n">
        <v>8</v>
      </c>
      <c r="V100" s="62" t="n">
        <v>-0.2890038932298673</v>
      </c>
      <c r="W100" s="62" t="n">
        <v>-0.3903780460275746</v>
      </c>
    </row>
    <row r="101">
      <c r="A101" s="30" t="inlineStr">
        <is>
          <t>CMPC</t>
        </is>
      </c>
      <c r="B101" s="30" t="inlineStr">
        <is>
          <t>Industria, recursos naturales e inmobiliario</t>
        </is>
      </c>
      <c r="C101" s="30" t="n">
        <v>2017</v>
      </c>
      <c r="D101" s="62" t="n">
        <v>2.322003716053752</v>
      </c>
      <c r="E101" s="62" t="n">
        <v>0.1281600229980989</v>
      </c>
      <c r="F101" s="62" t="n">
        <v>0.06583533505448298</v>
      </c>
      <c r="G101" s="62" t="n">
        <v>0.006861371507787442</v>
      </c>
      <c r="H101" s="62" t="n">
        <v>0.4592609452831323</v>
      </c>
      <c r="I101" s="62" t="n">
        <v>1.542684010296831</v>
      </c>
      <c r="J101" s="62" t="n">
        <v>0.3439998967279412</v>
      </c>
      <c r="K101" s="62" t="n">
        <v>0.528300278227064</v>
      </c>
      <c r="L101" s="30" t="n">
        <v>338596</v>
      </c>
      <c r="M101" s="62" t="n">
        <v>0.3805310322518536</v>
      </c>
      <c r="N101" s="62" t="n">
        <v>0.2028808883525356</v>
      </c>
      <c r="O101" s="62" t="n">
        <v>-0.4979632642736452</v>
      </c>
      <c r="P101" s="62" t="n">
        <v>-0.2805568986952894</v>
      </c>
      <c r="Q101" s="62" t="n">
        <v>0.6627286154954535</v>
      </c>
      <c r="R101" s="62" t="n">
        <v>-0.5212374446621497</v>
      </c>
      <c r="S101" s="62" t="n">
        <v>-0.481564459738997</v>
      </c>
      <c r="T101" s="62" t="n">
        <v>1.025534786398212</v>
      </c>
      <c r="U101" s="30" t="n">
        <v>8</v>
      </c>
      <c r="V101" s="62" t="n">
        <v>0.0612941568909967</v>
      </c>
      <c r="W101" s="62" t="n">
        <v>-0.0216617534047778</v>
      </c>
    </row>
    <row r="102">
      <c r="A102" s="30" t="inlineStr">
        <is>
          <t>CMPC</t>
        </is>
      </c>
      <c r="B102" s="30" t="inlineStr">
        <is>
          <t>Industria, recursos naturales e inmobiliario</t>
        </is>
      </c>
      <c r="C102" s="30" t="n">
        <v>2018</v>
      </c>
      <c r="D102" s="62" t="n">
        <v>2.275794402092354</v>
      </c>
      <c r="E102" s="62" t="n">
        <v>0.140543168329083</v>
      </c>
      <c r="F102" s="62" t="n">
        <v>0.174702668208576</v>
      </c>
      <c r="G102" s="62" t="n">
        <v>0.03352463283983093</v>
      </c>
      <c r="H102" s="62" t="n">
        <v>0.4497866326074391</v>
      </c>
      <c r="I102" s="62" t="n">
        <v>5.075552160022225</v>
      </c>
      <c r="J102" s="62" t="n">
        <v>0.4187640502156032</v>
      </c>
      <c r="K102" s="62" t="n">
        <v>0.06741793689977271</v>
      </c>
      <c r="L102" s="30" t="n">
        <v>1096167</v>
      </c>
      <c r="M102" s="62" t="n">
        <v>0.3376309237897689</v>
      </c>
      <c r="N102" s="62" t="n">
        <v>0.272446551505651</v>
      </c>
      <c r="O102" s="62" t="n">
        <v>-0.1896221874304718</v>
      </c>
      <c r="P102" s="62" t="n">
        <v>0.03956791913183284</v>
      </c>
      <c r="Q102" s="62" t="n">
        <v>0.7119387264047914</v>
      </c>
      <c r="R102" s="62" t="n">
        <v>-0.02597218162409856</v>
      </c>
      <c r="S102" s="62" t="n">
        <v>-0.2262865305199906</v>
      </c>
      <c r="T102" s="62" t="n">
        <v>-0.1013344202596418</v>
      </c>
      <c r="U102" s="30" t="n">
        <v>8</v>
      </c>
      <c r="V102" s="62" t="n">
        <v>0.1022961001247302</v>
      </c>
      <c r="W102" s="62" t="n">
        <v>0.1523048833794572</v>
      </c>
    </row>
    <row r="103">
      <c r="A103" s="30" t="inlineStr">
        <is>
          <t>CMPC</t>
        </is>
      </c>
      <c r="B103" s="30" t="inlineStr">
        <is>
          <t>Industria, recursos naturales e inmobiliario</t>
        </is>
      </c>
      <c r="C103" s="30" t="n">
        <v>2019</v>
      </c>
      <c r="D103" s="62" t="n">
        <v>2.264960296904404</v>
      </c>
      <c r="E103" s="62" t="n">
        <v>0.1289903258910459</v>
      </c>
      <c r="F103" s="62" t="n">
        <v>0.07347295379044093</v>
      </c>
      <c r="G103" s="62" t="n">
        <v>0.005642695313576087</v>
      </c>
      <c r="H103" s="62" t="n">
        <v>0.4560252760869432</v>
      </c>
      <c r="I103" s="62" t="n">
        <v>2.132643972357307</v>
      </c>
      <c r="J103" s="62" t="n">
        <v>0.3791357544593414</v>
      </c>
      <c r="K103" s="62" t="n">
        <v>-0.1380785223860254</v>
      </c>
      <c r="L103" s="30" t="n">
        <v>416612</v>
      </c>
      <c r="M103" s="62" t="n">
        <v>0.3275726855730984</v>
      </c>
      <c r="N103" s="62" t="n">
        <v>0.2075453390895614</v>
      </c>
      <c r="O103" s="62" t="n">
        <v>-0.4763315082883162</v>
      </c>
      <c r="P103" s="62" t="n">
        <v>-0.2951885857122602</v>
      </c>
      <c r="Q103" s="62" t="n">
        <v>0.6795348626039011</v>
      </c>
      <c r="R103" s="62" t="n">
        <v>-0.4385322138387147</v>
      </c>
      <c r="S103" s="62" t="n">
        <v>-0.3615950815732208</v>
      </c>
      <c r="T103" s="62" t="n">
        <v>-0.6037785611644452</v>
      </c>
      <c r="U103" s="30" t="n">
        <v>8</v>
      </c>
      <c r="V103" s="62" t="n">
        <v>-0.1200966329137995</v>
      </c>
      <c r="W103" s="62" t="n">
        <v>-0.05420421975746605</v>
      </c>
    </row>
    <row r="104">
      <c r="A104" s="30" t="inlineStr">
        <is>
          <t>CMPC</t>
        </is>
      </c>
      <c r="B104" s="30" t="inlineStr">
        <is>
          <t>Industria, recursos naturales e inmobiliario</t>
        </is>
      </c>
      <c r="C104" s="30" t="n">
        <v>2020</v>
      </c>
      <c r="D104" s="62" t="n">
        <v>2.993735816469297</v>
      </c>
      <c r="E104" s="62" t="n">
        <v>0.161785672840811</v>
      </c>
      <c r="F104" s="62" t="n">
        <v>0.04777198550310984</v>
      </c>
      <c r="G104" s="62" t="n">
        <v>-0.001878596339650164</v>
      </c>
      <c r="H104" s="62" t="n">
        <v>0.4658679904797686</v>
      </c>
      <c r="I104" s="62" t="n">
        <v>1.257108869101244</v>
      </c>
      <c r="J104" s="62" t="n">
        <v>0.3589966641436284</v>
      </c>
      <c r="K104" s="62" t="n">
        <v>0.01904384569879092</v>
      </c>
      <c r="L104" s="30" t="n">
        <v>252567</v>
      </c>
      <c r="M104" s="62" t="n">
        <v>1.004158121573367</v>
      </c>
      <c r="N104" s="62" t="n">
        <v>0.3917820574609844</v>
      </c>
      <c r="O104" s="62" t="n">
        <v>-0.5491234469538036</v>
      </c>
      <c r="P104" s="62" t="n">
        <v>-0.3854908218239436</v>
      </c>
      <c r="Q104" s="62" t="n">
        <v>0.6284112525332174</v>
      </c>
      <c r="R104" s="62" t="n">
        <v>-0.5612716156040669</v>
      </c>
      <c r="S104" s="62" t="n">
        <v>-0.4303588544820945</v>
      </c>
      <c r="T104" s="62" t="n">
        <v>-0.2196103203895067</v>
      </c>
      <c r="U104" s="30" t="n">
        <v>8</v>
      </c>
      <c r="V104" s="62" t="n">
        <v>-0.01518795346073085</v>
      </c>
      <c r="W104" s="62" t="n">
        <v>0.0197713625863123</v>
      </c>
    </row>
    <row r="105">
      <c r="A105" s="30" t="inlineStr">
        <is>
          <t>CMPC</t>
        </is>
      </c>
      <c r="B105" s="30" t="inlineStr">
        <is>
          <t>Industria, recursos naturales e inmobiliario</t>
        </is>
      </c>
      <c r="C105" s="30" t="n">
        <v>2021</v>
      </c>
      <c r="D105" s="62" t="n">
        <v>2.062552187312138</v>
      </c>
      <c r="E105" s="62" t="n">
        <v>0.1432457749581826</v>
      </c>
      <c r="F105" s="62" t="n">
        <v>0.172587727830142</v>
      </c>
      <c r="G105" s="62" t="n">
        <v>0.03536302551263442</v>
      </c>
      <c r="H105" s="62" t="n">
        <v>0.5042163561874097</v>
      </c>
      <c r="I105" s="62" t="n">
        <v>5.041723454485814</v>
      </c>
      <c r="J105" s="62" t="n">
        <v>0.4152697907745014</v>
      </c>
      <c r="K105" s="62" t="n">
        <v>-0.1930883410806347</v>
      </c>
      <c r="L105" s="30" t="n">
        <v>1091276</v>
      </c>
      <c r="M105" s="62" t="n">
        <v>0.1396597063332961</v>
      </c>
      <c r="N105" s="62" t="n">
        <v>0.2876291741245506</v>
      </c>
      <c r="O105" s="62" t="n">
        <v>-0.1956122578662233</v>
      </c>
      <c r="P105" s="62" t="n">
        <v>0.06164005472496317</v>
      </c>
      <c r="Q105" s="62" t="n">
        <v>0.4292276922833672</v>
      </c>
      <c r="R105" s="62" t="n">
        <v>-0.03071455581856981</v>
      </c>
      <c r="S105" s="62" t="n">
        <v>-0.2382174796803477</v>
      </c>
      <c r="T105" s="62" t="n">
        <v>-0.7382789860934315</v>
      </c>
      <c r="U105" s="30" t="n">
        <v>8</v>
      </c>
      <c r="V105" s="62" t="n">
        <v>-0.0355833314990494</v>
      </c>
      <c r="W105" s="62" t="n">
        <v>0.06773544808609169</v>
      </c>
    </row>
    <row r="106">
      <c r="A106" s="30" t="inlineStr">
        <is>
          <t>CMPC</t>
        </is>
      </c>
      <c r="B106" s="30" t="inlineStr">
        <is>
          <t>Industria, recursos naturales e inmobiliario</t>
        </is>
      </c>
      <c r="C106" s="30" t="n">
        <v>2022</v>
      </c>
      <c r="D106" s="62" t="n">
        <v>1.952117335658352</v>
      </c>
      <c r="E106" s="62" t="n">
        <v>0.1378542055840163</v>
      </c>
      <c r="F106" s="62" t="n">
        <v>0.2016079075913414</v>
      </c>
      <c r="G106" s="62" t="n">
        <v>0.06066758834294926</v>
      </c>
      <c r="H106" s="62" t="n">
        <v>0.5226387264912657</v>
      </c>
      <c r="I106" s="62" t="n">
        <v>7.283920677374205</v>
      </c>
      <c r="J106" s="62" t="n">
        <v>0.4719620390539959</v>
      </c>
      <c r="K106" s="62" t="n">
        <v>-0.008342531759255589</v>
      </c>
      <c r="L106" s="30" t="n">
        <v>1576845</v>
      </c>
      <c r="M106" s="62" t="n">
        <v>0.03713346848654256</v>
      </c>
      <c r="N106" s="62" t="n">
        <v>0.2573405770900442</v>
      </c>
      <c r="O106" s="62" t="n">
        <v>-0.1134194345600314</v>
      </c>
      <c r="P106" s="62" t="n">
        <v>0.3654520477655261</v>
      </c>
      <c r="Q106" s="62" t="n">
        <v>0.3335408686690817</v>
      </c>
      <c r="R106" s="62" t="n">
        <v>0.2836142983344851</v>
      </c>
      <c r="S106" s="62" t="n">
        <v>-0.04464503796270775</v>
      </c>
      <c r="T106" s="62" t="n">
        <v>-0.286570719328866</v>
      </c>
      <c r="U106" s="30" t="n">
        <v>8</v>
      </c>
      <c r="V106" s="62" t="n">
        <v>0.1040557585617593</v>
      </c>
      <c r="W106" s="62" t="n">
        <v>0.1724312275051763</v>
      </c>
    </row>
    <row r="107">
      <c r="A107" s="30" t="inlineStr">
        <is>
          <t>CMPC</t>
        </is>
      </c>
      <c r="B107" s="30" t="inlineStr">
        <is>
          <t>Industria, recursos naturales e inmobiliario</t>
        </is>
      </c>
      <c r="C107" s="30" t="n">
        <v>2023</v>
      </c>
      <c r="D107" s="62" t="n">
        <v>1.846710957230208</v>
      </c>
      <c r="E107" s="62" t="n">
        <v>0.1220664495274813</v>
      </c>
      <c r="F107" s="62" t="n">
        <v>0.1055830157129495</v>
      </c>
      <c r="G107" s="62" t="n">
        <v>0.02737605915897881</v>
      </c>
      <c r="H107" s="62" t="n">
        <v>0.5409701566741424</v>
      </c>
      <c r="I107" s="62" t="n">
        <v>3.229838130990777</v>
      </c>
      <c r="J107" s="62" t="n">
        <v>0.4715416408671254</v>
      </c>
      <c r="K107" s="62" t="n">
        <v>0.2007274484332666</v>
      </c>
      <c r="L107" s="30" t="n">
        <v>855203</v>
      </c>
      <c r="M107" s="62" t="n">
        <v>-0.06072440213539303</v>
      </c>
      <c r="N107" s="62" t="n">
        <v>0.1686485937193545</v>
      </c>
      <c r="O107" s="62" t="n">
        <v>-0.3853873215994273</v>
      </c>
      <c r="P107" s="62" t="n">
        <v>-0.03425317143048102</v>
      </c>
      <c r="Q107" s="62" t="n">
        <v>0.2383263931387883</v>
      </c>
      <c r="R107" s="62" t="n">
        <v>-0.2847189010996993</v>
      </c>
      <c r="S107" s="62" t="n">
        <v>-0.04608046354549641</v>
      </c>
      <c r="T107" s="62" t="n">
        <v>0.2246107723226344</v>
      </c>
      <c r="U107" s="30" t="n">
        <v>8</v>
      </c>
      <c r="V107" s="62" t="n">
        <v>-0.02244731257871498</v>
      </c>
      <c r="W107" s="62" t="n">
        <v>-0.05740649609253805</v>
      </c>
    </row>
    <row r="108">
      <c r="A108" s="30" t="inlineStr">
        <is>
          <t>CMPC</t>
        </is>
      </c>
      <c r="B108" s="30" t="inlineStr">
        <is>
          <t>Industria, recursos naturales e inmobiliario</t>
        </is>
      </c>
      <c r="C108" s="30" t="n">
        <v>2024</v>
      </c>
      <c r="D108" s="62" t="n">
        <v>2.082628383794467</v>
      </c>
      <c r="E108" s="62" t="n">
        <v>0.1307099080987107</v>
      </c>
      <c r="F108" s="62" t="n">
        <v>0.1400499413123711</v>
      </c>
      <c r="G108" s="62" t="n">
        <v>0.02899790625361109</v>
      </c>
      <c r="H108" s="62" t="n">
        <v>0.5394830237313892</v>
      </c>
      <c r="I108" s="62" t="n">
        <v>3.445550563368646</v>
      </c>
      <c r="J108" s="62" t="n">
        <v>0.4571822397825276</v>
      </c>
      <c r="K108" s="62" t="n">
        <v>-0.08176482862823575</v>
      </c>
      <c r="L108" s="30" t="n">
        <v>1084363</v>
      </c>
      <c r="M108" s="62" t="n">
        <v>0.1582981783806737</v>
      </c>
      <c r="N108" s="62" t="n">
        <v>0.2172055565403886</v>
      </c>
      <c r="O108" s="62" t="n">
        <v>-0.287767873718246</v>
      </c>
      <c r="P108" s="62" t="n">
        <v>-0.01478092835987632</v>
      </c>
      <c r="Q108" s="62" t="n">
        <v>0.2460506449715956</v>
      </c>
      <c r="R108" s="62" t="n">
        <v>-0.2544786345416317</v>
      </c>
      <c r="S108" s="62" t="n">
        <v>-0.09510981789117487</v>
      </c>
      <c r="T108" s="62" t="n">
        <v>-0.4660901280904831</v>
      </c>
      <c r="U108" s="30" t="n">
        <v>8</v>
      </c>
      <c r="V108" s="62" t="n">
        <v>-0.06208412533859425</v>
      </c>
      <c r="W108" s="62" t="n">
        <v>-0.01771919038098365</v>
      </c>
    </row>
    <row r="109">
      <c r="A109" s="30" t="inlineStr">
        <is>
          <t>CMPC</t>
        </is>
      </c>
      <c r="B109" s="30" t="inlineStr">
        <is>
          <t>Industria, recursos naturales e inmobiliario</t>
        </is>
      </c>
      <c r="C109" s="30" t="n">
        <v>2025</v>
      </c>
      <c r="D109" s="62" t="n">
        <v>2.090826031875786</v>
      </c>
      <c r="E109" s="62" t="n">
        <v>0.1107567589921102</v>
      </c>
      <c r="F109" s="62" t="n">
        <v>0.07493442224688486</v>
      </c>
      <c r="G109" s="62" t="n">
        <v>0.009804065923295012</v>
      </c>
      <c r="H109" s="62" t="n">
        <v>0.5090983016610474</v>
      </c>
      <c r="I109" s="62" t="n">
        <v>1.657033655879943</v>
      </c>
      <c r="J109" s="62" t="n">
        <v>0.3632496033098004</v>
      </c>
      <c r="K109" s="62" t="n">
        <v>-0.0941016625616975</v>
      </c>
      <c r="L109" s="30" t="n">
        <v>560142</v>
      </c>
      <c r="M109" s="62" t="n">
        <v>0.1659087651146897</v>
      </c>
      <c r="N109" s="62" t="n">
        <v>0.1051133527833526</v>
      </c>
      <c r="O109" s="62" t="n">
        <v>-0.4721922431425958</v>
      </c>
      <c r="P109" s="62" t="n">
        <v>-0.2452262802104031</v>
      </c>
      <c r="Q109" s="62" t="n">
        <v>0.4038705939444659</v>
      </c>
      <c r="R109" s="62" t="n">
        <v>-0.5052070113434226</v>
      </c>
      <c r="S109" s="62" t="n">
        <v>-0.4158374367599776</v>
      </c>
      <c r="T109" s="62" t="n">
        <v>-0.4962540051165229</v>
      </c>
      <c r="U109" s="30" t="n">
        <v>8</v>
      </c>
      <c r="V109" s="62" t="n">
        <v>-0.1824780330913017</v>
      </c>
      <c r="W109" s="62" t="n">
        <v>-0.1338888767172075</v>
      </c>
    </row>
    <row r="110">
      <c r="A110" s="30" t="inlineStr">
        <is>
          <t>COPEC</t>
        </is>
      </c>
      <c r="B110" s="30" t="inlineStr">
        <is>
          <t>Industria, recursos naturales e inmobiliario</t>
        </is>
      </c>
      <c r="C110" s="30" t="n">
        <v>2017</v>
      </c>
      <c r="D110" s="62" t="n">
        <v>1.744880639331315</v>
      </c>
      <c r="E110" s="62" t="n">
        <v>0.1032695407706654</v>
      </c>
      <c r="F110" s="62" t="n">
        <v>0.0560946460072966</v>
      </c>
      <c r="G110" s="62" t="n">
        <v>0.02973629506162901</v>
      </c>
      <c r="H110" s="62" t="n">
        <v>0.5078313708061367</v>
      </c>
      <c r="I110" s="62" t="n">
        <v>2.835501888741808</v>
      </c>
      <c r="J110" s="62" t="n">
        <v>0.9178820986447548</v>
      </c>
      <c r="K110" s="62" t="n">
        <v>0.5284419678018917</v>
      </c>
      <c r="L110" s="30" t="n">
        <v>1141712</v>
      </c>
      <c r="M110" s="62" t="n">
        <v>-0.1552623060359013</v>
      </c>
      <c r="N110" s="62" t="n">
        <v>0.06305188238748605</v>
      </c>
      <c r="O110" s="62" t="n">
        <v>-0.5255514715254276</v>
      </c>
      <c r="P110" s="62" t="n">
        <v>-0.005915674417056887</v>
      </c>
      <c r="Q110" s="62" t="n">
        <v>0.4104511037944911</v>
      </c>
      <c r="R110" s="62" t="n">
        <v>-0.3400000592029399</v>
      </c>
      <c r="S110" s="62" t="n">
        <v>1.477923520622394</v>
      </c>
      <c r="T110" s="62" t="n">
        <v>1.025881221061597</v>
      </c>
      <c r="U110" s="30" t="n">
        <v>8</v>
      </c>
      <c r="V110" s="62" t="n">
        <v>0.2438222770855803</v>
      </c>
      <c r="W110" s="62" t="n">
        <v>0.002286321816562107</v>
      </c>
    </row>
    <row r="111">
      <c r="A111" s="30" t="inlineStr">
        <is>
          <t>COPEC</t>
        </is>
      </c>
      <c r="B111" s="30" t="inlineStr">
        <is>
          <t>Industria, recursos naturales e inmobiliario</t>
        </is>
      </c>
      <c r="C111" s="30" t="n">
        <v>2018</v>
      </c>
      <c r="D111" s="62" t="n">
        <v>1.848427135738806</v>
      </c>
      <c r="E111" s="62" t="n">
        <v>0.1231899826608238</v>
      </c>
      <c r="F111" s="62" t="n">
        <v>0.07789189092446917</v>
      </c>
      <c r="G111" s="62" t="n">
        <v>0.04763260105738107</v>
      </c>
      <c r="H111" s="62" t="n">
        <v>0.5234057590759251</v>
      </c>
      <c r="I111" s="62" t="n">
        <v>5.03771797992008</v>
      </c>
      <c r="J111" s="62" t="n">
        <v>1.020555556146892</v>
      </c>
      <c r="K111" s="62" t="n">
        <v>-0.1348727601235301</v>
      </c>
      <c r="L111" s="30" t="n">
        <v>1867074</v>
      </c>
      <c r="M111" s="62" t="n">
        <v>-0.05913112498307165</v>
      </c>
      <c r="N111" s="62" t="n">
        <v>0.1749603445230786</v>
      </c>
      <c r="O111" s="62" t="n">
        <v>-0.4638159097618051</v>
      </c>
      <c r="P111" s="62" t="n">
        <v>0.2089512027186173</v>
      </c>
      <c r="Q111" s="62" t="n">
        <v>0.3295568584454164</v>
      </c>
      <c r="R111" s="62" t="n">
        <v>-0.03127607476870242</v>
      </c>
      <c r="S111" s="62" t="n">
        <v>1.828496173347295</v>
      </c>
      <c r="T111" s="62" t="n">
        <v>-0.5959403897841572</v>
      </c>
      <c r="U111" s="30" t="n">
        <v>8</v>
      </c>
      <c r="V111" s="62" t="n">
        <v>0.1739751349670839</v>
      </c>
      <c r="W111" s="62" t="n">
        <v>0.08377665410703447</v>
      </c>
    </row>
    <row r="112">
      <c r="A112" s="30" t="inlineStr">
        <is>
          <t>COPEC</t>
        </is>
      </c>
      <c r="B112" s="30" t="inlineStr">
        <is>
          <t>Industria, recursos naturales e inmobiliario</t>
        </is>
      </c>
      <c r="C112" s="30" t="n">
        <v>2019</v>
      </c>
      <c r="D112" s="62" t="n">
        <v>2.273454159505285</v>
      </c>
      <c r="E112" s="62" t="n">
        <v>0.1589100136730637</v>
      </c>
      <c r="F112" s="62" t="n">
        <v>0.03323703571430831</v>
      </c>
      <c r="G112" s="62" t="n">
        <v>0.00910876169422419</v>
      </c>
      <c r="H112" s="62" t="n">
        <v>0.5493515810772993</v>
      </c>
      <c r="I112" s="62" t="n">
        <v>1.800098195935145</v>
      </c>
      <c r="J112" s="62" t="n">
        <v>0.9564814810707134</v>
      </c>
      <c r="K112" s="62" t="n">
        <v>-0.1894419381862655</v>
      </c>
      <c r="L112" s="30" t="n">
        <v>788263</v>
      </c>
      <c r="M112" s="62" t="n">
        <v>0.3354582739015509</v>
      </c>
      <c r="N112" s="62" t="n">
        <v>0.3756272654707673</v>
      </c>
      <c r="O112" s="62" t="n">
        <v>-0.5902902684409893</v>
      </c>
      <c r="P112" s="62" t="n">
        <v>-0.2535742514842032</v>
      </c>
      <c r="Q112" s="62" t="n">
        <v>0.1947928051545388</v>
      </c>
      <c r="R112" s="62" t="n">
        <v>-0.4851510981140073</v>
      </c>
      <c r="S112" s="62" t="n">
        <v>1.609718905912984</v>
      </c>
      <c r="T112" s="62" t="n">
        <v>-0.7293634370079553</v>
      </c>
      <c r="U112" s="30" t="n">
        <v>8</v>
      </c>
      <c r="V112" s="62" t="n">
        <v>0.05715227442408577</v>
      </c>
      <c r="W112" s="62" t="n">
        <v>-0.03825429858138543</v>
      </c>
    </row>
    <row r="113">
      <c r="A113" s="30" t="inlineStr">
        <is>
          <t>COPEC</t>
        </is>
      </c>
      <c r="B113" s="30" t="inlineStr">
        <is>
          <t>Industria, recursos naturales e inmobiliario</t>
        </is>
      </c>
      <c r="C113" s="30" t="n">
        <v>2020</v>
      </c>
      <c r="D113" s="62" t="n">
        <v>2.391781173841511</v>
      </c>
      <c r="E113" s="62" t="n">
        <v>0.1570950870368879</v>
      </c>
      <c r="F113" s="62" t="n">
        <v>0.03924168571234606</v>
      </c>
      <c r="G113" s="62" t="n">
        <v>0.008182346531547612</v>
      </c>
      <c r="H113" s="62" t="n">
        <v>0.5606468481266377</v>
      </c>
      <c r="I113" s="62" t="n">
        <v>1.717377238282414</v>
      </c>
      <c r="J113" s="62" t="n">
        <v>0.7173630588262119</v>
      </c>
      <c r="K113" s="62" t="n">
        <v>0.06815703906964066</v>
      </c>
      <c r="L113" s="30" t="n">
        <v>708674</v>
      </c>
      <c r="M113" s="62" t="n">
        <v>0.445311489927638</v>
      </c>
      <c r="N113" s="62" t="n">
        <v>0.3654314249435701</v>
      </c>
      <c r="O113" s="62" t="n">
        <v>-0.5732835117508011</v>
      </c>
      <c r="P113" s="62" t="n">
        <v>-0.264696990052861</v>
      </c>
      <c r="Q113" s="62" t="n">
        <v>0.1361245551954083</v>
      </c>
      <c r="R113" s="62" t="n">
        <v>-0.4967475730217458</v>
      </c>
      <c r="S113" s="62" t="n">
        <v>0.7932627190751865</v>
      </c>
      <c r="T113" s="62" t="n">
        <v>-0.09952729639935326</v>
      </c>
      <c r="U113" s="30" t="n">
        <v>8</v>
      </c>
      <c r="V113" s="62" t="n">
        <v>0.0382343522396302</v>
      </c>
      <c r="W113" s="62" t="n">
        <v>-0.05103087715170294</v>
      </c>
    </row>
    <row r="114">
      <c r="A114" s="30" t="inlineStr">
        <is>
          <t>COPEC</t>
        </is>
      </c>
      <c r="B114" s="30" t="inlineStr">
        <is>
          <t>Industria, recursos naturales e inmobiliario</t>
        </is>
      </c>
      <c r="C114" s="30" t="n">
        <v>2021</v>
      </c>
      <c r="D114" s="62" t="n">
        <v>2.126512592481766</v>
      </c>
      <c r="E114" s="62" t="n">
        <v>0.1481604857062362</v>
      </c>
      <c r="F114" s="62" t="n">
        <v>0.1114762185750744</v>
      </c>
      <c r="G114" s="62" t="n">
        <v>0.07218416319809495</v>
      </c>
      <c r="H114" s="62" t="n">
        <v>0.5525035326020753</v>
      </c>
      <c r="I114" s="62" t="n">
        <v>7.651205227961842</v>
      </c>
      <c r="J114" s="62" t="n">
        <v>0.9677414241477559</v>
      </c>
      <c r="K114" s="62" t="n">
        <v>-0.08646456955782911</v>
      </c>
      <c r="L114" s="30" t="n">
        <v>2763118</v>
      </c>
      <c r="M114" s="62" t="n">
        <v>0.199039690233254</v>
      </c>
      <c r="N114" s="62" t="n">
        <v>0.3152388890439608</v>
      </c>
      <c r="O114" s="62" t="n">
        <v>-0.3686962126697094</v>
      </c>
      <c r="P114" s="62" t="n">
        <v>0.5037225084411397</v>
      </c>
      <c r="Q114" s="62" t="n">
        <v>0.1784213923223426</v>
      </c>
      <c r="R114" s="62" t="n">
        <v>0.3351031373874619</v>
      </c>
      <c r="S114" s="62" t="n">
        <v>1.648165338029756</v>
      </c>
      <c r="T114" s="62" t="n">
        <v>-0.4775811158284303</v>
      </c>
      <c r="U114" s="30" t="n">
        <v>8</v>
      </c>
      <c r="V114" s="62" t="n">
        <v>0.2916767033699719</v>
      </c>
      <c r="W114" s="62" t="n">
        <v>0.2381478079678176</v>
      </c>
    </row>
    <row r="115">
      <c r="A115" s="30" t="inlineStr">
        <is>
          <t>COPEC</t>
        </is>
      </c>
      <c r="B115" s="30" t="inlineStr">
        <is>
          <t>Industria, recursos naturales e inmobiliario</t>
        </is>
      </c>
      <c r="C115" s="30" t="n">
        <v>2022</v>
      </c>
      <c r="D115" s="62" t="n">
        <v>1.681045296441444</v>
      </c>
      <c r="E115" s="62" t="n">
        <v>0.1230308967046505</v>
      </c>
      <c r="F115" s="62" t="n">
        <v>0.07563566501898153</v>
      </c>
      <c r="G115" s="62" t="n">
        <v>0.05413610227598164</v>
      </c>
      <c r="H115" s="62" t="n">
        <v>0.5564369123894527</v>
      </c>
      <c r="I115" s="62" t="n">
        <v>5.875990192142098</v>
      </c>
      <c r="J115" s="62" t="n">
        <v>1.093404830059275</v>
      </c>
      <c r="K115" s="62" t="n">
        <v>-0.03895851344893353</v>
      </c>
      <c r="L115" s="30" t="n">
        <v>2326945</v>
      </c>
      <c r="M115" s="62" t="n">
        <v>-0.2145261837895837</v>
      </c>
      <c r="N115" s="62" t="n">
        <v>0.1740666362006986</v>
      </c>
      <c r="O115" s="62" t="n">
        <v>-0.4702061381723314</v>
      </c>
      <c r="P115" s="62" t="n">
        <v>0.287033629204868</v>
      </c>
      <c r="Q115" s="62" t="n">
        <v>0.1579911973086208</v>
      </c>
      <c r="R115" s="62" t="n">
        <v>0.08623952165000263</v>
      </c>
      <c r="S115" s="62" t="n">
        <v>1.945403824050371</v>
      </c>
      <c r="T115" s="62" t="n">
        <v>-0.3614275838777266</v>
      </c>
      <c r="U115" s="30" t="n">
        <v>8</v>
      </c>
      <c r="V115" s="62" t="n">
        <v>0.200571862821865</v>
      </c>
      <c r="W115" s="62" t="n">
        <v>0.08012044372588302</v>
      </c>
    </row>
    <row r="116">
      <c r="A116" s="30" t="inlineStr">
        <is>
          <t>COPEC</t>
        </is>
      </c>
      <c r="B116" s="30" t="inlineStr">
        <is>
          <t>Industria, recursos naturales e inmobiliario</t>
        </is>
      </c>
      <c r="C116" s="30" t="n">
        <v>2023</v>
      </c>
      <c r="D116" s="62" t="n">
        <v>1.878906710347044</v>
      </c>
      <c r="E116" s="62" t="n">
        <v>0.1443921328070226</v>
      </c>
      <c r="F116" s="62" t="n">
        <v>0.03934296130117779</v>
      </c>
      <c r="G116" s="62" t="n">
        <v>0.01367121488194816</v>
      </c>
      <c r="H116" s="62" t="n">
        <v>0.5484760271718726</v>
      </c>
      <c r="I116" s="62" t="n">
        <v>1.660611853270028</v>
      </c>
      <c r="J116" s="62" t="n">
        <v>0.9933964624806538</v>
      </c>
      <c r="K116" s="62" t="n">
        <v>0.01285021162415023</v>
      </c>
      <c r="L116" s="30" t="n">
        <v>1122376</v>
      </c>
      <c r="M116" s="62" t="n">
        <v>-0.03083429595713331</v>
      </c>
      <c r="N116" s="62" t="n">
        <v>0.2940691489317431</v>
      </c>
      <c r="O116" s="62" t="n">
        <v>-0.5729966725014727</v>
      </c>
      <c r="P116" s="62" t="n">
        <v>-0.1987964627742513</v>
      </c>
      <c r="Q116" s="62" t="n">
        <v>0.1993404811990176</v>
      </c>
      <c r="R116" s="62" t="n">
        <v>-0.5047053914707024</v>
      </c>
      <c r="S116" s="62" t="n">
        <v>1.735763000199999</v>
      </c>
      <c r="T116" s="62" t="n">
        <v>-0.2347539153814941</v>
      </c>
      <c r="U116" s="30" t="n">
        <v>8</v>
      </c>
      <c r="V116" s="62" t="n">
        <v>0.08588573653071326</v>
      </c>
      <c r="W116" s="62" t="n">
        <v>-0.07113797299246954</v>
      </c>
    </row>
    <row r="117">
      <c r="A117" s="30" t="inlineStr">
        <is>
          <t>COPEC</t>
        </is>
      </c>
      <c r="B117" s="30" t="inlineStr">
        <is>
          <t>Industria, recursos naturales e inmobiliario</t>
        </is>
      </c>
      <c r="C117" s="30" t="n">
        <v>2024</v>
      </c>
      <c r="D117" s="62" t="n">
        <v>2.123018057178852</v>
      </c>
      <c r="E117" s="62" t="n">
        <v>0.1572433232191799</v>
      </c>
      <c r="F117" s="62" t="n">
        <v>0.07552355783287848</v>
      </c>
      <c r="G117" s="62" t="n">
        <v>0.0409441694515114</v>
      </c>
      <c r="H117" s="62" t="n">
        <v>0.5263853007948306</v>
      </c>
      <c r="I117" s="62" t="n">
        <v>3.449649437495333</v>
      </c>
      <c r="J117" s="62" t="n">
        <v>1.009409814216507</v>
      </c>
      <c r="K117" s="62" t="n">
        <v>-0.05161688656990215</v>
      </c>
      <c r="L117" s="30" t="n">
        <v>2171268</v>
      </c>
      <c r="M117" s="62" t="n">
        <v>0.1957954104405511</v>
      </c>
      <c r="N117" s="62" t="n">
        <v>0.3662641817310255</v>
      </c>
      <c r="O117" s="62" t="n">
        <v>-0.4705236553694869</v>
      </c>
      <c r="P117" s="62" t="n">
        <v>0.128648462453119</v>
      </c>
      <c r="Q117" s="62" t="n">
        <v>0.3140809518055072</v>
      </c>
      <c r="R117" s="62" t="n">
        <v>-0.2539040221059338</v>
      </c>
      <c r="S117" s="62" t="n">
        <v>1.790439674519045</v>
      </c>
      <c r="T117" s="62" t="n">
        <v>-0.3923776325068958</v>
      </c>
      <c r="U117" s="30" t="n">
        <v>8</v>
      </c>
      <c r="V117" s="62" t="n">
        <v>0.2098029213708664</v>
      </c>
      <c r="W117" s="62" t="n">
        <v>0.09801648133082745</v>
      </c>
    </row>
    <row r="118">
      <c r="A118" s="30" t="inlineStr">
        <is>
          <t>COPEC</t>
        </is>
      </c>
      <c r="B118" s="30" t="inlineStr">
        <is>
          <t>Industria, recursos naturales e inmobiliario</t>
        </is>
      </c>
      <c r="C118" s="30" t="n">
        <v>2025</v>
      </c>
      <c r="D118" s="62" t="n">
        <v>1.741366379300443</v>
      </c>
      <c r="E118" s="62" t="n">
        <v>0.1166192227655567</v>
      </c>
      <c r="F118" s="62" t="n">
        <v>0.06281432671191316</v>
      </c>
      <c r="G118" s="62" t="n">
        <v>0.02861144866260352</v>
      </c>
      <c r="H118" s="62" t="n">
        <v>0.5507523875218806</v>
      </c>
      <c r="I118" s="62" t="n">
        <v>2.957924339439775</v>
      </c>
      <c r="J118" s="62" t="n">
        <v>0.8924473621419832</v>
      </c>
      <c r="K118" s="62" t="n">
        <v>0.1614173956237703</v>
      </c>
      <c r="L118" s="30" t="n">
        <v>1861688</v>
      </c>
      <c r="M118" s="62" t="n">
        <v>-0.1585248980019775</v>
      </c>
      <c r="N118" s="62" t="n">
        <v>0.1380473262779937</v>
      </c>
      <c r="O118" s="62" t="n">
        <v>-0.5065195587883803</v>
      </c>
      <c r="P118" s="62" t="n">
        <v>-0.01942082084634152</v>
      </c>
      <c r="Q118" s="62" t="n">
        <v>0.1875169379903472</v>
      </c>
      <c r="R118" s="62" t="n">
        <v>-0.3228379165253524</v>
      </c>
      <c r="S118" s="62" t="n">
        <v>1.391078066460593</v>
      </c>
      <c r="T118" s="62" t="n">
        <v>0.12849667974199</v>
      </c>
      <c r="U118" s="30" t="n">
        <v>8</v>
      </c>
      <c r="V118" s="62" t="n">
        <v>0.104729477038609</v>
      </c>
      <c r="W118" s="62" t="n">
        <v>-0.04704500102518862</v>
      </c>
    </row>
    <row r="119">
      <c r="A119" s="30" t="inlineStr">
        <is>
          <t>LTM</t>
        </is>
      </c>
      <c r="B119" s="30" t="inlineStr">
        <is>
          <t>Industria, recursos naturales e inmobiliario</t>
        </is>
      </c>
      <c r="C119" s="30" t="n">
        <v>2017</v>
      </c>
      <c r="D119" s="62" t="n">
        <v>0.6410546537105872</v>
      </c>
      <c r="E119" s="62" t="n">
        <v>-0.1115660242498499</v>
      </c>
      <c r="F119" s="62" t="n">
        <v>0.07983268404822307</v>
      </c>
      <c r="G119" s="62" t="n">
        <v>0.01067742839493537</v>
      </c>
      <c r="H119" s="62" t="n">
        <v>0.7729948741279112</v>
      </c>
      <c r="I119" s="62" t="n">
        <v>1.951516199407047</v>
      </c>
      <c r="J119" s="62" t="n">
        <v>0.5114332014113012</v>
      </c>
      <c r="K119" s="62" t="n">
        <v>0.5490625208006836</v>
      </c>
      <c r="L119" s="30" t="n">
        <v>767504</v>
      </c>
      <c r="M119" s="62" t="n">
        <v>-1.180039573795272</v>
      </c>
      <c r="N119" s="62" t="n">
        <v>-1.14384492371975</v>
      </c>
      <c r="O119" s="62" t="n">
        <v>-0.4583190704035646</v>
      </c>
      <c r="P119" s="62" t="n">
        <v>-0.234740503596313</v>
      </c>
      <c r="Q119" s="62" t="n">
        <v>-0.9668229902989158</v>
      </c>
      <c r="R119" s="62" t="n">
        <v>-0.4639241306360284</v>
      </c>
      <c r="S119" s="62" t="n">
        <v>0.09012699008015518</v>
      </c>
      <c r="T119" s="62" t="n">
        <v>1.076299004766817</v>
      </c>
      <c r="U119" s="30" t="n">
        <v>8</v>
      </c>
      <c r="V119" s="62" t="n">
        <v>-0.4101581497003589</v>
      </c>
      <c r="W119" s="62" t="n">
        <v>-0.6294584293715741</v>
      </c>
    </row>
    <row r="120">
      <c r="A120" s="30" t="inlineStr">
        <is>
          <t>LTM</t>
        </is>
      </c>
      <c r="B120" s="30" t="inlineStr">
        <is>
          <t>Industria, recursos naturales e inmobiliario</t>
        </is>
      </c>
      <c r="C120" s="30" t="n">
        <v>2018</v>
      </c>
      <c r="D120" s="62" t="n">
        <v>0.5937348260436091</v>
      </c>
      <c r="E120" s="62" t="n">
        <v>-0.12878799565794</v>
      </c>
      <c r="F120" s="62" t="n">
        <v>0.0660199994825908</v>
      </c>
      <c r="G120" s="62" t="n">
        <v>0.01213922166826618</v>
      </c>
      <c r="H120" s="62" t="n">
        <v>0.7867123832675738</v>
      </c>
      <c r="I120" s="62" t="n">
        <v>1.833721148907146</v>
      </c>
      <c r="J120" s="62" t="n">
        <v>0.5633051526754168</v>
      </c>
      <c r="K120" s="62" t="n">
        <v>-0.2045950011122956</v>
      </c>
      <c r="L120" s="30" t="n">
        <v>653298</v>
      </c>
      <c r="M120" s="62" t="n">
        <v>-1.223970668314795</v>
      </c>
      <c r="N120" s="62" t="n">
        <v>-1.24059399915942</v>
      </c>
      <c r="O120" s="62" t="n">
        <v>-0.4974402457797799</v>
      </c>
      <c r="P120" s="62" t="n">
        <v>-0.2171899009337813</v>
      </c>
      <c r="Q120" s="62" t="n">
        <v>-1.038072501400074</v>
      </c>
      <c r="R120" s="62" t="n">
        <v>-0.4804375679334121</v>
      </c>
      <c r="S120" s="62" t="n">
        <v>0.2672408031247699</v>
      </c>
      <c r="T120" s="62" t="n">
        <v>-0.7664130665266657</v>
      </c>
      <c r="U120" s="30" t="n">
        <v>8</v>
      </c>
      <c r="V120" s="62" t="n">
        <v>-0.6496096433653948</v>
      </c>
      <c r="W120" s="62" t="n">
        <v>-0.7135458598167548</v>
      </c>
    </row>
    <row r="121">
      <c r="A121" s="30" t="inlineStr">
        <is>
          <t>LTM</t>
        </is>
      </c>
      <c r="B121" s="30" t="inlineStr">
        <is>
          <t>Industria, recursos naturales e inmobiliario</t>
        </is>
      </c>
      <c r="C121" s="30" t="n">
        <v>2019</v>
      </c>
      <c r="D121" s="62" t="n">
        <v>0.5772534809225534</v>
      </c>
      <c r="E121" s="62" t="n">
        <v>-0.1395457640306441</v>
      </c>
      <c r="F121" s="62" t="n">
        <v>0.07267581146215273</v>
      </c>
      <c r="G121" s="62" t="n">
        <v>0.009276119099350591</v>
      </c>
      <c r="H121" s="62" t="n">
        <v>0.8516120169163165</v>
      </c>
      <c r="I121" s="62" t="n">
        <v>1.240562503602098</v>
      </c>
      <c r="J121" s="62" t="n">
        <v>0.4775301423011953</v>
      </c>
      <c r="K121" s="62" t="n">
        <v>0.08809984839840723</v>
      </c>
      <c r="L121" s="30" t="n">
        <v>731850</v>
      </c>
      <c r="M121" s="62" t="n">
        <v>-1.239271728483855</v>
      </c>
      <c r="N121" s="62" t="n">
        <v>-1.301028668291685</v>
      </c>
      <c r="O121" s="62" t="n">
        <v>-0.4785892261618105</v>
      </c>
      <c r="P121" s="62" t="n">
        <v>-0.2515649226867645</v>
      </c>
      <c r="Q121" s="62" t="n">
        <v>-1.375164835076547</v>
      </c>
      <c r="R121" s="62" t="n">
        <v>-0.5635912153496433</v>
      </c>
      <c r="S121" s="62" t="n">
        <v>-0.02563306764919049</v>
      </c>
      <c r="T121" s="62" t="n">
        <v>-0.05076661344040888</v>
      </c>
      <c r="U121" s="30" t="n">
        <v>8</v>
      </c>
      <c r="V121" s="62" t="n">
        <v>-0.6607012846424881</v>
      </c>
      <c r="W121" s="62" t="n">
        <v>-0.7828078267246915</v>
      </c>
    </row>
    <row r="122">
      <c r="A122" s="30" t="inlineStr">
        <is>
          <t>LTM</t>
        </is>
      </c>
      <c r="B122" s="30" t="inlineStr">
        <is>
          <t>Industria, recursos naturales e inmobiliario</t>
        </is>
      </c>
      <c r="C122" s="30" t="n">
        <v>2020</v>
      </c>
      <c r="D122" s="62" t="n">
        <v>0.4195922309570031</v>
      </c>
      <c r="E122" s="62" t="n">
        <v>-0.2778482424062737</v>
      </c>
      <c r="F122" s="62" t="n">
        <v>-1.151663482145656</v>
      </c>
      <c r="G122" s="62" t="n">
        <v>-0.291086824420818</v>
      </c>
      <c r="H122" s="62" t="n">
        <v>1.156062041815734</v>
      </c>
      <c r="I122" s="62" t="n">
        <v>-7.698306072278565</v>
      </c>
      <c r="J122" s="62" t="n">
        <v>0.2507121045310283</v>
      </c>
      <c r="K122" s="62" t="n">
        <v>-0.8321802353939353</v>
      </c>
      <c r="L122" s="30" t="n">
        <v>-4518744</v>
      </c>
      <c r="M122" s="62" t="n">
        <v>-1.385642322287522</v>
      </c>
      <c r="N122" s="62" t="n">
        <v>-2.077980191249828</v>
      </c>
      <c r="O122" s="62" t="n">
        <v>-3.225175471076662</v>
      </c>
      <c r="P122" s="62" t="n">
        <v>-3.857786658992377</v>
      </c>
      <c r="Q122" s="62" t="n">
        <v>-2.956495323576046</v>
      </c>
      <c r="R122" s="62" t="n">
        <v>-1.547139704379996</v>
      </c>
      <c r="S122" s="62" t="n">
        <v>-0.8000902946816862</v>
      </c>
      <c r="T122" s="62" t="n">
        <v>-2.184433077463261</v>
      </c>
      <c r="U122" s="30" t="n">
        <v>8</v>
      </c>
      <c r="V122" s="62" t="n">
        <v>-2.254342880463422</v>
      </c>
      <c r="W122" s="62" t="n">
        <v>-2.455874456825698</v>
      </c>
    </row>
    <row r="123">
      <c r="A123" s="30" t="inlineStr">
        <is>
          <t>LTM</t>
        </is>
      </c>
      <c r="B123" s="30" t="inlineStr">
        <is>
          <t>Industria, recursos naturales e inmobiliario</t>
        </is>
      </c>
      <c r="C123" s="30" t="n">
        <v>2021</v>
      </c>
      <c r="D123" s="62" t="n">
        <v>0.2122726235964047</v>
      </c>
      <c r="E123" s="62" t="n">
        <v>-0.7298781660383469</v>
      </c>
      <c r="F123" s="62" t="n">
        <v>-0.6713048588098112</v>
      </c>
      <c r="G123" s="62" t="n">
        <v>-0.350083195827238</v>
      </c>
      <c r="H123" s="62" t="n">
        <v>1.531684684654862</v>
      </c>
      <c r="I123" s="62" t="n">
        <v>-4.07012279900291</v>
      </c>
      <c r="J123" s="62" t="n">
        <v>0.3674531272993963</v>
      </c>
      <c r="K123" s="62" t="n">
        <v>-0.7423235089263438</v>
      </c>
      <c r="L123" s="30" t="n">
        <v>-3278663</v>
      </c>
      <c r="M123" s="62" t="n">
        <v>-1.476104513855062</v>
      </c>
      <c r="N123" s="62" t="n">
        <v>-3.271498272815348</v>
      </c>
      <c r="O123" s="62" t="n">
        <v>-2.585739225854246</v>
      </c>
      <c r="P123" s="62" t="n">
        <v>-4.190698493537344</v>
      </c>
      <c r="Q123" s="62" t="n">
        <v>-3.873467698991677</v>
      </c>
      <c r="R123" s="62" t="n">
        <v>-1.308084879374842</v>
      </c>
      <c r="S123" s="62" t="n">
        <v>-0.4014847443341408</v>
      </c>
      <c r="T123" s="62" t="n">
        <v>-2.081173131433164</v>
      </c>
      <c r="U123" s="30" t="n">
        <v>8</v>
      </c>
      <c r="V123" s="62" t="n">
        <v>-2.398531370024478</v>
      </c>
      <c r="W123" s="62" t="n">
        <v>-2.67608358478935</v>
      </c>
    </row>
    <row r="124">
      <c r="A124" s="30" t="inlineStr">
        <is>
          <t>LTM</t>
        </is>
      </c>
      <c r="B124" s="30" t="inlineStr">
        <is>
          <t>Industria, recursos naturales e inmobiliario</t>
        </is>
      </c>
      <c r="C124" s="30" t="n">
        <v>2022</v>
      </c>
      <c r="D124" s="62" t="n">
        <v>0.6949569585129389</v>
      </c>
      <c r="E124" s="62" t="n">
        <v>-0.117498159113177</v>
      </c>
      <c r="F124" s="62" t="n">
        <v>0.2444271153036666</v>
      </c>
      <c r="G124" s="62" t="n">
        <v>0.1012137287768155</v>
      </c>
      <c r="H124" s="62" t="n">
        <v>0.997674593581845</v>
      </c>
      <c r="I124" s="62" t="n">
        <v>2.428317821568904</v>
      </c>
      <c r="J124" s="62" t="n">
        <v>0.7086900303867437</v>
      </c>
      <c r="K124" s="62" t="n">
        <v>-0.6894748382265308</v>
      </c>
      <c r="L124" s="30" t="n">
        <v>2288454</v>
      </c>
      <c r="M124" s="62" t="n">
        <v>-1.12999739562511</v>
      </c>
      <c r="N124" s="62" t="n">
        <v>-1.177170293377531</v>
      </c>
      <c r="O124" s="62" t="n">
        <v>0.007855884978679123</v>
      </c>
      <c r="P124" s="62" t="n">
        <v>0.8522576811178644</v>
      </c>
      <c r="Q124" s="62" t="n">
        <v>-2.133822042565045</v>
      </c>
      <c r="R124" s="62" t="n">
        <v>-0.397082326524172</v>
      </c>
      <c r="S124" s="62" t="n">
        <v>0.7636491591430146</v>
      </c>
      <c r="T124" s="62" t="n">
        <v>-1.951956769068503</v>
      </c>
      <c r="U124" s="30" t="n">
        <v>8</v>
      </c>
      <c r="V124" s="62" t="n">
        <v>-0.6457832627401002</v>
      </c>
      <c r="W124" s="62" t="n">
        <v>-0.5951597034647269</v>
      </c>
    </row>
    <row r="125">
      <c r="A125" s="30" t="inlineStr">
        <is>
          <t>LTM</t>
        </is>
      </c>
      <c r="B125" s="30" t="inlineStr">
        <is>
          <t>Industria, recursos naturales e inmobiliario</t>
        </is>
      </c>
      <c r="C125" s="30" t="n">
        <v>2023</v>
      </c>
      <c r="D125" s="62" t="n">
        <v>0.7389701545409875</v>
      </c>
      <c r="E125" s="62" t="n">
        <v>-0.101230047899019</v>
      </c>
      <c r="F125" s="62" t="n">
        <v>0.1112253287884128</v>
      </c>
      <c r="G125" s="62" t="n">
        <v>0.03964938368065321</v>
      </c>
      <c r="H125" s="62" t="n">
        <v>0.9701189345152811</v>
      </c>
      <c r="I125" s="62" t="n">
        <v>1.854290342307918</v>
      </c>
      <c r="J125" s="62" t="n">
        <v>0.7936381675855465</v>
      </c>
      <c r="K125" s="62" t="n">
        <v>0.6896674866201422</v>
      </c>
      <c r="L125" s="30" t="n">
        <v>1294723</v>
      </c>
      <c r="M125" s="62" t="n">
        <v>-1.089136133652175</v>
      </c>
      <c r="N125" s="62" t="n">
        <v>-1.085779785181694</v>
      </c>
      <c r="O125" s="62" t="n">
        <v>-0.3694067988919207</v>
      </c>
      <c r="P125" s="62" t="n">
        <v>0.1131029875819337</v>
      </c>
      <c r="Q125" s="62" t="n">
        <v>-1.990696405353975</v>
      </c>
      <c r="R125" s="62" t="n">
        <v>-0.4775540165104964</v>
      </c>
      <c r="S125" s="62" t="n">
        <v>1.053699718716341</v>
      </c>
      <c r="T125" s="62" t="n">
        <v>1.420081771164046</v>
      </c>
      <c r="U125" s="30" t="n">
        <v>8</v>
      </c>
      <c r="V125" s="62" t="n">
        <v>-0.3032110827659927</v>
      </c>
      <c r="W125" s="62" t="n">
        <v>-0.6393700075985764</v>
      </c>
    </row>
    <row r="126">
      <c r="A126" s="30" t="inlineStr">
        <is>
          <t>LTM</t>
        </is>
      </c>
      <c r="B126" s="30" t="inlineStr">
        <is>
          <t>Industria, recursos naturales e inmobiliario</t>
        </is>
      </c>
      <c r="C126" s="30" t="n">
        <v>2024</v>
      </c>
      <c r="D126" s="62" t="n">
        <v>0.6200154128811374</v>
      </c>
      <c r="E126" s="62" t="n">
        <v>-0.1567144692335101</v>
      </c>
      <c r="F126" s="62" t="n">
        <v>0.1461760862174311</v>
      </c>
      <c r="G126" s="62" t="n">
        <v>0.06408061434313019</v>
      </c>
      <c r="H126" s="62" t="n">
        <v>0.9533657655212473</v>
      </c>
      <c r="I126" s="62" t="n">
        <v>2.126973184420886</v>
      </c>
      <c r="J126" s="62" t="n">
        <v>0.8413253731225864</v>
      </c>
      <c r="K126" s="62" t="n">
        <v>0.4376961699614044</v>
      </c>
      <c r="L126" s="30" t="n">
        <v>1875884</v>
      </c>
      <c r="M126" s="62" t="n">
        <v>-1.199572123321917</v>
      </c>
      <c r="N126" s="62" t="n">
        <v>-1.397478506438163</v>
      </c>
      <c r="O126" s="62" t="n">
        <v>-0.2704170113227296</v>
      </c>
      <c r="P126" s="62" t="n">
        <v>0.4064295678423401</v>
      </c>
      <c r="Q126" s="62" t="n">
        <v>-1.903679506872845</v>
      </c>
      <c r="R126" s="62" t="n">
        <v>-0.4393271895241739</v>
      </c>
      <c r="S126" s="62" t="n">
        <v>1.216524956639293</v>
      </c>
      <c r="T126" s="62" t="n">
        <v>0.8040054058035203</v>
      </c>
      <c r="U126" s="30" t="n">
        <v>8</v>
      </c>
      <c r="V126" s="62" t="n">
        <v>-0.3479393008993343</v>
      </c>
      <c r="W126" s="62" t="n">
        <v>-0.6278687115463949</v>
      </c>
    </row>
    <row r="127">
      <c r="A127" s="30" t="inlineStr">
        <is>
          <t>LTM</t>
        </is>
      </c>
      <c r="B127" s="30" t="inlineStr">
        <is>
          <t>Industria, recursos naturales e inmobiliario</t>
        </is>
      </c>
      <c r="C127" s="30" t="n">
        <v>2025</v>
      </c>
      <c r="D127" s="62" t="n">
        <v>0.6009014593947077</v>
      </c>
      <c r="E127" s="62" t="n">
        <v>-0.1650246577681365</v>
      </c>
      <c r="F127" s="62" t="n">
        <v>0.1640395943766362</v>
      </c>
      <c r="G127" s="62" t="n">
        <v>0.08296412012295751</v>
      </c>
      <c r="H127" s="62" t="n">
        <v>0.9241987266969679</v>
      </c>
      <c r="I127" s="62" t="n">
        <v>3.243668008472227</v>
      </c>
      <c r="J127" s="62" t="n">
        <v>0.8086357996316625</v>
      </c>
      <c r="K127" s="62" t="n">
        <v>0.7765113675732986</v>
      </c>
      <c r="L127" s="30" t="n">
        <v>2340034</v>
      </c>
      <c r="M127" s="62" t="n">
        <v>-1.217317261853774</v>
      </c>
      <c r="N127" s="62" t="n">
        <v>-1.444163234823949</v>
      </c>
      <c r="O127" s="62" t="n">
        <v>-0.2198228323121175</v>
      </c>
      <c r="P127" s="62" t="n">
        <v>0.6331489767107424</v>
      </c>
      <c r="Q127" s="62" t="n">
        <v>-1.752184272910163</v>
      </c>
      <c r="R127" s="62" t="n">
        <v>-0.2827801200248475</v>
      </c>
      <c r="S127" s="62" t="n">
        <v>1.104908276204428</v>
      </c>
      <c r="T127" s="62" t="n">
        <v>1.632417299036391</v>
      </c>
      <c r="U127" s="30" t="n">
        <v>8</v>
      </c>
      <c r="V127" s="62" t="n">
        <v>-0.1932241462466612</v>
      </c>
      <c r="W127" s="62" t="n">
        <v>-0.5230321603668494</v>
      </c>
    </row>
    <row r="128">
      <c r="A128" s="30" t="inlineStr">
        <is>
          <t>PARAUCO</t>
        </is>
      </c>
      <c r="B128" s="30" t="inlineStr">
        <is>
          <t>Industria, recursos naturales e inmobiliario</t>
        </is>
      </c>
      <c r="C128" s="30" t="n">
        <v>2017</v>
      </c>
      <c r="D128" s="62" t="n">
        <v>2.402863829585509</v>
      </c>
      <c r="E128" s="62" t="n">
        <v>0.06528603086785316</v>
      </c>
      <c r="F128" s="62" t="n">
        <v>0.9929539196668078</v>
      </c>
      <c r="G128" s="62" t="n">
        <v>0.04779764571894051</v>
      </c>
      <c r="H128" s="62" t="n">
        <v>0.5479273913633548</v>
      </c>
      <c r="I128" s="62" t="n">
        <v>4.750502674933515</v>
      </c>
      <c r="J128" s="62" t="n">
        <v>0.08756071254861983</v>
      </c>
      <c r="K128" s="62" t="n">
        <v>0.269059822903539</v>
      </c>
      <c r="L128" s="30" t="n">
        <v>180931165</v>
      </c>
      <c r="M128" s="62" t="n">
        <v>0.4556004791531137</v>
      </c>
      <c r="N128" s="62" t="n">
        <v>-0.1503307425148156</v>
      </c>
      <c r="O128" s="62" t="n">
        <v>2.127881738616788</v>
      </c>
      <c r="P128" s="62" t="n">
        <v>0.2109327642221818</v>
      </c>
      <c r="Q128" s="62" t="n">
        <v>0.2021901263300319</v>
      </c>
      <c r="R128" s="62" t="n">
        <v>-0.07154017677992007</v>
      </c>
      <c r="S128" s="62" t="n">
        <v>-1.357161398300091</v>
      </c>
      <c r="T128" s="62" t="n">
        <v>0.3916851895949621</v>
      </c>
      <c r="U128" s="30" t="n">
        <v>8</v>
      </c>
      <c r="V128" s="62" t="n">
        <v>0.2261572475402814</v>
      </c>
      <c r="W128" s="62" t="n">
        <v>0.3875210850592568</v>
      </c>
    </row>
    <row r="129">
      <c r="A129" s="30" t="inlineStr">
        <is>
          <t>PARAUCO</t>
        </is>
      </c>
      <c r="B129" s="30" t="inlineStr">
        <is>
          <t>Industria, recursos naturales e inmobiliario</t>
        </is>
      </c>
      <c r="C129" s="30" t="n">
        <v>2018</v>
      </c>
      <c r="D129" s="62" t="n">
        <v>1.913328295924777</v>
      </c>
      <c r="E129" s="62" t="n">
        <v>0.07309851958209182</v>
      </c>
      <c r="F129" s="62" t="n">
        <v>1.094175684647969</v>
      </c>
      <c r="G129" s="62" t="n">
        <v>0.05188571147453856</v>
      </c>
      <c r="H129" s="62" t="n">
        <v>0.5466852875036462</v>
      </c>
      <c r="I129" s="62" t="n">
        <v>5.664537079307367</v>
      </c>
      <c r="J129" s="62" t="n">
        <v>0.07973520167065098</v>
      </c>
      <c r="K129" s="62" t="n">
        <v>-0.1749925505858243</v>
      </c>
      <c r="L129" s="30" t="n">
        <v>207475719</v>
      </c>
      <c r="M129" s="62" t="n">
        <v>0.001122243279854052</v>
      </c>
      <c r="N129" s="62" t="n">
        <v>-0.1064419772814471</v>
      </c>
      <c r="O129" s="62" t="n">
        <v>2.262624537413358</v>
      </c>
      <c r="P129" s="62" t="n">
        <v>0.2600149559682963</v>
      </c>
      <c r="Q129" s="62" t="n">
        <v>0.2086416833758525</v>
      </c>
      <c r="R129" s="62" t="n">
        <v>0.05659636002891362</v>
      </c>
      <c r="S129" s="62" t="n">
        <v>-1.383881157955208</v>
      </c>
      <c r="T129" s="62" t="n">
        <v>-0.6940343118019233</v>
      </c>
      <c r="U129" s="30" t="n">
        <v>8</v>
      </c>
      <c r="V129" s="62" t="n">
        <v>0.07558029162846196</v>
      </c>
      <c r="W129" s="62" t="n">
        <v>0.3502193806139407</v>
      </c>
    </row>
    <row r="130">
      <c r="A130" s="30" t="inlineStr">
        <is>
          <t>PARAUCO</t>
        </is>
      </c>
      <c r="B130" s="30" t="inlineStr">
        <is>
          <t>Industria, recursos naturales e inmobiliario</t>
        </is>
      </c>
      <c r="C130" s="30" t="n">
        <v>2019</v>
      </c>
      <c r="D130" s="62" t="n">
        <v>1.276036874181806</v>
      </c>
      <c r="E130" s="62" t="n">
        <v>0.03304768726187644</v>
      </c>
      <c r="F130" s="62" t="n">
        <v>0.8827677140136259</v>
      </c>
      <c r="G130" s="62" t="n">
        <v>0.03899819843945301</v>
      </c>
      <c r="H130" s="62" t="n">
        <v>0.5647551677960712</v>
      </c>
      <c r="I130" s="62" t="n">
        <v>4.532491796752592</v>
      </c>
      <c r="J130" s="62" t="n">
        <v>0.07662773567097821</v>
      </c>
      <c r="K130" s="62" t="n">
        <v>0.2227122127297998</v>
      </c>
      <c r="L130" s="30" t="n">
        <v>181508307</v>
      </c>
      <c r="M130" s="62" t="n">
        <v>-0.5905305810310283</v>
      </c>
      <c r="N130" s="62" t="n">
        <v>-0.3314383441753017</v>
      </c>
      <c r="O130" s="62" t="n">
        <v>1.815805266087819</v>
      </c>
      <c r="P130" s="62" t="n">
        <v>0.1052847183119101</v>
      </c>
      <c r="Q130" s="62" t="n">
        <v>0.1147857126319246</v>
      </c>
      <c r="R130" s="62" t="n">
        <v>-0.1021026575608188</v>
      </c>
      <c r="S130" s="62" t="n">
        <v>-1.394491423015534</v>
      </c>
      <c r="T130" s="62" t="n">
        <v>0.2783640878218743</v>
      </c>
      <c r="U130" s="30" t="n">
        <v>8</v>
      </c>
      <c r="V130" s="62" t="n">
        <v>-0.01304040261614438</v>
      </c>
      <c r="W130" s="62" t="n">
        <v>0.126431082374085</v>
      </c>
    </row>
    <row r="131">
      <c r="A131" s="30" t="inlineStr">
        <is>
          <t>PARAUCO</t>
        </is>
      </c>
      <c r="B131" s="30" t="inlineStr">
        <is>
          <t>Industria, recursos naturales e inmobiliario</t>
        </is>
      </c>
      <c r="C131" s="30" t="n">
        <v>2020</v>
      </c>
      <c r="D131" s="62" t="n">
        <v>4.548394444584071</v>
      </c>
      <c r="E131" s="62" t="n">
        <v>0.1239210641898389</v>
      </c>
      <c r="F131" s="62" t="n">
        <v>0.5149425760088475</v>
      </c>
      <c r="G131" s="62" t="n">
        <v>0.001580809277940906</v>
      </c>
      <c r="H131" s="62" t="n">
        <v>0.5953270963523154</v>
      </c>
      <c r="I131" s="62" t="n">
        <v>1.300998683092104</v>
      </c>
      <c r="J131" s="62" t="n">
        <v>0.04682577999562474</v>
      </c>
      <c r="K131" s="62" t="n">
        <v>-0.3606282171110581</v>
      </c>
      <c r="L131" s="30" t="n">
        <v>64806516</v>
      </c>
      <c r="M131" s="62" t="n">
        <v>2.447482379175509</v>
      </c>
      <c r="N131" s="62" t="n">
        <v>0.1790673924519822</v>
      </c>
      <c r="O131" s="62" t="n">
        <v>0.7740272059800032</v>
      </c>
      <c r="P131" s="62" t="n">
        <v>-0.3439564581416374</v>
      </c>
      <c r="Q131" s="62" t="n">
        <v>-0.04400659731841699</v>
      </c>
      <c r="R131" s="62" t="n">
        <v>-0.5551187960394408</v>
      </c>
      <c r="S131" s="62" t="n">
        <v>-1.470252869386318</v>
      </c>
      <c r="T131" s="62" t="n">
        <v>-1.147918302371525</v>
      </c>
      <c r="U131" s="30" t="n">
        <v>8</v>
      </c>
      <c r="V131" s="62" t="n">
        <v>-0.02008450570623048</v>
      </c>
      <c r="W131" s="62" t="n">
        <v>0.2331696747789005</v>
      </c>
    </row>
    <row r="132">
      <c r="A132" s="30" t="inlineStr">
        <is>
          <t>PARAUCO</t>
        </is>
      </c>
      <c r="B132" s="30" t="inlineStr">
        <is>
          <t>Industria, recursos naturales e inmobiliario</t>
        </is>
      </c>
      <c r="C132" s="30" t="n">
        <v>2021</v>
      </c>
      <c r="D132" s="62" t="n">
        <v>2.180670222308537</v>
      </c>
      <c r="E132" s="62" t="n">
        <v>0.07191267167992944</v>
      </c>
      <c r="F132" s="62" t="n">
        <v>0.6569504786972352</v>
      </c>
      <c r="G132" s="62" t="n">
        <v>0.01727180585282517</v>
      </c>
      <c r="H132" s="62" t="n">
        <v>0.5351907159127833</v>
      </c>
      <c r="I132" s="62" t="n">
        <v>2.588022358984359</v>
      </c>
      <c r="J132" s="62" t="n">
        <v>0.06119074582166788</v>
      </c>
      <c r="K132" s="62" t="n">
        <v>-0.1918314197228552</v>
      </c>
      <c r="L132" s="30" t="n">
        <v>111589111</v>
      </c>
      <c r="M132" s="62" t="n">
        <v>0.2493189087379645</v>
      </c>
      <c r="N132" s="62" t="n">
        <v>-0.1131037981280656</v>
      </c>
      <c r="O132" s="62" t="n">
        <v>1.176231139580556</v>
      </c>
      <c r="P132" s="62" t="n">
        <v>-0.1555669975461263</v>
      </c>
      <c r="Q132" s="62" t="n">
        <v>0.2683451322912427</v>
      </c>
      <c r="R132" s="62" t="n">
        <v>-0.3746936874979508</v>
      </c>
      <c r="S132" s="62" t="n">
        <v>-1.447200142612781</v>
      </c>
      <c r="T132" s="62" t="n">
        <v>-0.7352057809686848</v>
      </c>
      <c r="U132" s="30" t="n">
        <v>8</v>
      </c>
      <c r="V132" s="62" t="n">
        <v>-0.1414844032679808</v>
      </c>
      <c r="W132" s="62" t="n">
        <v>0.07372511081544375</v>
      </c>
    </row>
    <row r="133">
      <c r="A133" s="30" t="inlineStr">
        <is>
          <t>PARAUCO</t>
        </is>
      </c>
      <c r="B133" s="30" t="inlineStr">
        <is>
          <t>Industria, recursos naturales e inmobiliario</t>
        </is>
      </c>
      <c r="C133" s="30" t="n">
        <v>2022</v>
      </c>
      <c r="D133" s="62" t="n">
        <v>1.649486808562794</v>
      </c>
      <c r="E133" s="62" t="n">
        <v>0.04236440809085339</v>
      </c>
      <c r="F133" s="62" t="n">
        <v>0.9505731877753653</v>
      </c>
      <c r="G133" s="62" t="n">
        <v>0.04681487872461226</v>
      </c>
      <c r="H133" s="62" t="n">
        <v>0.5384724712799875</v>
      </c>
      <c r="I133" s="62" t="n">
        <v>4.792792109160465</v>
      </c>
      <c r="J133" s="62" t="n">
        <v>0.08274408336642439</v>
      </c>
      <c r="K133" s="62" t="n">
        <v>0.1798606028543914</v>
      </c>
      <c r="L133" s="30" t="n">
        <v>231102919</v>
      </c>
      <c r="M133" s="62" t="n">
        <v>-0.2438246614519965</v>
      </c>
      <c r="N133" s="62" t="n">
        <v>-0.2790991487966814</v>
      </c>
      <c r="O133" s="62" t="n">
        <v>2.007848298555269</v>
      </c>
      <c r="P133" s="62" t="n">
        <v>0.1991334535111643</v>
      </c>
      <c r="Q133" s="62" t="n">
        <v>0.2512995110282082</v>
      </c>
      <c r="R133" s="62" t="n">
        <v>-0.06561171104655592</v>
      </c>
      <c r="S133" s="62" t="n">
        <v>-1.373607503366332</v>
      </c>
      <c r="T133" s="62" t="n">
        <v>0.1735907969093854</v>
      </c>
      <c r="U133" s="30" t="n">
        <v>8</v>
      </c>
      <c r="V133" s="62" t="n">
        <v>0.08371612941780773</v>
      </c>
      <c r="W133" s="62" t="n">
        <v>0.2523948506637428</v>
      </c>
    </row>
    <row r="134">
      <c r="A134" s="30" t="inlineStr">
        <is>
          <t>PARAUCO</t>
        </is>
      </c>
      <c r="B134" s="30" t="inlineStr">
        <is>
          <t>Industria, recursos naturales e inmobiliario</t>
        </is>
      </c>
      <c r="C134" s="30" t="n">
        <v>2023</v>
      </c>
      <c r="D134" s="62" t="n">
        <v>1.612552286142132</v>
      </c>
      <c r="E134" s="62" t="n">
        <v>0.04588568014341923</v>
      </c>
      <c r="F134" s="62" t="n">
        <v>0.9070121653334531</v>
      </c>
      <c r="G134" s="62" t="n">
        <v>0.03707032890904393</v>
      </c>
      <c r="H134" s="62" t="n">
        <v>0.531733004907376</v>
      </c>
      <c r="I134" s="62" t="n">
        <v>4.047207709074788</v>
      </c>
      <c r="J134" s="62" t="n">
        <v>0.07588710782966472</v>
      </c>
      <c r="K134" s="62" t="n">
        <v>0.3512576350937566</v>
      </c>
      <c r="L134" s="30" t="n">
        <v>239734750</v>
      </c>
      <c r="M134" s="62" t="n">
        <v>-0.278114177612425</v>
      </c>
      <c r="N134" s="62" t="n">
        <v>-0.2593174520684391</v>
      </c>
      <c r="O134" s="62" t="n">
        <v>1.884471963533657</v>
      </c>
      <c r="P134" s="62" t="n">
        <v>0.08213830443061287</v>
      </c>
      <c r="Q134" s="62" t="n">
        <v>0.2863046769983825</v>
      </c>
      <c r="R134" s="62" t="n">
        <v>-0.1701336004508357</v>
      </c>
      <c r="S134" s="62" t="n">
        <v>-1.397020254451894</v>
      </c>
      <c r="T134" s="62" t="n">
        <v>0.5926609595605642</v>
      </c>
      <c r="U134" s="30" t="n">
        <v>8</v>
      </c>
      <c r="V134" s="62" t="n">
        <v>0.09262380249245289</v>
      </c>
      <c r="W134" s="62" t="n">
        <v>0.2107198207210957</v>
      </c>
    </row>
    <row r="135">
      <c r="A135" s="30" t="inlineStr">
        <is>
          <t>PARAUCO</t>
        </is>
      </c>
      <c r="B135" s="30" t="inlineStr">
        <is>
          <t>Industria, recursos naturales e inmobiliario</t>
        </is>
      </c>
      <c r="C135" s="30" t="n">
        <v>2024</v>
      </c>
      <c r="D135" s="62" t="n">
        <v>1.781738956976523</v>
      </c>
      <c r="E135" s="62" t="n">
        <v>0.05894348067900354</v>
      </c>
      <c r="F135" s="62" t="n">
        <v>0.8692916583200672</v>
      </c>
      <c r="G135" s="62" t="n">
        <v>0.03804665003615643</v>
      </c>
      <c r="H135" s="62" t="n">
        <v>0.5450816489000584</v>
      </c>
      <c r="I135" s="62" t="n">
        <v>4.12291916057771</v>
      </c>
      <c r="J135" s="62" t="n">
        <v>0.08059467296662876</v>
      </c>
      <c r="K135" s="62" t="n">
        <v>0.1422546841801144</v>
      </c>
      <c r="L135" s="30" t="n">
        <v>275370484</v>
      </c>
      <c r="M135" s="62" t="n">
        <v>-0.121043537368825</v>
      </c>
      <c r="N135" s="62" t="n">
        <v>-0.1859617311026058</v>
      </c>
      <c r="O135" s="62" t="n">
        <v>1.777637512696918</v>
      </c>
      <c r="P135" s="62" t="n">
        <v>0.09386022468130806</v>
      </c>
      <c r="Q135" s="62" t="n">
        <v>0.2169710721391674</v>
      </c>
      <c r="R135" s="62" t="n">
        <v>-0.1595197732842313</v>
      </c>
      <c r="S135" s="62" t="n">
        <v>-1.380946542334949</v>
      </c>
      <c r="T135" s="62" t="n">
        <v>0.08164335622402254</v>
      </c>
      <c r="U135" s="30" t="n">
        <v>8</v>
      </c>
      <c r="V135" s="62" t="n">
        <v>0.04033007270635058</v>
      </c>
      <c r="W135" s="62" t="n">
        <v>0.2049614814142958</v>
      </c>
    </row>
    <row r="136">
      <c r="A136" s="30" t="inlineStr">
        <is>
          <t>PARAUCO</t>
        </is>
      </c>
      <c r="B136" s="30" t="inlineStr">
        <is>
          <t>Industria, recursos naturales e inmobiliario</t>
        </is>
      </c>
      <c r="C136" s="30" t="n">
        <v>2025</v>
      </c>
      <c r="D136" s="62" t="n">
        <v>0.9853137082768575</v>
      </c>
      <c r="E136" s="62" t="n">
        <v>-0.0009532834485257828</v>
      </c>
      <c r="F136" s="62" t="n">
        <v>0.8861481668762425</v>
      </c>
      <c r="G136" s="62" t="n">
        <v>0.04989781605981481</v>
      </c>
      <c r="H136" s="62" t="n">
        <v>0.5432840903352842</v>
      </c>
      <c r="I136" s="62" t="n">
        <v>5.02754103423597</v>
      </c>
      <c r="J136" s="62" t="n">
        <v>0.08957316522065505</v>
      </c>
      <c r="K136" s="62" t="n">
        <v>0.9274390848488627</v>
      </c>
      <c r="L136" s="30" t="n">
        <v>340097093</v>
      </c>
      <c r="M136" s="62" t="n">
        <v>-0.8604340762480668</v>
      </c>
      <c r="N136" s="62" t="n">
        <v>-0.5224479796190956</v>
      </c>
      <c r="O136" s="62" t="n">
        <v>1.825379602536398</v>
      </c>
      <c r="P136" s="62" t="n">
        <v>0.2361478584826251</v>
      </c>
      <c r="Q136" s="62" t="n">
        <v>0.2263076920467528</v>
      </c>
      <c r="R136" s="62" t="n">
        <v>-0.03270275911342004</v>
      </c>
      <c r="S136" s="62" t="n">
        <v>-1.350289993665606</v>
      </c>
      <c r="T136" s="62" t="n">
        <v>2.001439458877004</v>
      </c>
      <c r="U136" s="30" t="n">
        <v>8</v>
      </c>
      <c r="V136" s="62" t="n">
        <v>0.1904249754120738</v>
      </c>
      <c r="W136" s="62" t="n">
        <v>0.1655480265337822</v>
      </c>
    </row>
    <row r="137">
      <c r="A137" s="30" t="inlineStr">
        <is>
          <t>SQM-B</t>
        </is>
      </c>
      <c r="B137" s="30" t="inlineStr">
        <is>
          <t>Industria, recursos naturales e inmobiliario</t>
        </is>
      </c>
      <c r="C137" s="30" t="n">
        <v>2017</v>
      </c>
      <c r="D137" s="62" t="n">
        <v>3.296942028888636</v>
      </c>
      <c r="E137" s="62" t="n">
        <v>0.3999351990905528</v>
      </c>
      <c r="F137" s="62" t="n">
        <v>0.2988490828679803</v>
      </c>
      <c r="G137" s="62" t="n">
        <v>0.09971914950668445</v>
      </c>
      <c r="H137" s="62" t="n">
        <v>0.4768751064885635</v>
      </c>
      <c r="I137" s="62" t="n">
        <v>12.86238129438991</v>
      </c>
      <c r="J137" s="62" t="n">
        <v>0.5021425731733545</v>
      </c>
      <c r="K137" s="62" t="n">
        <v>0.9789931769286329</v>
      </c>
      <c r="L137" s="30" t="n">
        <v>644714</v>
      </c>
      <c r="M137" s="62" t="n">
        <v>1.285650710059611</v>
      </c>
      <c r="N137" s="62" t="n">
        <v>1.729651337062422</v>
      </c>
      <c r="O137" s="62" t="n">
        <v>0.1619932887024689</v>
      </c>
      <c r="P137" s="62" t="n">
        <v>0.8343134427660504</v>
      </c>
      <c r="Q137" s="62" t="n">
        <v>0.5712396752245649</v>
      </c>
      <c r="R137" s="62" t="n">
        <v>1.06564681348749</v>
      </c>
      <c r="S137" s="62" t="n">
        <v>0.05840467093267702</v>
      </c>
      <c r="T137" s="62" t="n">
        <v>2.060683468480534</v>
      </c>
      <c r="U137" s="30" t="n">
        <v>8</v>
      </c>
      <c r="V137" s="62" t="n">
        <v>0.9709479258394772</v>
      </c>
      <c r="W137" s="62" t="n">
        <v>0.9233805507730412</v>
      </c>
    </row>
    <row r="138">
      <c r="A138" s="30" t="inlineStr">
        <is>
          <t>SQM-B</t>
        </is>
      </c>
      <c r="B138" s="30" t="inlineStr">
        <is>
          <t>Industria, recursos naturales e inmobiliario</t>
        </is>
      </c>
      <c r="C138" s="30" t="n">
        <v>2018</v>
      </c>
      <c r="D138" s="62" t="n">
        <v>4.31843761416542</v>
      </c>
      <c r="E138" s="62" t="n">
        <v>0.4320272702522484</v>
      </c>
      <c r="F138" s="62" t="n">
        <v>0.3005345124885085</v>
      </c>
      <c r="G138" s="62" t="n">
        <v>0.1035738669298286</v>
      </c>
      <c r="H138" s="62" t="n">
        <v>0.4991202161901777</v>
      </c>
      <c r="I138" s="62" t="n">
        <v>11.36549053643556</v>
      </c>
      <c r="J138" s="62" t="n">
        <v>0.5308699855251547</v>
      </c>
      <c r="K138" s="62" t="n">
        <v>-0.2304274932838795</v>
      </c>
      <c r="L138" s="30" t="n">
        <v>680952</v>
      </c>
      <c r="M138" s="62" t="n">
        <v>2.233993536324512</v>
      </c>
      <c r="N138" s="62" t="n">
        <v>1.909937213764066</v>
      </c>
      <c r="O138" s="62" t="n">
        <v>0.1667668710901393</v>
      </c>
      <c r="P138" s="62" t="n">
        <v>0.880594004528241</v>
      </c>
      <c r="Q138" s="62" t="n">
        <v>0.4556973289797253</v>
      </c>
      <c r="R138" s="62" t="n">
        <v>0.8558008856016405</v>
      </c>
      <c r="S138" s="62" t="n">
        <v>0.1564927786004549</v>
      </c>
      <c r="T138" s="62" t="n">
        <v>-0.8295741758795535</v>
      </c>
      <c r="U138" s="30" t="n">
        <v>8</v>
      </c>
      <c r="V138" s="62" t="n">
        <v>0.7287135553761532</v>
      </c>
      <c r="W138" s="62" t="n">
        <v>0.9554178357123537</v>
      </c>
    </row>
    <row r="139">
      <c r="A139" s="30" t="inlineStr">
        <is>
          <t>SQM-B</t>
        </is>
      </c>
      <c r="B139" s="30" t="inlineStr">
        <is>
          <t>Industria, recursos naturales e inmobiliario</t>
        </is>
      </c>
      <c r="C139" s="30" t="n">
        <v>2019</v>
      </c>
      <c r="D139" s="62" t="n">
        <v>3.452786517201073</v>
      </c>
      <c r="E139" s="62" t="n">
        <v>0.4067661354213389</v>
      </c>
      <c r="F139" s="62" t="n">
        <v>0.2405576092464969</v>
      </c>
      <c r="G139" s="62" t="n">
        <v>0.05990477249772691</v>
      </c>
      <c r="H139" s="62" t="n">
        <v>0.5443204115324207</v>
      </c>
      <c r="I139" s="62" t="n">
        <v>6.077035053743875</v>
      </c>
      <c r="J139" s="62" t="n">
        <v>0.4149428573075462</v>
      </c>
      <c r="K139" s="62" t="n">
        <v>-0.2469732215013873</v>
      </c>
      <c r="L139" s="30" t="n">
        <v>467561</v>
      </c>
      <c r="M139" s="62" t="n">
        <v>1.430334646666128</v>
      </c>
      <c r="N139" s="62" t="n">
        <v>1.76802596669863</v>
      </c>
      <c r="O139" s="62" t="n">
        <v>-0.00310357944422637</v>
      </c>
      <c r="P139" s="62" t="n">
        <v>0.3562935175900004</v>
      </c>
      <c r="Q139" s="62" t="n">
        <v>0.2209249816809001</v>
      </c>
      <c r="R139" s="62" t="n">
        <v>0.1144235726940225</v>
      </c>
      <c r="S139" s="62" t="n">
        <v>-0.2393337753186108</v>
      </c>
      <c r="T139" s="62" t="n">
        <v>-0.8700289079405483</v>
      </c>
      <c r="U139" s="30" t="n">
        <v>8</v>
      </c>
      <c r="V139" s="62" t="n">
        <v>0.3471920528282869</v>
      </c>
      <c r="W139" s="62" t="n">
        <v>0.5336125370844385</v>
      </c>
    </row>
    <row r="140">
      <c r="A140" s="30" t="inlineStr">
        <is>
          <t>SQM-B</t>
        </is>
      </c>
      <c r="B140" s="30" t="inlineStr">
        <is>
          <t>Industria, recursos naturales e inmobiliario</t>
        </is>
      </c>
      <c r="C140" s="30" t="n">
        <v>2020</v>
      </c>
      <c r="D140" s="62" t="n">
        <v>5.398939232835031</v>
      </c>
      <c r="E140" s="62" t="n">
        <v>0.4344489103683062</v>
      </c>
      <c r="F140" s="62" t="n">
        <v>0.1765015345112319</v>
      </c>
      <c r="G140" s="62" t="n">
        <v>0.03494039489355838</v>
      </c>
      <c r="H140" s="62" t="n">
        <v>0.5511892485217796</v>
      </c>
      <c r="I140" s="62" t="n">
        <v>3.901957444737771</v>
      </c>
      <c r="J140" s="62" t="n">
        <v>0.3771308402700197</v>
      </c>
      <c r="K140" s="62" t="n">
        <v>0.7519213994389042</v>
      </c>
      <c r="L140" s="30" t="n">
        <v>320737</v>
      </c>
      <c r="M140" s="62" t="n">
        <v>2.856026503332856</v>
      </c>
      <c r="N140" s="62" t="n">
        <v>1.923541431116683</v>
      </c>
      <c r="O140" s="62" t="n">
        <v>-0.1845273223613262</v>
      </c>
      <c r="P140" s="62" t="n">
        <v>0.05656586112744978</v>
      </c>
      <c r="Q140" s="62" t="n">
        <v>0.1852478574783487</v>
      </c>
      <c r="R140" s="62" t="n">
        <v>-0.1904959257130483</v>
      </c>
      <c r="S140" s="62" t="n">
        <v>-0.3684407464893133</v>
      </c>
      <c r="T140" s="62" t="n">
        <v>1.572294192988226</v>
      </c>
      <c r="U140" s="30" t="n">
        <v>8</v>
      </c>
      <c r="V140" s="62" t="n">
        <v>0.7312764814349846</v>
      </c>
      <c r="W140" s="62" t="n">
        <v>0.6843660715169058</v>
      </c>
    </row>
    <row r="141">
      <c r="A141" s="30" t="inlineStr">
        <is>
          <t>SQM-B</t>
        </is>
      </c>
      <c r="B141" s="30" t="inlineStr">
        <is>
          <t>Industria, recursos naturales e inmobiliario</t>
        </is>
      </c>
      <c r="C141" s="30" t="n">
        <v>2021</v>
      </c>
      <c r="D141" s="62" t="n">
        <v>4.624436200538666</v>
      </c>
      <c r="E141" s="62" t="n">
        <v>0.5005968495868013</v>
      </c>
      <c r="F141" s="62" t="n">
        <v>0.3234609048969104</v>
      </c>
      <c r="G141" s="62" t="n">
        <v>0.08247749610352134</v>
      </c>
      <c r="H141" s="62" t="n">
        <v>0.5521057140322395</v>
      </c>
      <c r="I141" s="62" t="n">
        <v>10.9404556519273</v>
      </c>
      <c r="J141" s="62" t="n">
        <v>0.3986399545082373</v>
      </c>
      <c r="K141" s="62" t="n">
        <v>0.2763366198638448</v>
      </c>
      <c r="L141" s="30" t="n">
        <v>925847</v>
      </c>
      <c r="M141" s="62" t="n">
        <v>2.51807852740711</v>
      </c>
      <c r="N141" s="62" t="n">
        <v>2.098195270139585</v>
      </c>
      <c r="O141" s="62" t="n">
        <v>0.2317004771455938</v>
      </c>
      <c r="P141" s="62" t="n">
        <v>0.6273064646627099</v>
      </c>
      <c r="Q141" s="62" t="n">
        <v>0.1804876842649379</v>
      </c>
      <c r="R141" s="62" t="n">
        <v>0.7962161502096076</v>
      </c>
      <c r="S141" s="62" t="n">
        <v>-0.2949991051956236</v>
      </c>
      <c r="T141" s="62" t="n">
        <v>0.4094771457676699</v>
      </c>
      <c r="U141" s="30" t="n">
        <v>8</v>
      </c>
      <c r="V141" s="62" t="n">
        <v>0.8208078268001989</v>
      </c>
      <c r="W141" s="62" t="n">
        <v>0.9567429995238103</v>
      </c>
    </row>
    <row r="142">
      <c r="A142" s="30" t="inlineStr">
        <is>
          <t>SQM-B</t>
        </is>
      </c>
      <c r="B142" s="30" t="inlineStr">
        <is>
          <t>Industria, recursos naturales e inmobiliario</t>
        </is>
      </c>
      <c r="C142" s="30" t="n">
        <v>2022</v>
      </c>
      <c r="D142" s="62" t="n">
        <v>2.291135938591147</v>
      </c>
      <c r="E142" s="62" t="n">
        <v>0.364167226093924</v>
      </c>
      <c r="F142" s="62" t="n">
        <v>0.5203404522146237</v>
      </c>
      <c r="G142" s="62" t="n">
        <v>0.3617938311140639</v>
      </c>
      <c r="H142" s="62" t="n">
        <v>0.5441394807202558</v>
      </c>
      <c r="I142" s="62" t="n">
        <v>64.3171688728347</v>
      </c>
      <c r="J142" s="62" t="n">
        <v>0.9899693144559792</v>
      </c>
      <c r="K142" s="62" t="n">
        <v>0.6529867771789488</v>
      </c>
      <c r="L142" s="30" t="n">
        <v>5573147</v>
      </c>
      <c r="M142" s="62" t="n">
        <v>0.351873800892923</v>
      </c>
      <c r="N142" s="62" t="n">
        <v>1.528715089069969</v>
      </c>
      <c r="O142" s="62" t="n">
        <v>0.7893154188326075</v>
      </c>
      <c r="P142" s="62" t="n">
        <v>2.7765952388731</v>
      </c>
      <c r="Q142" s="62" t="n">
        <v>0.2218647464573358</v>
      </c>
      <c r="R142" s="62" t="n">
        <v>5.303104841020327</v>
      </c>
      <c r="S142" s="62" t="n">
        <v>1.724061199135531</v>
      </c>
      <c r="T142" s="62" t="n">
        <v>1.330396490906602</v>
      </c>
      <c r="U142" s="30" t="n">
        <v>8</v>
      </c>
      <c r="V142" s="62" t="n">
        <v>1.753240853148549</v>
      </c>
      <c r="W142" s="62" t="n">
        <v>1.887634419769034</v>
      </c>
    </row>
    <row r="143">
      <c r="A143" s="30" t="inlineStr">
        <is>
          <t>SQM-B</t>
        </is>
      </c>
      <c r="B143" s="30" t="inlineStr">
        <is>
          <t>Industria, recursos naturales e inmobiliario</t>
        </is>
      </c>
      <c r="C143" s="30" t="n">
        <v>2023</v>
      </c>
      <c r="D143" s="62" t="n">
        <v>2.495027291097526</v>
      </c>
      <c r="E143" s="62" t="n">
        <v>0.3002850779586129</v>
      </c>
      <c r="F143" s="62" t="n">
        <v>0.3944323996416467</v>
      </c>
      <c r="G143" s="62" t="n">
        <v>0.1725454633990485</v>
      </c>
      <c r="H143" s="62" t="n">
        <v>0.5244225612251262</v>
      </c>
      <c r="I143" s="62" t="n">
        <v>21.2816288781954</v>
      </c>
      <c r="J143" s="62" t="n">
        <v>0.6379433039142903</v>
      </c>
      <c r="K143" s="62" t="n">
        <v>-0.2324370561468851</v>
      </c>
      <c r="L143" s="30" t="n">
        <v>2945420</v>
      </c>
      <c r="M143" s="62" t="n">
        <v>0.5411638029975139</v>
      </c>
      <c r="N143" s="62" t="n">
        <v>1.169839869576335</v>
      </c>
      <c r="O143" s="62" t="n">
        <v>0.4327105182732421</v>
      </c>
      <c r="P143" s="62" t="n">
        <v>1.708681742183198</v>
      </c>
      <c r="Q143" s="62" t="n">
        <v>0.324275531108246</v>
      </c>
      <c r="R143" s="62" t="n">
        <v>2.245923204357049</v>
      </c>
      <c r="S143" s="62" t="n">
        <v>0.5220885048664736</v>
      </c>
      <c r="T143" s="62" t="n">
        <v>-0.8344876088886003</v>
      </c>
      <c r="U143" s="30" t="n">
        <v>8</v>
      </c>
      <c r="V143" s="62" t="n">
        <v>0.7637744455591822</v>
      </c>
      <c r="W143" s="62" t="n">
        <v>1.019615567640501</v>
      </c>
    </row>
    <row r="144">
      <c r="A144" s="30" t="inlineStr">
        <is>
          <t>SQM-B</t>
        </is>
      </c>
      <c r="B144" s="30" t="inlineStr">
        <is>
          <t>Industria, recursos naturales e inmobiliario</t>
        </is>
      </c>
      <c r="C144" s="30" t="n">
        <v>2024</v>
      </c>
      <c r="D144" s="62" t="n">
        <v>2.514151691713058</v>
      </c>
      <c r="E144" s="62" t="n">
        <v>0.2922538240603836</v>
      </c>
      <c r="F144" s="62" t="n">
        <v>0.2587811544923656</v>
      </c>
      <c r="G144" s="62" t="n">
        <v>-0.03459028430867581</v>
      </c>
      <c r="H144" s="62" t="n">
        <v>0.5478199469726118</v>
      </c>
      <c r="I144" s="62" t="n">
        <v>5.932642854250193</v>
      </c>
      <c r="J144" s="62" t="n">
        <v>0.3939570977304386</v>
      </c>
      <c r="K144" s="62" t="n">
        <v>-0.3048399049463907</v>
      </c>
      <c r="L144" s="30" t="n">
        <v>1171958</v>
      </c>
      <c r="M144" s="62" t="n">
        <v>0.55891864050417</v>
      </c>
      <c r="N144" s="62" t="n">
        <v>1.124722131841042</v>
      </c>
      <c r="O144" s="62" t="n">
        <v>0.04851031980558883</v>
      </c>
      <c r="P144" s="62" t="n">
        <v>-0.7782343433869688</v>
      </c>
      <c r="Q144" s="62" t="n">
        <v>0.2027481985159554</v>
      </c>
      <c r="R144" s="62" t="n">
        <v>0.0941815377150382</v>
      </c>
      <c r="S144" s="62" t="n">
        <v>-0.3109884520323121</v>
      </c>
      <c r="T144" s="62" t="n">
        <v>-1.011514440837729</v>
      </c>
      <c r="U144" s="30" t="n">
        <v>8</v>
      </c>
      <c r="V144" s="62" t="n">
        <v>-0.008957050984401992</v>
      </c>
      <c r="W144" s="62" t="n">
        <v>0.1237562727885468</v>
      </c>
    </row>
    <row r="145">
      <c r="A145" s="30" t="inlineStr">
        <is>
          <t>SQM-B</t>
        </is>
      </c>
      <c r="B145" s="30" t="inlineStr">
        <is>
          <t>Industria, recursos naturales e inmobiliario</t>
        </is>
      </c>
      <c r="C145" s="30" t="n">
        <v>2025</v>
      </c>
      <c r="D145" s="62" t="n">
        <v>3.267964921564238</v>
      </c>
      <c r="E145" s="62" t="n">
        <v>0.2765714624514649</v>
      </c>
      <c r="F145" s="62" t="n">
        <v>0.2520414210493193</v>
      </c>
      <c r="G145" s="62" t="n">
        <v>0.04416716764472291</v>
      </c>
      <c r="H145" s="62" t="n">
        <v>0.4447500027576774</v>
      </c>
      <c r="I145" s="62" t="n">
        <v>5.986329098156452</v>
      </c>
      <c r="J145" s="62" t="n">
        <v>0.3154937345570067</v>
      </c>
      <c r="K145" s="62" t="n">
        <v>0.7431695896246413</v>
      </c>
      <c r="L145" s="30" t="n">
        <v>1153398</v>
      </c>
      <c r="M145" s="62" t="n">
        <v>1.258748751545952</v>
      </c>
      <c r="N145" s="62" t="n">
        <v>1.036622230243206</v>
      </c>
      <c r="O145" s="62" t="n">
        <v>0.02942161241047513</v>
      </c>
      <c r="P145" s="62" t="n">
        <v>0.1673444680396157</v>
      </c>
      <c r="Q145" s="62" t="n">
        <v>0.7380992640606713</v>
      </c>
      <c r="R145" s="62" t="n">
        <v>0.1017076979290347</v>
      </c>
      <c r="S145" s="62" t="n">
        <v>-0.5788971213089327</v>
      </c>
      <c r="T145" s="62" t="n">
        <v>1.550895792359951</v>
      </c>
      <c r="U145" s="30" t="n">
        <v>8</v>
      </c>
      <c r="V145" s="62" t="n">
        <v>0.5379928369099967</v>
      </c>
      <c r="W145" s="62" t="n">
        <v>0.507338527055168</v>
      </c>
    </row>
    <row r="146">
      <c r="A146" s="30" t="inlineStr">
        <is>
          <t>AGUAS-A</t>
        </is>
      </c>
      <c r="B146" s="30" t="inlineStr">
        <is>
          <t>Servicios básicos e infraestructura</t>
        </is>
      </c>
      <c r="C146" s="30" t="n">
        <v>2017</v>
      </c>
      <c r="D146" s="62" t="n">
        <v>0.6352222688710824</v>
      </c>
      <c r="E146" s="62" t="n">
        <v>-0.04813517622413074</v>
      </c>
      <c r="F146" s="62" t="n">
        <v>0.4335967457209988</v>
      </c>
      <c r="G146" s="62" t="n">
        <v>0.07985076473681937</v>
      </c>
      <c r="H146" s="62" t="n">
        <v>0.6141648721526075</v>
      </c>
      <c r="I146" s="62" t="n">
        <v>7.101224732708246</v>
      </c>
      <c r="J146" s="62" t="n">
        <v>0.2835695975438174</v>
      </c>
      <c r="K146" s="62" t="n">
        <v>0.2381877267327388</v>
      </c>
      <c r="L146" s="30" t="n">
        <v>220935136</v>
      </c>
      <c r="M146" s="62" t="n">
        <v>-0.9370581560580376</v>
      </c>
      <c r="N146" s="62" t="n">
        <v>-1.242303611534193</v>
      </c>
      <c r="O146" s="62" t="n">
        <v>1.639491427473591</v>
      </c>
      <c r="P146" s="62" t="n">
        <v>1.22729510288418</v>
      </c>
      <c r="Q146" s="62" t="n">
        <v>-0.4293562307282053</v>
      </c>
      <c r="R146" s="62" t="n">
        <v>0.869226173095183</v>
      </c>
      <c r="S146" s="62" t="n">
        <v>-0.7086589978562849</v>
      </c>
      <c r="T146" s="62" t="n">
        <v>0.6026747659866536</v>
      </c>
      <c r="U146" s="30" t="n">
        <v>8</v>
      </c>
      <c r="V146" s="62" t="n">
        <v>0.1276638091578607</v>
      </c>
      <c r="W146" s="62" t="n">
        <v>0.2211801536685973</v>
      </c>
    </row>
    <row r="147">
      <c r="A147" s="30" t="inlineStr">
        <is>
          <t>AGUAS-A</t>
        </is>
      </c>
      <c r="B147" s="30" t="inlineStr">
        <is>
          <t>Servicios básicos e infraestructura</t>
        </is>
      </c>
      <c r="C147" s="30" t="n">
        <v>2018</v>
      </c>
      <c r="D147" s="62" t="n">
        <v>0.6954234006476533</v>
      </c>
      <c r="E147" s="62" t="n">
        <v>-0.03872116194448261</v>
      </c>
      <c r="F147" s="62" t="n">
        <v>0.4068998071434815</v>
      </c>
      <c r="G147" s="62" t="n">
        <v>0.0730926269397844</v>
      </c>
      <c r="H147" s="62" t="n">
        <v>0.6395736520736099</v>
      </c>
      <c r="I147" s="62" t="n">
        <v>7.194823111876823</v>
      </c>
      <c r="J147" s="62" t="n">
        <v>0.2782739675784696</v>
      </c>
      <c r="K147" s="62" t="n">
        <v>-0.00913670083254603</v>
      </c>
      <c r="L147" s="30" t="n">
        <v>215821562</v>
      </c>
      <c r="M147" s="62" t="n">
        <v>-0.8681819908608792</v>
      </c>
      <c r="N147" s="62" t="n">
        <v>-1.093436171378277</v>
      </c>
      <c r="O147" s="62" t="n">
        <v>1.440791759915535</v>
      </c>
      <c r="P147" s="62" t="n">
        <v>1.035130600949606</v>
      </c>
      <c r="Q147" s="62" t="n">
        <v>-0.6936157909741744</v>
      </c>
      <c r="R147" s="62" t="n">
        <v>0.8967464754605947</v>
      </c>
      <c r="S147" s="62" t="n">
        <v>-0.7659975358819213</v>
      </c>
      <c r="T147" s="62" t="n">
        <v>-0.2745534462444167</v>
      </c>
      <c r="U147" s="30" t="n">
        <v>8</v>
      </c>
      <c r="V147" s="62" t="n">
        <v>-0.04038951237674155</v>
      </c>
      <c r="W147" s="62" t="n">
        <v>0.1254021806692918</v>
      </c>
    </row>
    <row r="148">
      <c r="A148" s="30" t="inlineStr">
        <is>
          <t>AGUAS-A</t>
        </is>
      </c>
      <c r="B148" s="30" t="inlineStr">
        <is>
          <t>Servicios básicos e infraestructura</t>
        </is>
      </c>
      <c r="C148" s="30" t="n">
        <v>2019</v>
      </c>
      <c r="D148" s="62" t="n">
        <v>0.8163810597090911</v>
      </c>
      <c r="E148" s="62" t="n">
        <v>-0.0222144932814623</v>
      </c>
      <c r="F148" s="62" t="n">
        <v>0.4518106680539548</v>
      </c>
      <c r="G148" s="62" t="n">
        <v>0.0698247619783126</v>
      </c>
      <c r="H148" s="62" t="n">
        <v>0.6565113191943325</v>
      </c>
      <c r="I148" s="62" t="n">
        <v>8.179700113736402</v>
      </c>
      <c r="J148" s="62" t="n">
        <v>0.2419897888320052</v>
      </c>
      <c r="K148" s="62" t="n">
        <v>-0.1162816169999389</v>
      </c>
      <c r="L148" s="30" t="n">
        <v>218825047</v>
      </c>
      <c r="M148" s="62" t="n">
        <v>-0.7297942320011789</v>
      </c>
      <c r="N148" s="62" t="n">
        <v>-0.8324098507917356</v>
      </c>
      <c r="O148" s="62" t="n">
        <v>1.775053799240607</v>
      </c>
      <c r="P148" s="62" t="n">
        <v>0.9422103821600185</v>
      </c>
      <c r="Q148" s="62" t="n">
        <v>-0.8697730279147413</v>
      </c>
      <c r="R148" s="62" t="n">
        <v>1.186325345572218</v>
      </c>
      <c r="S148" s="62" t="n">
        <v>-1.158865197783689</v>
      </c>
      <c r="T148" s="62" t="n">
        <v>-0.6545828035724947</v>
      </c>
      <c r="U148" s="30" t="n">
        <v>8</v>
      </c>
      <c r="V148" s="62" t="n">
        <v>-0.04272944813637446</v>
      </c>
      <c r="W148" s="62" t="n">
        <v>0.2143783710204248</v>
      </c>
    </row>
    <row r="149">
      <c r="A149" s="30" t="inlineStr">
        <is>
          <t>AGUAS-A</t>
        </is>
      </c>
      <c r="B149" s="30" t="inlineStr">
        <is>
          <t>Servicios básicos e infraestructura</t>
        </is>
      </c>
      <c r="C149" s="30" t="n">
        <v>2020</v>
      </c>
      <c r="D149" s="62" t="n">
        <v>1.238582519812548</v>
      </c>
      <c r="E149" s="62" t="n">
        <v>0.02715021420583103</v>
      </c>
      <c r="F149" s="62" t="n">
        <v>0.3004635909689943</v>
      </c>
      <c r="G149" s="62" t="n">
        <v>0.0468027360855091</v>
      </c>
      <c r="H149" s="62" t="n">
        <v>0.6079395161830505</v>
      </c>
      <c r="I149" s="62" t="n">
        <v>5.106205355008359</v>
      </c>
      <c r="J149" s="62" t="n">
        <v>0.223263111628233</v>
      </c>
      <c r="K149" s="62" t="n">
        <v>-0.2327340875707791</v>
      </c>
      <c r="L149" s="30" t="n">
        <v>143854024</v>
      </c>
      <c r="M149" s="62" t="n">
        <v>-0.2467531885122862</v>
      </c>
      <c r="N149" s="62" t="n">
        <v>-0.05178668416173675</v>
      </c>
      <c r="O149" s="62" t="n">
        <v>0.6486095136778226</v>
      </c>
      <c r="P149" s="62" t="n">
        <v>0.2875897940512046</v>
      </c>
      <c r="Q149" s="62" t="n">
        <v>-0.3646105075567465</v>
      </c>
      <c r="R149" s="62" t="n">
        <v>0.2826397707786255</v>
      </c>
      <c r="S149" s="62" t="n">
        <v>-1.361628665013934</v>
      </c>
      <c r="T149" s="62" t="n">
        <v>-1.067624869713673</v>
      </c>
      <c r="U149" s="30" t="n">
        <v>8</v>
      </c>
      <c r="V149" s="62" t="n">
        <v>-0.2341956045563405</v>
      </c>
      <c r="W149" s="62" t="n">
        <v>0.01218505929762374</v>
      </c>
    </row>
    <row r="150">
      <c r="A150" s="30" t="inlineStr">
        <is>
          <t>AGUAS-A</t>
        </is>
      </c>
      <c r="B150" s="30" t="inlineStr">
        <is>
          <t>Servicios básicos e infraestructura</t>
        </is>
      </c>
      <c r="C150" s="30" t="n">
        <v>2021</v>
      </c>
      <c r="D150" s="62" t="n">
        <v>1.141619067246792</v>
      </c>
      <c r="E150" s="62" t="n">
        <v>0.01579586248493258</v>
      </c>
      <c r="F150" s="62" t="n">
        <v>0.2925648054560747</v>
      </c>
      <c r="G150" s="62" t="n">
        <v>0.04514873422566543</v>
      </c>
      <c r="H150" s="62" t="n">
        <v>0.6220439864657512</v>
      </c>
      <c r="I150" s="62" t="n">
        <v>5.317916003118706</v>
      </c>
      <c r="J150" s="62" t="n">
        <v>0.227191245019377</v>
      </c>
      <c r="K150" s="62" t="n">
        <v>-0.2558578000926287</v>
      </c>
      <c r="L150" s="30" t="n">
        <v>148172264</v>
      </c>
      <c r="M150" s="62" t="n">
        <v>-0.357689155659751</v>
      </c>
      <c r="N150" s="62" t="n">
        <v>-0.2313374289459536</v>
      </c>
      <c r="O150" s="62" t="n">
        <v>0.5898205236603966</v>
      </c>
      <c r="P150" s="62" t="n">
        <v>0.2405590212049978</v>
      </c>
      <c r="Q150" s="62" t="n">
        <v>-0.5113015775725858</v>
      </c>
      <c r="R150" s="62" t="n">
        <v>0.3448880821460735</v>
      </c>
      <c r="S150" s="62" t="n">
        <v>-1.319096723150227</v>
      </c>
      <c r="T150" s="62" t="n">
        <v>-1.149641729897583</v>
      </c>
      <c r="U150" s="30" t="n">
        <v>8</v>
      </c>
      <c r="V150" s="62" t="n">
        <v>-0.299224873526829</v>
      </c>
      <c r="W150" s="62" t="n">
        <v>-0.05920418504668506</v>
      </c>
    </row>
    <row r="151">
      <c r="A151" s="30" t="inlineStr">
        <is>
          <t>AGUAS-A</t>
        </is>
      </c>
      <c r="B151" s="30" t="inlineStr">
        <is>
          <t>Servicios básicos e infraestructura</t>
        </is>
      </c>
      <c r="C151" s="30" t="n">
        <v>2022</v>
      </c>
      <c r="D151" s="62" t="n">
        <v>1.222127956098791</v>
      </c>
      <c r="E151" s="62" t="n">
        <v>0.02481391469019794</v>
      </c>
      <c r="F151" s="62" t="n">
        <v>0.2073154279489362</v>
      </c>
      <c r="G151" s="62" t="n">
        <v>0.03582948694600385</v>
      </c>
      <c r="H151" s="62" t="n">
        <v>0.6474283925729686</v>
      </c>
      <c r="I151" s="62" t="n">
        <v>3.25693821744763</v>
      </c>
      <c r="J151" s="62" t="n">
        <v>0.2418583022328169</v>
      </c>
      <c r="K151" s="62" t="n">
        <v>0.3523276628448646</v>
      </c>
      <c r="L151" s="30" t="n">
        <v>119302865</v>
      </c>
      <c r="M151" s="62" t="n">
        <v>-0.2655788686141503</v>
      </c>
      <c r="N151" s="62" t="n">
        <v>-0.08873148985230185</v>
      </c>
      <c r="O151" s="62" t="n">
        <v>-0.04467256329095499</v>
      </c>
      <c r="P151" s="62" t="n">
        <v>-0.02442943651585475</v>
      </c>
      <c r="Q151" s="62" t="n">
        <v>-0.7753076422421288</v>
      </c>
      <c r="R151" s="62" t="n">
        <v>-0.2610917685082914</v>
      </c>
      <c r="S151" s="62" t="n">
        <v>-1.160288871532941</v>
      </c>
      <c r="T151" s="62" t="n">
        <v>1.007514567236689</v>
      </c>
      <c r="U151" s="30" t="n">
        <v>8</v>
      </c>
      <c r="V151" s="62" t="n">
        <v>-0.2015732591649917</v>
      </c>
      <c r="W151" s="62" t="n">
        <v>-0.2398315023892613</v>
      </c>
    </row>
    <row r="152">
      <c r="A152" s="30" t="inlineStr">
        <is>
          <t>AGUAS-A</t>
        </is>
      </c>
      <c r="B152" s="30" t="inlineStr">
        <is>
          <t>Servicios básicos e infraestructura</t>
        </is>
      </c>
      <c r="C152" s="30" t="n">
        <v>2023</v>
      </c>
      <c r="D152" s="62" t="n">
        <v>0.7603777890009583</v>
      </c>
      <c r="E152" s="62" t="n">
        <v>-0.03576198123071755</v>
      </c>
      <c r="F152" s="62" t="n">
        <v>0.337284872488658</v>
      </c>
      <c r="G152" s="62" t="n">
        <v>0.0550446452251591</v>
      </c>
      <c r="H152" s="62" t="n">
        <v>0.6343325857054499</v>
      </c>
      <c r="I152" s="62" t="n">
        <v>4.424841316476311</v>
      </c>
      <c r="J152" s="62" t="n">
        <v>0.2644506384003135</v>
      </c>
      <c r="K152" s="62" t="n">
        <v>0.5382028024118011</v>
      </c>
      <c r="L152" s="30" t="n">
        <v>216150985</v>
      </c>
      <c r="M152" s="62" t="n">
        <v>-0.7938676208402855</v>
      </c>
      <c r="N152" s="62" t="n">
        <v>-1.046641504965956</v>
      </c>
      <c r="O152" s="62" t="n">
        <v>0.922662524504322</v>
      </c>
      <c r="P152" s="62" t="n">
        <v>0.5219446433272463</v>
      </c>
      <c r="Q152" s="62" t="n">
        <v>-0.6391069992110135</v>
      </c>
      <c r="R152" s="62" t="n">
        <v>0.08230142594951649</v>
      </c>
      <c r="S152" s="62" t="n">
        <v>-0.9156699055355916</v>
      </c>
      <c r="T152" s="62" t="n">
        <v>1.666789989343806</v>
      </c>
      <c r="U152" s="30" t="n">
        <v>8</v>
      </c>
      <c r="V152" s="62" t="n">
        <v>-0.02519843092849446</v>
      </c>
      <c r="W152" s="62" t="n">
        <v>-0.1012981474325672</v>
      </c>
    </row>
    <row r="153">
      <c r="A153" s="30" t="inlineStr">
        <is>
          <t>AGUAS-A</t>
        </is>
      </c>
      <c r="B153" s="30" t="inlineStr">
        <is>
          <t>Servicios básicos e infraestructura</t>
        </is>
      </c>
      <c r="C153" s="30" t="n">
        <v>2024</v>
      </c>
      <c r="D153" s="62" t="n">
        <v>0.8213120464347244</v>
      </c>
      <c r="E153" s="62" t="n">
        <v>-0.0208111034005433</v>
      </c>
      <c r="F153" s="62" t="n">
        <v>0.3136404370088653</v>
      </c>
      <c r="G153" s="62" t="n">
        <v>0.04119784285676224</v>
      </c>
      <c r="H153" s="62" t="n">
        <v>0.5718862642485374</v>
      </c>
      <c r="I153" s="62" t="n">
        <v>4.215776043639491</v>
      </c>
      <c r="J153" s="62" t="n">
        <v>0.2197116786745124</v>
      </c>
      <c r="K153" s="62" t="n">
        <v>0.1090383883258752</v>
      </c>
      <c r="L153" s="30" t="n">
        <v>207982769</v>
      </c>
      <c r="M153" s="62" t="n">
        <v>-0.7241526859657953</v>
      </c>
      <c r="N153" s="62" t="n">
        <v>-0.8102175051135709</v>
      </c>
      <c r="O153" s="62" t="n">
        <v>0.7466819919128732</v>
      </c>
      <c r="P153" s="62" t="n">
        <v>0.1282172645104267</v>
      </c>
      <c r="Q153" s="62" t="n">
        <v>0.0103550174024582</v>
      </c>
      <c r="R153" s="62" t="n">
        <v>0.02083092214715813</v>
      </c>
      <c r="S153" s="62" t="n">
        <v>-1.400081875452522</v>
      </c>
      <c r="T153" s="62" t="n">
        <v>0.1445985284036391</v>
      </c>
      <c r="U153" s="30" t="n">
        <v>8</v>
      </c>
      <c r="V153" s="62" t="n">
        <v>-0.2354710427694166</v>
      </c>
      <c r="W153" s="62" t="n">
        <v>-0.1298057956604856</v>
      </c>
    </row>
    <row r="154">
      <c r="A154" s="30" t="inlineStr">
        <is>
          <t>AGUAS-A</t>
        </is>
      </c>
      <c r="B154" s="30" t="inlineStr">
        <is>
          <t>Servicios básicos e infraestructura</t>
        </is>
      </c>
      <c r="C154" s="30" t="n">
        <v>2025</v>
      </c>
      <c r="D154" s="62" t="n">
        <v>1.247410609911809</v>
      </c>
      <c r="E154" s="62" t="n">
        <v>0.02190625678806081</v>
      </c>
      <c r="F154" s="62" t="n">
        <v>0.3266204140876496</v>
      </c>
      <c r="G154" s="62" t="n">
        <v>0.04423080648781604</v>
      </c>
      <c r="H154" s="62" t="n">
        <v>0.5814588419361152</v>
      </c>
      <c r="I154" s="62" t="n">
        <v>4.200459008751759</v>
      </c>
      <c r="J154" s="62" t="n">
        <v>0.2254984131879355</v>
      </c>
      <c r="K154" s="62" t="n">
        <v>0.3119349667882436</v>
      </c>
      <c r="L154" s="30" t="n">
        <v>232810806</v>
      </c>
      <c r="M154" s="62" t="n">
        <v>-0.2366529632489345</v>
      </c>
      <c r="N154" s="62" t="n">
        <v>-0.1347114061645229</v>
      </c>
      <c r="O154" s="62" t="n">
        <v>0.8432892161073958</v>
      </c>
      <c r="P154" s="62" t="n">
        <v>0.2144581733304328</v>
      </c>
      <c r="Q154" s="62" t="n">
        <v>-0.08920289832606232</v>
      </c>
      <c r="R154" s="62" t="n">
        <v>0.01632732459347879</v>
      </c>
      <c r="S154" s="62" t="n">
        <v>-1.337425893234478</v>
      </c>
      <c r="T154" s="62" t="n">
        <v>0.864246824144109</v>
      </c>
      <c r="U154" s="30" t="n">
        <v>8</v>
      </c>
      <c r="V154" s="62" t="n">
        <v>0.01754104715017733</v>
      </c>
      <c r="W154" s="62" t="n">
        <v>0.07570266073140111</v>
      </c>
    </row>
    <row r="155">
      <c r="A155" s="30" t="inlineStr">
        <is>
          <t>COLBUN</t>
        </is>
      </c>
      <c r="B155" s="30" t="inlineStr">
        <is>
          <t>Servicios básicos e infraestructura</t>
        </is>
      </c>
      <c r="C155" s="30" t="n">
        <v>2017</v>
      </c>
      <c r="D155" s="62" t="n">
        <v>3.18305091329839</v>
      </c>
      <c r="E155" s="62" t="n">
        <v>0.113652614892044</v>
      </c>
      <c r="F155" s="62" t="n">
        <v>0.2632606825573555</v>
      </c>
      <c r="G155" s="62" t="n">
        <v>0.04169017681655091</v>
      </c>
      <c r="H155" s="62" t="n">
        <v>0.4292982259984844</v>
      </c>
      <c r="I155" s="62" t="n">
        <v>4.798314381900793</v>
      </c>
      <c r="J155" s="62" t="n">
        <v>0.2236767938713842</v>
      </c>
      <c r="K155" s="62" t="n">
        <v>0.1205645812603542</v>
      </c>
      <c r="L155" s="30" t="n">
        <v>407636</v>
      </c>
      <c r="M155" s="62" t="n">
        <v>1.977914726161466</v>
      </c>
      <c r="N155" s="62" t="n">
        <v>1.31610915442193</v>
      </c>
      <c r="O155" s="62" t="n">
        <v>0.3717161346066092</v>
      </c>
      <c r="P155" s="62" t="n">
        <v>0.1422165514456199</v>
      </c>
      <c r="Q155" s="62" t="n">
        <v>1.493316907010885</v>
      </c>
      <c r="R155" s="62" t="n">
        <v>0.1921119993495905</v>
      </c>
      <c r="S155" s="62" t="n">
        <v>-1.357149512356995</v>
      </c>
      <c r="T155" s="62" t="n">
        <v>0.1854804652235451</v>
      </c>
      <c r="U155" s="30" t="n">
        <v>8</v>
      </c>
      <c r="V155" s="62" t="n">
        <v>0.5402145532328315</v>
      </c>
      <c r="W155" s="62" t="n">
        <v>0.7517344867178917</v>
      </c>
    </row>
    <row r="156">
      <c r="A156" s="30" t="inlineStr">
        <is>
          <t>COLBUN</t>
        </is>
      </c>
      <c r="B156" s="30" t="inlineStr">
        <is>
          <t>Servicios básicos e infraestructura</t>
        </is>
      </c>
      <c r="C156" s="30" t="n">
        <v>2018</v>
      </c>
      <c r="D156" s="62" t="n">
        <v>3.333467490915409</v>
      </c>
      <c r="E156" s="62" t="n">
        <v>0.1188929634635219</v>
      </c>
      <c r="F156" s="62" t="n">
        <v>0.2626498157313439</v>
      </c>
      <c r="G156" s="62" t="n">
        <v>0.03399426615537205</v>
      </c>
      <c r="H156" s="62" t="n">
        <v>0.4309915290581822</v>
      </c>
      <c r="I156" s="62" t="n">
        <v>4.920818876608124</v>
      </c>
      <c r="J156" s="62" t="n">
        <v>0.2318185446042982</v>
      </c>
      <c r="K156" s="62" t="n">
        <v>-0.01466405996415476</v>
      </c>
      <c r="L156" s="30" t="n">
        <v>412714</v>
      </c>
      <c r="M156" s="62" t="n">
        <v>2.150006458369944</v>
      </c>
      <c r="N156" s="62" t="n">
        <v>1.39897680834584</v>
      </c>
      <c r="O156" s="62" t="n">
        <v>0.3671695820160072</v>
      </c>
      <c r="P156" s="62" t="n">
        <v>-0.07661308529058955</v>
      </c>
      <c r="Q156" s="62" t="n">
        <v>1.47570600545205</v>
      </c>
      <c r="R156" s="62" t="n">
        <v>0.2281314343592043</v>
      </c>
      <c r="S156" s="62" t="n">
        <v>-1.268994545516562</v>
      </c>
      <c r="T156" s="62" t="n">
        <v>-0.2941582843799475</v>
      </c>
      <c r="U156" s="30" t="n">
        <v>8</v>
      </c>
      <c r="V156" s="62" t="n">
        <v>0.4975280466694932</v>
      </c>
      <c r="W156" s="62" t="n">
        <v>0.7432241814270762</v>
      </c>
    </row>
    <row r="157">
      <c r="A157" s="30" t="inlineStr">
        <is>
          <t>COLBUN</t>
        </is>
      </c>
      <c r="B157" s="30" t="inlineStr">
        <is>
          <t>Servicios básicos e infraestructura</t>
        </is>
      </c>
      <c r="C157" s="30" t="n">
        <v>2019</v>
      </c>
      <c r="D157" s="62" t="n">
        <v>3.368187219551992</v>
      </c>
      <c r="E157" s="62" t="n">
        <v>0.1194796692193547</v>
      </c>
      <c r="F157" s="62" t="n">
        <v>0.2428762655583248</v>
      </c>
      <c r="G157" s="62" t="n">
        <v>0.03012012795752645</v>
      </c>
      <c r="H157" s="62" t="n">
        <v>0.4428873958853751</v>
      </c>
      <c r="I157" s="62" t="n">
        <v>3.966783427950236</v>
      </c>
      <c r="J157" s="62" t="n">
        <v>0.2218209340302892</v>
      </c>
      <c r="K157" s="62" t="n">
        <v>-0.1388028611238002</v>
      </c>
      <c r="L157" s="30" t="n">
        <v>361251</v>
      </c>
      <c r="M157" s="62" t="n">
        <v>2.189729328930735</v>
      </c>
      <c r="N157" s="62" t="n">
        <v>1.4082546128404</v>
      </c>
      <c r="O157" s="62" t="n">
        <v>0.2199992300892056</v>
      </c>
      <c r="P157" s="62" t="n">
        <v>-0.1867724012994064</v>
      </c>
      <c r="Q157" s="62" t="n">
        <v>1.351985128405915</v>
      </c>
      <c r="R157" s="62" t="n">
        <v>-0.05237923524436616</v>
      </c>
      <c r="S157" s="62" t="n">
        <v>-1.377243871435176</v>
      </c>
      <c r="T157" s="62" t="n">
        <v>-0.7344627851597539</v>
      </c>
      <c r="U157" s="30" t="n">
        <v>8</v>
      </c>
      <c r="V157" s="62" t="n">
        <v>0.3523887508909442</v>
      </c>
      <c r="W157" s="62" t="n">
        <v>0.6256057434462295</v>
      </c>
    </row>
    <row r="158">
      <c r="A158" s="30" t="inlineStr">
        <is>
          <t>COLBUN</t>
        </is>
      </c>
      <c r="B158" s="30" t="inlineStr">
        <is>
          <t>Servicios básicos e infraestructura</t>
        </is>
      </c>
      <c r="C158" s="30" t="n">
        <v>2020</v>
      </c>
      <c r="D158" s="62" t="n">
        <v>4.107838659585296</v>
      </c>
      <c r="E158" s="62" t="n">
        <v>0.1436043261042164</v>
      </c>
      <c r="F158" s="62" t="n">
        <v>0.1650850935747605</v>
      </c>
      <c r="G158" s="62" t="n">
        <v>0.01348655316725524</v>
      </c>
      <c r="H158" s="62" t="n">
        <v>0.4595357428781734</v>
      </c>
      <c r="I158" s="62" t="n">
        <v>2.461645607402248</v>
      </c>
      <c r="J158" s="62" t="n">
        <v>0.2033305762687133</v>
      </c>
      <c r="K158" s="62" t="n">
        <v>0.04594639726783289</v>
      </c>
      <c r="L158" s="30" t="n">
        <v>222678</v>
      </c>
      <c r="M158" s="62" t="n">
        <v>2.82344486841166</v>
      </c>
      <c r="N158" s="62" t="n">
        <v>1.789747120542801</v>
      </c>
      <c r="O158" s="62" t="n">
        <v>-0.3589840105248634</v>
      </c>
      <c r="P158" s="62" t="n">
        <v>-0.6597403565201936</v>
      </c>
      <c r="Q158" s="62" t="n">
        <v>1.17883691472476</v>
      </c>
      <c r="R158" s="62" t="n">
        <v>-0.4949280089629153</v>
      </c>
      <c r="S158" s="62" t="n">
        <v>-1.492921567422925</v>
      </c>
      <c r="T158" s="62" t="n">
        <v>-0.07918072003851381</v>
      </c>
      <c r="U158" s="30" t="n">
        <v>8</v>
      </c>
      <c r="V158" s="62" t="n">
        <v>0.3382842800262262</v>
      </c>
      <c r="W158" s="62" t="n">
        <v>0.5130290009258809</v>
      </c>
    </row>
    <row r="159">
      <c r="A159" s="30" t="inlineStr">
        <is>
          <t>COLBUN</t>
        </is>
      </c>
      <c r="B159" s="30" t="inlineStr">
        <is>
          <t>Servicios básicos e infraestructura</t>
        </is>
      </c>
      <c r="C159" s="30" t="n">
        <v>2021</v>
      </c>
      <c r="D159" s="62" t="n">
        <v>2.601510447655684</v>
      </c>
      <c r="E159" s="62" t="n">
        <v>0.1646998383038688</v>
      </c>
      <c r="F159" s="62" t="n">
        <v>0.6331118587748933</v>
      </c>
      <c r="G159" s="62" t="n">
        <v>0.08181436508672159</v>
      </c>
      <c r="H159" s="62" t="n">
        <v>0.5696444442021122</v>
      </c>
      <c r="I159" s="62" t="n">
        <v>10.55646403465088</v>
      </c>
      <c r="J159" s="62" t="n">
        <v>0.2180601674394033</v>
      </c>
      <c r="K159" s="62" t="n">
        <v>-0.4475000163755121</v>
      </c>
      <c r="L159" s="30" t="n">
        <v>911519</v>
      </c>
      <c r="M159" s="62" t="n">
        <v>1.312573793218612</v>
      </c>
      <c r="N159" s="62" t="n">
        <v>2.12333859455717</v>
      </c>
      <c r="O159" s="62" t="n">
        <v>2.409265415796517</v>
      </c>
      <c r="P159" s="62" t="n">
        <v>1.283129164658277</v>
      </c>
      <c r="Q159" s="62" t="n">
        <v>0.033670673701611</v>
      </c>
      <c r="R159" s="62" t="n">
        <v>1.885154345986443</v>
      </c>
      <c r="S159" s="62" t="n">
        <v>-1.417963645964002</v>
      </c>
      <c r="T159" s="62" t="n">
        <v>-1.783144185119164</v>
      </c>
      <c r="U159" s="30" t="n">
        <v>8</v>
      </c>
      <c r="V159" s="62" t="n">
        <v>0.7307530196044333</v>
      </c>
      <c r="W159" s="62" t="n">
        <v>1.297575041075</v>
      </c>
    </row>
    <row r="160">
      <c r="A160" s="30" t="inlineStr">
        <is>
          <t>COLBUN</t>
        </is>
      </c>
      <c r="B160" s="30" t="inlineStr">
        <is>
          <t>Servicios básicos e infraestructura</t>
        </is>
      </c>
      <c r="C160" s="30" t="n">
        <v>2022</v>
      </c>
      <c r="D160" s="62" t="n">
        <v>3.111146123568175</v>
      </c>
      <c r="E160" s="62" t="n">
        <v>0.1734252965573283</v>
      </c>
      <c r="F160" s="62" t="n">
        <v>0.2556824312583997</v>
      </c>
      <c r="G160" s="62" t="n">
        <v>0.04699791431210598</v>
      </c>
      <c r="H160" s="62" t="n">
        <v>0.5529989975740141</v>
      </c>
      <c r="I160" s="62" t="n">
        <v>5.688750380397416</v>
      </c>
      <c r="J160" s="62" t="n">
        <v>0.2988239130217588</v>
      </c>
      <c r="K160" s="62" t="n">
        <v>0.2599005682919884</v>
      </c>
      <c r="L160" s="30" t="n">
        <v>504723</v>
      </c>
      <c r="M160" s="62" t="n">
        <v>1.895648396114617</v>
      </c>
      <c r="N160" s="62" t="n">
        <v>2.188188742434929</v>
      </c>
      <c r="O160" s="62" t="n">
        <v>0.3153128129522675</v>
      </c>
      <c r="P160" s="62" t="n">
        <v>0.2931395960571535</v>
      </c>
      <c r="Q160" s="62" t="n">
        <v>0.2067887226482696</v>
      </c>
      <c r="R160" s="62" t="n">
        <v>0.4539228141665775</v>
      </c>
      <c r="S160" s="62" t="n">
        <v>-0.543492595783185</v>
      </c>
      <c r="T160" s="62" t="n">
        <v>0.6796874467435886</v>
      </c>
      <c r="U160" s="30" t="n">
        <v>8</v>
      </c>
      <c r="V160" s="62" t="n">
        <v>0.6861494919167773</v>
      </c>
      <c r="W160" s="62" t="n">
        <v>0.7869838648070945</v>
      </c>
    </row>
    <row r="161">
      <c r="A161" s="30" t="inlineStr">
        <is>
          <t>COLBUN</t>
        </is>
      </c>
      <c r="B161" s="30" t="inlineStr">
        <is>
          <t>Servicios básicos e infraestructura</t>
        </is>
      </c>
      <c r="C161" s="30" t="n">
        <v>2023</v>
      </c>
      <c r="D161" s="62" t="n">
        <v>3.029197002778037</v>
      </c>
      <c r="E161" s="62" t="n">
        <v>0.143440734586921</v>
      </c>
      <c r="F161" s="62" t="n">
        <v>0.3164179417344316</v>
      </c>
      <c r="G161" s="62" t="n">
        <v>0.06062855338677198</v>
      </c>
      <c r="H161" s="62" t="n">
        <v>0.534993723654324</v>
      </c>
      <c r="I161" s="62" t="n">
        <v>7.422882834361718</v>
      </c>
      <c r="J161" s="62" t="n">
        <v>0.3008110380810011</v>
      </c>
      <c r="K161" s="62" t="n">
        <v>0.6015976828006195</v>
      </c>
      <c r="L161" s="30" t="n">
        <v>633981</v>
      </c>
      <c r="M161" s="62" t="n">
        <v>1.801890338504477</v>
      </c>
      <c r="N161" s="62" t="n">
        <v>1.787160184758812</v>
      </c>
      <c r="O161" s="62" t="n">
        <v>0.7673543721563411</v>
      </c>
      <c r="P161" s="62" t="n">
        <v>0.6807204722538942</v>
      </c>
      <c r="Q161" s="62" t="n">
        <v>0.3940494169011483</v>
      </c>
      <c r="R161" s="62" t="n">
        <v>0.9638018302210892</v>
      </c>
      <c r="S161" s="62" t="n">
        <v>-0.5219769599633441</v>
      </c>
      <c r="T161" s="62" t="n">
        <v>1.891643547625696</v>
      </c>
      <c r="U161" s="30" t="n">
        <v>8</v>
      </c>
      <c r="V161" s="62" t="n">
        <v>0.9705804003072642</v>
      </c>
      <c r="W161" s="62" t="n">
        <v>1.000662142605414</v>
      </c>
    </row>
    <row r="162">
      <c r="A162" s="30" t="inlineStr">
        <is>
          <t>COLBUN</t>
        </is>
      </c>
      <c r="B162" s="30" t="inlineStr">
        <is>
          <t>Servicios básicos e infraestructura</t>
        </is>
      </c>
      <c r="C162" s="30" t="n">
        <v>2024</v>
      </c>
      <c r="D162" s="62" t="n">
        <v>3.241964502796013</v>
      </c>
      <c r="E162" s="62" t="n">
        <v>0.120133684529293</v>
      </c>
      <c r="F162" s="62" t="n">
        <v>0.2633434095777622</v>
      </c>
      <c r="G162" s="62" t="n">
        <v>0.03722487060312637</v>
      </c>
      <c r="H162" s="62" t="n">
        <v>0.5323826569105371</v>
      </c>
      <c r="I162" s="62" t="n">
        <v>5.904467207284108</v>
      </c>
      <c r="J162" s="62" t="n">
        <v>0.2281322323428781</v>
      </c>
      <c r="K162" s="62" t="n">
        <v>-0.1208360046906067</v>
      </c>
      <c r="L162" s="30" t="n">
        <v>415025</v>
      </c>
      <c r="M162" s="62" t="n">
        <v>2.045317813160821</v>
      </c>
      <c r="N162" s="62" t="n">
        <v>1.418596809285096</v>
      </c>
      <c r="O162" s="62" t="n">
        <v>0.3723318543231283</v>
      </c>
      <c r="P162" s="62" t="n">
        <v>0.01524764813847664</v>
      </c>
      <c r="Q162" s="62" t="n">
        <v>0.4212053587303602</v>
      </c>
      <c r="R162" s="62" t="n">
        <v>0.5173490439150302</v>
      </c>
      <c r="S162" s="62" t="n">
        <v>-1.308908164322804</v>
      </c>
      <c r="T162" s="62" t="n">
        <v>-0.6707366360548811</v>
      </c>
      <c r="U162" s="30" t="n">
        <v>8</v>
      </c>
      <c r="V162" s="62" t="n">
        <v>0.3513004658969034</v>
      </c>
      <c r="W162" s="62" t="n">
        <v>0.6253318478427053</v>
      </c>
    </row>
    <row r="163">
      <c r="A163" s="30" t="inlineStr">
        <is>
          <t>COLBUN</t>
        </is>
      </c>
      <c r="B163" s="30" t="inlineStr">
        <is>
          <t>Servicios básicos e infraestructura</t>
        </is>
      </c>
      <c r="C163" s="30" t="n">
        <v>2025</v>
      </c>
      <c r="D163" s="62" t="n">
        <v>3.757361088598782</v>
      </c>
      <c r="E163" s="62" t="n">
        <v>0.1441337318215892</v>
      </c>
      <c r="F163" s="62" t="n">
        <v>0.2050944899211377</v>
      </c>
      <c r="G163" s="62" t="n">
        <v>0.02596984280807824</v>
      </c>
      <c r="H163" s="62" t="n">
        <v>0.5490563776061897</v>
      </c>
      <c r="I163" s="62" t="n">
        <v>3.477487433981914</v>
      </c>
      <c r="J163" s="62" t="n">
        <v>0.2216205945294028</v>
      </c>
      <c r="K163" s="62" t="n">
        <v>0.1718952213419642</v>
      </c>
      <c r="L163" s="30" t="n">
        <v>327242</v>
      </c>
      <c r="M163" s="62" t="n">
        <v>2.634983477878743</v>
      </c>
      <c r="N163" s="62" t="n">
        <v>1.79811881742025</v>
      </c>
      <c r="O163" s="62" t="n">
        <v>-0.06120253531412286</v>
      </c>
      <c r="P163" s="62" t="n">
        <v>-0.304783827313845</v>
      </c>
      <c r="Q163" s="62" t="n">
        <v>0.24779325030184</v>
      </c>
      <c r="R163" s="62" t="n">
        <v>-0.1962446933837697</v>
      </c>
      <c r="S163" s="62" t="n">
        <v>-1.379413051337243</v>
      </c>
      <c r="T163" s="62" t="n">
        <v>0.3675437012521874</v>
      </c>
      <c r="U163" s="30" t="n">
        <v>8</v>
      </c>
      <c r="V163" s="62" t="n">
        <v>0.388349392438005</v>
      </c>
      <c r="W163" s="62" t="n">
        <v>0.5238208371381377</v>
      </c>
    </row>
    <row r="164">
      <c r="A164" s="30" t="inlineStr">
        <is>
          <t>ECL</t>
        </is>
      </c>
      <c r="B164" s="30" t="inlineStr">
        <is>
          <t>Servicios básicos e infraestructura</t>
        </is>
      </c>
      <c r="C164" s="30" t="n">
        <v>2017</v>
      </c>
      <c r="D164" s="62" t="n">
        <v>1.145213936742348</v>
      </c>
      <c r="E164" s="62" t="n">
        <v>0.01437457846628161</v>
      </c>
      <c r="F164" s="62" t="n">
        <v>0.1471336600693318</v>
      </c>
      <c r="G164" s="62" t="n">
        <v>0.03240291980002396</v>
      </c>
      <c r="H164" s="62" t="n">
        <v>0.3860444806689727</v>
      </c>
      <c r="I164" s="62" t="n">
        <v>13.37657409004658</v>
      </c>
      <c r="J164" s="62" t="n">
        <v>0.3133170025708912</v>
      </c>
      <c r="K164" s="62" t="n">
        <v>0.255601887762297</v>
      </c>
      <c r="L164" s="30" t="n">
        <v>155088</v>
      </c>
      <c r="M164" s="62" t="n">
        <v>-0.3535762624643691</v>
      </c>
      <c r="N164" s="62" t="n">
        <v>-0.2538127415284401</v>
      </c>
      <c r="O164" s="62" t="n">
        <v>-0.4925927334637212</v>
      </c>
      <c r="P164" s="62" t="n">
        <v>-0.1218622780364122</v>
      </c>
      <c r="Q164" s="62" t="n">
        <v>1.943169900948618</v>
      </c>
      <c r="R164" s="62" t="n">
        <v>2.714338377992449</v>
      </c>
      <c r="S164" s="62" t="n">
        <v>-0.3865683824866276</v>
      </c>
      <c r="T164" s="62" t="n">
        <v>0.6644405749600956</v>
      </c>
      <c r="U164" s="30" t="n">
        <v>8</v>
      </c>
      <c r="V164" s="62" t="n">
        <v>0.4641920569901991</v>
      </c>
      <c r="W164" s="62" t="n">
        <v>0.5555501414807537</v>
      </c>
    </row>
    <row r="165">
      <c r="A165" s="30" t="inlineStr">
        <is>
          <t>ECL</t>
        </is>
      </c>
      <c r="B165" s="30" t="inlineStr">
        <is>
          <t>Servicios básicos e infraestructura</t>
        </is>
      </c>
      <c r="C165" s="30" t="n">
        <v>2018</v>
      </c>
      <c r="D165" s="62" t="n">
        <v>1.398504084823035</v>
      </c>
      <c r="E165" s="62" t="n">
        <v>0.03518864851377639</v>
      </c>
      <c r="F165" s="62" t="n">
        <v>0.1272904486487843</v>
      </c>
      <c r="G165" s="62" t="n">
        <v>0.03211997680446907</v>
      </c>
      <c r="H165" s="62" t="n">
        <v>0.3825622282495691</v>
      </c>
      <c r="I165" s="62" t="n">
        <v>12.71106412966878</v>
      </c>
      <c r="J165" s="62" t="n">
        <v>0.3682914319774883</v>
      </c>
      <c r="K165" s="62" t="n">
        <v>-0.04050048858591437</v>
      </c>
      <c r="L165" s="30" t="n">
        <v>162333</v>
      </c>
      <c r="M165" s="62" t="n">
        <v>-0.06378679228022952</v>
      </c>
      <c r="N165" s="62" t="n">
        <v>0.07532817914077021</v>
      </c>
      <c r="O165" s="62" t="n">
        <v>-0.6402815593228569</v>
      </c>
      <c r="P165" s="62" t="n">
        <v>-0.1299076303878449</v>
      </c>
      <c r="Q165" s="62" t="n">
        <v>1.979386456638347</v>
      </c>
      <c r="R165" s="62" t="n">
        <v>2.518661535086832</v>
      </c>
      <c r="S165" s="62" t="n">
        <v>0.2086683375247928</v>
      </c>
      <c r="T165" s="62" t="n">
        <v>-0.3857968027156232</v>
      </c>
      <c r="U165" s="30" t="n">
        <v>8</v>
      </c>
      <c r="V165" s="62" t="n">
        <v>0.4452839654605233</v>
      </c>
      <c r="W165" s="62" t="n">
        <v>0.5868486753849715</v>
      </c>
    </row>
    <row r="166">
      <c r="A166" s="30" t="inlineStr">
        <is>
          <t>ECL</t>
        </is>
      </c>
      <c r="B166" s="30" t="inlineStr">
        <is>
          <t>Servicios básicos e infraestructura</t>
        </is>
      </c>
      <c r="C166" s="30" t="n">
        <v>2019</v>
      </c>
      <c r="D166" s="62" t="n">
        <v>1.357413597773333</v>
      </c>
      <c r="E166" s="62" t="n">
        <v>0.0364246434364657</v>
      </c>
      <c r="F166" s="62" t="n">
        <v>0.136931429090039</v>
      </c>
      <c r="G166" s="62" t="n">
        <v>0.03384381619196132</v>
      </c>
      <c r="H166" s="62" t="n">
        <v>0.3946042950119591</v>
      </c>
      <c r="I166" s="62" t="n">
        <v>5.263577979226683</v>
      </c>
      <c r="J166" s="62" t="n">
        <v>0.4146302942878565</v>
      </c>
      <c r="K166" s="62" t="n">
        <v>-0.09727863120888303</v>
      </c>
      <c r="L166" s="30" t="n">
        <v>199158</v>
      </c>
      <c r="M166" s="62" t="n">
        <v>-0.1107984528677864</v>
      </c>
      <c r="N166" s="62" t="n">
        <v>0.09487344375591414</v>
      </c>
      <c r="O166" s="62" t="n">
        <v>-0.5685257809196997</v>
      </c>
      <c r="P166" s="62" t="n">
        <v>-0.08089105995656662</v>
      </c>
      <c r="Q166" s="62" t="n">
        <v>1.854145052801738</v>
      </c>
      <c r="R166" s="62" t="n">
        <v>0.3289113220704088</v>
      </c>
      <c r="S166" s="62" t="n">
        <v>0.7104032842703134</v>
      </c>
      <c r="T166" s="62" t="n">
        <v>-0.5871816357354031</v>
      </c>
      <c r="U166" s="30" t="n">
        <v>8</v>
      </c>
      <c r="V166" s="62" t="n">
        <v>0.2051170216773649</v>
      </c>
      <c r="W166" s="62" t="n">
        <v>0.2386986528996906</v>
      </c>
    </row>
    <row r="167">
      <c r="A167" s="30" t="inlineStr">
        <is>
          <t>ECL</t>
        </is>
      </c>
      <c r="B167" s="30" t="inlineStr">
        <is>
          <t>Servicios básicos e infraestructura</t>
        </is>
      </c>
      <c r="C167" s="30" t="n">
        <v>2020</v>
      </c>
      <c r="D167" s="62" t="n">
        <v>1.437171326195901</v>
      </c>
      <c r="E167" s="62" t="n">
        <v>0.03800262296491785</v>
      </c>
      <c r="F167" s="62" t="n">
        <v>0.1947223336080577</v>
      </c>
      <c r="G167" s="62" t="n">
        <v>0.04394836844057211</v>
      </c>
      <c r="H167" s="62" t="n">
        <v>0.4173556428682766</v>
      </c>
      <c r="I167" s="62" t="n">
        <v>4.425280785526935</v>
      </c>
      <c r="J167" s="62" t="n">
        <v>0.3632532289880623</v>
      </c>
      <c r="K167" s="62" t="n">
        <v>-0.2401214949742876</v>
      </c>
      <c r="L167" s="30" t="n">
        <v>263198</v>
      </c>
      <c r="M167" s="62" t="n">
        <v>-0.01954756909751127</v>
      </c>
      <c r="N167" s="62" t="n">
        <v>0.1198266428950907</v>
      </c>
      <c r="O167" s="62" t="n">
        <v>-0.1384003010910876</v>
      </c>
      <c r="P167" s="62" t="n">
        <v>0.206427178949138</v>
      </c>
      <c r="Q167" s="62" t="n">
        <v>1.617523648775018</v>
      </c>
      <c r="R167" s="62" t="n">
        <v>0.08243064101991462</v>
      </c>
      <c r="S167" s="62" t="n">
        <v>0.1541170951645073</v>
      </c>
      <c r="T167" s="62" t="n">
        <v>-1.093827061924921</v>
      </c>
      <c r="U167" s="30" t="n">
        <v>8</v>
      </c>
      <c r="V167" s="62" t="n">
        <v>0.1160687843362686</v>
      </c>
      <c r="W167" s="62" t="n">
        <v>0.2568099719660168</v>
      </c>
    </row>
    <row r="168">
      <c r="A168" s="30" t="inlineStr">
        <is>
          <t>ECL</t>
        </is>
      </c>
      <c r="B168" s="30" t="inlineStr">
        <is>
          <t>Servicios básicos e infraestructura</t>
        </is>
      </c>
      <c r="C168" s="30" t="n">
        <v>2021</v>
      </c>
      <c r="D168" s="62" t="n">
        <v>1.550702208667074</v>
      </c>
      <c r="E168" s="62" t="n">
        <v>0.05472631963793699</v>
      </c>
      <c r="F168" s="62" t="n">
        <v>0.1011785361155785</v>
      </c>
      <c r="G168" s="62" t="n">
        <v>0.01184687043463865</v>
      </c>
      <c r="H168" s="62" t="n">
        <v>0.4568427217543391</v>
      </c>
      <c r="I168" s="62" t="n">
        <v>1.684596934926301</v>
      </c>
      <c r="J168" s="62" t="n">
        <v>0.3697586963491113</v>
      </c>
      <c r="K168" s="62" t="n">
        <v>-0.4229085654989758</v>
      </c>
      <c r="L168" s="30" t="n">
        <v>149604</v>
      </c>
      <c r="M168" s="62" t="n">
        <v>0.110343208456058</v>
      </c>
      <c r="N168" s="62" t="n">
        <v>0.384284911142951</v>
      </c>
      <c r="O168" s="62" t="n">
        <v>-0.8346270017633026</v>
      </c>
      <c r="P168" s="62" t="n">
        <v>-0.7063639716501227</v>
      </c>
      <c r="Q168" s="62" t="n">
        <v>1.206845208713301</v>
      </c>
      <c r="R168" s="62" t="n">
        <v>-0.7234000680854862</v>
      </c>
      <c r="S168" s="62" t="n">
        <v>0.2245551714834497</v>
      </c>
      <c r="T168" s="62" t="n">
        <v>-1.742149496848989</v>
      </c>
      <c r="U168" s="30" t="n">
        <v>8</v>
      </c>
      <c r="V168" s="62" t="n">
        <v>-0.2600640048190176</v>
      </c>
      <c r="W168" s="62" t="n">
        <v>-0.1605992253340321</v>
      </c>
    </row>
    <row r="169">
      <c r="A169" s="30" t="inlineStr">
        <is>
          <t>ECL</t>
        </is>
      </c>
      <c r="B169" s="30" t="inlineStr">
        <is>
          <t>Servicios básicos e infraestructura</t>
        </is>
      </c>
      <c r="C169" s="30" t="n">
        <v>2022</v>
      </c>
      <c r="D169" s="62" t="n">
        <v>1.266008703172735</v>
      </c>
      <c r="E169" s="62" t="n">
        <v>0.04057611128349238</v>
      </c>
      <c r="F169" s="62" t="n">
        <v>-0.2322292849011543</v>
      </c>
      <c r="G169" s="62" t="n">
        <v>-0.08982106208474951</v>
      </c>
      <c r="H169" s="62" t="n">
        <v>0.5809136741060671</v>
      </c>
      <c r="I169" s="62" t="n">
        <v>-5.907690269589985</v>
      </c>
      <c r="J169" s="62" t="n">
        <v>0.4436576260073041</v>
      </c>
      <c r="K169" s="62" t="n">
        <v>-0.02390435921724909</v>
      </c>
      <c r="L169" s="30" t="n">
        <v>-445942</v>
      </c>
      <c r="M169" s="62" t="n">
        <v>-0.2153748692000412</v>
      </c>
      <c r="N169" s="62" t="n">
        <v>0.1605222066447203</v>
      </c>
      <c r="O169" s="62" t="n">
        <v>-3.069568513104062</v>
      </c>
      <c r="P169" s="62" t="n">
        <v>-3.597244300233773</v>
      </c>
      <c r="Q169" s="62" t="n">
        <v>-0.08353297590252723</v>
      </c>
      <c r="R169" s="62" t="n">
        <v>-2.48803217739666</v>
      </c>
      <c r="S169" s="62" t="n">
        <v>1.024697291681949</v>
      </c>
      <c r="T169" s="62" t="n">
        <v>-0.3269324477493639</v>
      </c>
      <c r="U169" s="30" t="n">
        <v>8</v>
      </c>
      <c r="V169" s="62" t="n">
        <v>-1.07443322315747</v>
      </c>
      <c r="W169" s="62" t="n">
        <v>-1.48692220169631</v>
      </c>
    </row>
    <row r="170">
      <c r="A170" s="30" t="inlineStr">
        <is>
          <t>ECL</t>
        </is>
      </c>
      <c r="B170" s="30" t="inlineStr">
        <is>
          <t>Servicios básicos e infraestructura</t>
        </is>
      </c>
      <c r="C170" s="30" t="n">
        <v>2023</v>
      </c>
      <c r="D170" s="62" t="n">
        <v>1.391962947596589</v>
      </c>
      <c r="E170" s="62" t="n">
        <v>0.06521641126593358</v>
      </c>
      <c r="F170" s="62" t="n">
        <v>-0.1697292805634058</v>
      </c>
      <c r="G170" s="62" t="n">
        <v>-0.09651583684908503</v>
      </c>
      <c r="H170" s="62" t="n">
        <v>0.6745629416604366</v>
      </c>
      <c r="I170" s="62" t="n">
        <v>-2.906452521837137</v>
      </c>
      <c r="J170" s="62" t="n">
        <v>0.5137060311890692</v>
      </c>
      <c r="K170" s="62" t="n">
        <v>0.8775508932949763</v>
      </c>
      <c r="L170" s="30" t="n">
        <v>-371340</v>
      </c>
      <c r="M170" s="62" t="n">
        <v>-0.07127051284976971</v>
      </c>
      <c r="N170" s="62" t="n">
        <v>0.5501687776075375</v>
      </c>
      <c r="O170" s="62" t="n">
        <v>-2.850936585601684</v>
      </c>
      <c r="P170" s="62" t="n">
        <v>-3.686714817925355</v>
      </c>
      <c r="Q170" s="62" t="n">
        <v>-1.057515762097577</v>
      </c>
      <c r="R170" s="62" t="n">
        <v>-2.073285294165415</v>
      </c>
      <c r="S170" s="62" t="n">
        <v>1.78314778207342</v>
      </c>
      <c r="T170" s="62" t="n">
        <v>2.545058485261171</v>
      </c>
      <c r="U170" s="30" t="n">
        <v>8</v>
      </c>
      <c r="V170" s="62" t="n">
        <v>-0.6076684909622091</v>
      </c>
      <c r="W170" s="62" t="n">
        <v>-1.348412435010578</v>
      </c>
    </row>
    <row r="171">
      <c r="A171" s="30" t="inlineStr">
        <is>
          <t>ECL</t>
        </is>
      </c>
      <c r="B171" s="30" t="inlineStr">
        <is>
          <t>Servicios básicos e infraestructura</t>
        </is>
      </c>
      <c r="C171" s="30" t="n">
        <v>2024</v>
      </c>
      <c r="D171" s="62" t="n">
        <v>1.662623887684399</v>
      </c>
      <c r="E171" s="62" t="n">
        <v>0.09121967132550129</v>
      </c>
      <c r="F171" s="62" t="n">
        <v>0.2407409020813912</v>
      </c>
      <c r="G171" s="62" t="n">
        <v>0.04835874580048213</v>
      </c>
      <c r="H171" s="62" t="n">
        <v>0.6685299886883099</v>
      </c>
      <c r="I171" s="62" t="n">
        <v>3.377298387404799</v>
      </c>
      <c r="J171" s="62" t="n">
        <v>0.3890170692131385</v>
      </c>
      <c r="K171" s="62" t="n">
        <v>-0.01413043824422056</v>
      </c>
      <c r="L171" s="30" t="n">
        <v>442112</v>
      </c>
      <c r="M171" s="62" t="n">
        <v>0.2383928949926928</v>
      </c>
      <c r="N171" s="62" t="n">
        <v>0.9613683621615045</v>
      </c>
      <c r="O171" s="62" t="n">
        <v>0.2041061713495182</v>
      </c>
      <c r="P171" s="62" t="n">
        <v>0.3318342058793173</v>
      </c>
      <c r="Q171" s="62" t="n">
        <v>-0.9947710925638377</v>
      </c>
      <c r="R171" s="62" t="n">
        <v>-0.2257028194752329</v>
      </c>
      <c r="S171" s="62" t="n">
        <v>0.4330755839748041</v>
      </c>
      <c r="T171" s="62" t="n">
        <v>-0.2922655961728274</v>
      </c>
      <c r="U171" s="30" t="n">
        <v>8</v>
      </c>
      <c r="V171" s="62" t="n">
        <v>0.08200471376824237</v>
      </c>
      <c r="W171" s="62" t="n">
        <v>0.08785805353926038</v>
      </c>
    </row>
    <row r="172">
      <c r="A172" s="30" t="inlineStr">
        <is>
          <t>ECL</t>
        </is>
      </c>
      <c r="B172" s="30" t="inlineStr">
        <is>
          <t>Servicios básicos e infraestructura</t>
        </is>
      </c>
      <c r="C172" s="30" t="n">
        <v>2025</v>
      </c>
      <c r="D172" s="62" t="n">
        <v>1.139161278534129</v>
      </c>
      <c r="E172" s="62" t="n">
        <v>0.01663987679020546</v>
      </c>
      <c r="F172" s="62" t="n">
        <v>0.2392107308550608</v>
      </c>
      <c r="G172" s="62" t="n">
        <v>0.04270773302065807</v>
      </c>
      <c r="H172" s="62" t="n">
        <v>0.6679098549245299</v>
      </c>
      <c r="I172" s="62" t="n">
        <v>3.496353961371699</v>
      </c>
      <c r="J172" s="62" t="n">
        <v>0.3979775256350082</v>
      </c>
      <c r="K172" s="62" t="n">
        <v>0.4851750784431532</v>
      </c>
      <c r="L172" s="30" t="n">
        <v>496734</v>
      </c>
      <c r="M172" s="62" t="n">
        <v>-0.3605011137807605</v>
      </c>
      <c r="N172" s="62" t="n">
        <v>-0.2179907050778393</v>
      </c>
      <c r="O172" s="62" t="n">
        <v>0.1927174305358133</v>
      </c>
      <c r="P172" s="62" t="n">
        <v>0.171150288375115</v>
      </c>
      <c r="Q172" s="62" t="n">
        <v>-0.9883215000914843</v>
      </c>
      <c r="R172" s="62" t="n">
        <v>-0.190697454820834</v>
      </c>
      <c r="S172" s="62" t="n">
        <v>0.5300951028298547</v>
      </c>
      <c r="T172" s="62" t="n">
        <v>1.478707413135596</v>
      </c>
      <c r="U172" s="30" t="n">
        <v>8</v>
      </c>
      <c r="V172" s="62" t="n">
        <v>0.07689493263818263</v>
      </c>
      <c r="W172" s="62" t="n">
        <v>-0.1347020459561052</v>
      </c>
    </row>
    <row r="173">
      <c r="A173" s="30" t="inlineStr">
        <is>
          <t>ENELAM</t>
        </is>
      </c>
      <c r="B173" s="30" t="inlineStr">
        <is>
          <t>Servicios básicos e infraestructura</t>
        </is>
      </c>
      <c r="C173" s="30" t="n">
        <v>2017</v>
      </c>
      <c r="D173" s="62" t="n">
        <v>0.9211818976251314</v>
      </c>
      <c r="E173" s="62" t="n">
        <v>-0.01928281885791907</v>
      </c>
      <c r="F173" s="62" t="n">
        <v>0.2650555901794723</v>
      </c>
      <c r="G173" s="62" t="n">
        <v>0.0558537608549679</v>
      </c>
      <c r="H173" s="62" t="n">
        <v>0.5895428283943406</v>
      </c>
      <c r="I173" s="62" t="n">
        <v>2.892560966493586</v>
      </c>
      <c r="J173" s="62" t="n">
        <v>0.4704878890570183</v>
      </c>
      <c r="K173" s="62" t="n">
        <v>0.2930066227045693</v>
      </c>
      <c r="L173" s="30" t="n">
        <v>2515183</v>
      </c>
      <c r="M173" s="62" t="n">
        <v>-0.6098915057219528</v>
      </c>
      <c r="N173" s="62" t="n">
        <v>-0.7860501519598611</v>
      </c>
      <c r="O173" s="62" t="n">
        <v>0.385075252423675</v>
      </c>
      <c r="P173" s="62" t="n">
        <v>0.5449514695683305</v>
      </c>
      <c r="Q173" s="62" t="n">
        <v>-0.1732789819918981</v>
      </c>
      <c r="R173" s="62" t="n">
        <v>-0.3682279412754729</v>
      </c>
      <c r="S173" s="62" t="n">
        <v>1.315202494685275</v>
      </c>
      <c r="T173" s="62" t="n">
        <v>0.7971104009267415</v>
      </c>
      <c r="U173" s="30" t="n">
        <v>8</v>
      </c>
      <c r="V173" s="62" t="n">
        <v>0.1381113795818546</v>
      </c>
      <c r="W173" s="62" t="n">
        <v>-0.05393767456369387</v>
      </c>
    </row>
    <row r="174">
      <c r="A174" s="30" t="inlineStr">
        <is>
          <t>ENELAM</t>
        </is>
      </c>
      <c r="B174" s="30" t="inlineStr">
        <is>
          <t>Servicios básicos e infraestructura</t>
        </is>
      </c>
      <c r="C174" s="30" t="n">
        <v>2018</v>
      </c>
      <c r="D174" s="62" t="n">
        <v>0.6615011300669087</v>
      </c>
      <c r="E174" s="62" t="n">
        <v>-0.1192410406697883</v>
      </c>
      <c r="F174" s="62" t="n">
        <v>0.2621267328177079</v>
      </c>
      <c r="G174" s="62" t="n">
        <v>0.06084962540273604</v>
      </c>
      <c r="H174" s="62" t="n">
        <v>0.6776250096910699</v>
      </c>
      <c r="I174" s="62" t="n">
        <v>2.964051619813783</v>
      </c>
      <c r="J174" s="62" t="n">
        <v>0.4423629916329018</v>
      </c>
      <c r="K174" s="62" t="n">
        <v>-0.1059210486107705</v>
      </c>
      <c r="L174" s="30" t="n">
        <v>3176749</v>
      </c>
      <c r="M174" s="62" t="n">
        <v>-0.9069924889932642</v>
      </c>
      <c r="N174" s="62" t="n">
        <v>-2.129635216618839</v>
      </c>
      <c r="O174" s="62" t="n">
        <v>0.363276386519341</v>
      </c>
      <c r="P174" s="62" t="n">
        <v>0.6870065521053653</v>
      </c>
      <c r="Q174" s="62" t="n">
        <v>-1.089362263729461</v>
      </c>
      <c r="R174" s="62" t="n">
        <v>-0.3472078721978967</v>
      </c>
      <c r="S174" s="62" t="n">
        <v>1.010679612427223</v>
      </c>
      <c r="T174" s="62" t="n">
        <v>-0.6178351884048464</v>
      </c>
      <c r="U174" s="30" t="n">
        <v>8</v>
      </c>
      <c r="V174" s="62" t="n">
        <v>-0.3787588098615473</v>
      </c>
      <c r="W174" s="62" t="n">
        <v>-0.462363554505165</v>
      </c>
    </row>
    <row r="175">
      <c r="A175" s="30" t="inlineStr">
        <is>
          <t>ENELAM</t>
        </is>
      </c>
      <c r="B175" s="30" t="inlineStr">
        <is>
          <t>Servicios básicos e infraestructura</t>
        </is>
      </c>
      <c r="C175" s="30" t="n">
        <v>2019</v>
      </c>
      <c r="D175" s="62" t="n">
        <v>0.9770368822013049</v>
      </c>
      <c r="E175" s="62" t="n">
        <v>-0.005194653588561996</v>
      </c>
      <c r="F175" s="62" t="n">
        <v>0.2677269083492271</v>
      </c>
      <c r="G175" s="62" t="n">
        <v>0.07286858605799817</v>
      </c>
      <c r="H175" s="62" t="n">
        <v>0.5887282351006757</v>
      </c>
      <c r="I175" s="62" t="n">
        <v>3.210215398973573</v>
      </c>
      <c r="J175" s="62" t="n">
        <v>0.4383801605997558</v>
      </c>
      <c r="K175" s="62" t="n">
        <v>0.3850431593509478</v>
      </c>
      <c r="L175" s="30" t="n">
        <v>3494740</v>
      </c>
      <c r="M175" s="62" t="n">
        <v>-0.5459877711703964</v>
      </c>
      <c r="N175" s="62" t="n">
        <v>-0.5632685587051437</v>
      </c>
      <c r="O175" s="62" t="n">
        <v>0.4049573085901851</v>
      </c>
      <c r="P175" s="62" t="n">
        <v>1.02876010278067</v>
      </c>
      <c r="Q175" s="62" t="n">
        <v>-0.1648069472766361</v>
      </c>
      <c r="R175" s="62" t="n">
        <v>-0.2748294646435463</v>
      </c>
      <c r="S175" s="62" t="n">
        <v>0.9675554307645933</v>
      </c>
      <c r="T175" s="62" t="n">
        <v>1.123552262319224</v>
      </c>
      <c r="U175" s="30" t="n">
        <v>8</v>
      </c>
      <c r="V175" s="62" t="n">
        <v>0.2469915453323688</v>
      </c>
      <c r="W175" s="62" t="n">
        <v>0.08335515595145222</v>
      </c>
    </row>
    <row r="176">
      <c r="A176" s="30" t="inlineStr">
        <is>
          <t>ENELAM</t>
        </is>
      </c>
      <c r="B176" s="30" t="inlineStr">
        <is>
          <t>Servicios básicos e infraestructura</t>
        </is>
      </c>
      <c r="C176" s="30" t="n">
        <v>2020</v>
      </c>
      <c r="D176" s="62" t="n">
        <v>0.8491229208068684</v>
      </c>
      <c r="E176" s="62" t="n">
        <v>-0.04076572430571557</v>
      </c>
      <c r="F176" s="62" t="n">
        <v>0.2238873897408447</v>
      </c>
      <c r="G176" s="62" t="n">
        <v>0.04385800049143154</v>
      </c>
      <c r="H176" s="62" t="n">
        <v>0.6163275940000204</v>
      </c>
      <c r="I176" s="62" t="n">
        <v>3.274455301755605</v>
      </c>
      <c r="J176" s="62" t="n">
        <v>0.4172852320514059</v>
      </c>
      <c r="K176" s="62" t="n">
        <v>-0.3052744894747285</v>
      </c>
      <c r="L176" s="30" t="n">
        <v>2516265</v>
      </c>
      <c r="M176" s="62" t="n">
        <v>-0.6923342413451465</v>
      </c>
      <c r="N176" s="62" t="n">
        <v>-1.125767624880944</v>
      </c>
      <c r="O176" s="62" t="n">
        <v>0.07866904343582046</v>
      </c>
      <c r="P176" s="62" t="n">
        <v>0.2038576083871017</v>
      </c>
      <c r="Q176" s="62" t="n">
        <v>-0.4518492400780663</v>
      </c>
      <c r="R176" s="62" t="n">
        <v>-0.2559413005087586</v>
      </c>
      <c r="S176" s="62" t="n">
        <v>0.7391496753337188</v>
      </c>
      <c r="T176" s="62" t="n">
        <v>-1.324916426812002</v>
      </c>
      <c r="U176" s="30" t="n">
        <v>8</v>
      </c>
      <c r="V176" s="62" t="n">
        <v>-0.3536415633085345</v>
      </c>
      <c r="W176" s="62" t="n">
        <v>-0.3325968024465282</v>
      </c>
    </row>
    <row r="177">
      <c r="A177" s="30" t="inlineStr">
        <is>
          <t>ENELAM</t>
        </is>
      </c>
      <c r="B177" s="30" t="inlineStr">
        <is>
          <t>Servicios básicos e infraestructura</t>
        </is>
      </c>
      <c r="C177" s="30" t="n">
        <v>2021</v>
      </c>
      <c r="D177" s="62" t="n">
        <v>0.9059647485342248</v>
      </c>
      <c r="E177" s="62" t="n">
        <v>-0.02096902943676378</v>
      </c>
      <c r="F177" s="62" t="n">
        <v>0.2059073311471656</v>
      </c>
      <c r="G177" s="62" t="n">
        <v>0.03245267347652266</v>
      </c>
      <c r="H177" s="62" t="n">
        <v>0.5700643709485683</v>
      </c>
      <c r="I177" s="62" t="n">
        <v>2.844755789803862</v>
      </c>
      <c r="J177" s="62" t="n">
        <v>0.4157741862753382</v>
      </c>
      <c r="K177" s="62" t="n">
        <v>-0.1983138460445537</v>
      </c>
      <c r="L177" s="30" t="n">
        <v>2992868</v>
      </c>
      <c r="M177" s="62" t="n">
        <v>-0.6273014587192646</v>
      </c>
      <c r="N177" s="62" t="n">
        <v>-0.8127148504593221</v>
      </c>
      <c r="O177" s="62" t="n">
        <v>-0.05515272998081616</v>
      </c>
      <c r="P177" s="62" t="n">
        <v>-0.1204475554085337</v>
      </c>
      <c r="Q177" s="62" t="n">
        <v>0.02930329920747882</v>
      </c>
      <c r="R177" s="62" t="n">
        <v>-0.3822838782352745</v>
      </c>
      <c r="S177" s="62" t="n">
        <v>0.7227887973538615</v>
      </c>
      <c r="T177" s="62" t="n">
        <v>-0.9455406613891959</v>
      </c>
      <c r="U177" s="30" t="n">
        <v>8</v>
      </c>
      <c r="V177" s="62" t="n">
        <v>-0.2739186297038834</v>
      </c>
      <c r="W177" s="62" t="n">
        <v>-0.2912839841111002</v>
      </c>
    </row>
    <row r="178">
      <c r="A178" s="30" t="inlineStr">
        <is>
          <t>ENELAM</t>
        </is>
      </c>
      <c r="B178" s="30" t="inlineStr">
        <is>
          <t>Servicios básicos e infraestructura</t>
        </is>
      </c>
      <c r="C178" s="30" t="n">
        <v>2022</v>
      </c>
      <c r="D178" s="62" t="n">
        <v>0.9794193798085826</v>
      </c>
      <c r="E178" s="62" t="n">
        <v>-0.004691541269743723</v>
      </c>
      <c r="F178" s="62" t="n">
        <v>0.1987701779315467</v>
      </c>
      <c r="G178" s="62" t="n">
        <v>0.008716342004622063</v>
      </c>
      <c r="H178" s="62" t="n">
        <v>0.5557809050054485</v>
      </c>
      <c r="I178" s="62" t="n">
        <v>1.735803767638679</v>
      </c>
      <c r="J178" s="62" t="n">
        <v>0.3901425122305981</v>
      </c>
      <c r="K178" s="62" t="n">
        <v>0.220456195770343</v>
      </c>
      <c r="L178" s="30" t="n">
        <v>2696651</v>
      </c>
      <c r="M178" s="62" t="n">
        <v>-0.5432619536660059</v>
      </c>
      <c r="N178" s="62" t="n">
        <v>-0.5553126494842175</v>
      </c>
      <c r="O178" s="62" t="n">
        <v>-0.1082730518910099</v>
      </c>
      <c r="P178" s="62" t="n">
        <v>-0.7953790901062887</v>
      </c>
      <c r="Q178" s="62" t="n">
        <v>0.1778559822033729</v>
      </c>
      <c r="R178" s="62" t="n">
        <v>-0.7083439577987727</v>
      </c>
      <c r="S178" s="62" t="n">
        <v>0.4452613404711145</v>
      </c>
      <c r="T178" s="62" t="n">
        <v>0.5397832863241505</v>
      </c>
      <c r="U178" s="30" t="n">
        <v>8</v>
      </c>
      <c r="V178" s="62" t="n">
        <v>-0.1934587617434571</v>
      </c>
      <c r="W178" s="62" t="n">
        <v>-0.3624137800752321</v>
      </c>
    </row>
    <row r="179">
      <c r="A179" s="30" t="inlineStr">
        <is>
          <t>ENELAM</t>
        </is>
      </c>
      <c r="B179" s="30" t="inlineStr">
        <is>
          <t>Servicios básicos e infraestructura</t>
        </is>
      </c>
      <c r="C179" s="30" t="n">
        <v>2023</v>
      </c>
      <c r="D179" s="62" t="n">
        <v>1.06086290095421</v>
      </c>
      <c r="E179" s="62" t="n">
        <v>0.01606414707711477</v>
      </c>
      <c r="F179" s="62" t="n">
        <v>0.2622032845502756</v>
      </c>
      <c r="G179" s="62" t="n">
        <v>0.03181462978378866</v>
      </c>
      <c r="H179" s="62" t="n">
        <v>0.5381646238686647</v>
      </c>
      <c r="I179" s="62" t="n">
        <v>1.886992213465879</v>
      </c>
      <c r="J179" s="62" t="n">
        <v>0.319319825867434</v>
      </c>
      <c r="K179" s="62" t="n">
        <v>-0.1409692284472572</v>
      </c>
      <c r="L179" s="30" t="n">
        <v>3085721</v>
      </c>
      <c r="M179" s="62" t="n">
        <v>-0.4500823530318599</v>
      </c>
      <c r="N179" s="62" t="n">
        <v>-0.2270949411734654</v>
      </c>
      <c r="O179" s="62" t="n">
        <v>0.3638461448745179</v>
      </c>
      <c r="P179" s="62" t="n">
        <v>-0.1385900307632858</v>
      </c>
      <c r="Q179" s="62" t="n">
        <v>0.3610710252258791</v>
      </c>
      <c r="R179" s="62" t="n">
        <v>-0.6638907121306247</v>
      </c>
      <c r="S179" s="62" t="n">
        <v>-0.3215726947021273</v>
      </c>
      <c r="T179" s="62" t="n">
        <v>-0.7421466138575494</v>
      </c>
      <c r="U179" s="30" t="n">
        <v>8</v>
      </c>
      <c r="V179" s="62" t="n">
        <v>-0.2273075219448145</v>
      </c>
      <c r="W179" s="62" t="n">
        <v>-0.1518844643851734</v>
      </c>
    </row>
    <row r="180">
      <c r="A180" s="30" t="inlineStr">
        <is>
          <t>ENELAM</t>
        </is>
      </c>
      <c r="B180" s="30" t="inlineStr">
        <is>
          <t>Servicios básicos e infraestructura</t>
        </is>
      </c>
      <c r="C180" s="30" t="n">
        <v>2024</v>
      </c>
      <c r="D180" s="62" t="n">
        <v>1.042779483725595</v>
      </c>
      <c r="E180" s="62" t="n">
        <v>0.009667505464701385</v>
      </c>
      <c r="F180" s="62" t="n">
        <v>0.2298868286335542</v>
      </c>
      <c r="G180" s="62" t="n">
        <v>0.09088595386334482</v>
      </c>
      <c r="H180" s="62" t="n">
        <v>0.4788827219070867</v>
      </c>
      <c r="I180" s="62" t="n">
        <v>1.826523151218351</v>
      </c>
      <c r="J180" s="62" t="n">
        <v>0.4007043883439566</v>
      </c>
      <c r="K180" s="62" t="n">
        <v>-0.1051051859513317</v>
      </c>
      <c r="L180" s="30" t="n">
        <v>2900232</v>
      </c>
      <c r="M180" s="62" t="n">
        <v>-0.4707716058018875</v>
      </c>
      <c r="N180" s="62" t="n">
        <v>-0.3282475031037608</v>
      </c>
      <c r="O180" s="62" t="n">
        <v>0.1233215982617192</v>
      </c>
      <c r="P180" s="62" t="n">
        <v>1.541075568145328</v>
      </c>
      <c r="Q180" s="62" t="n">
        <v>0.977622051745739</v>
      </c>
      <c r="R180" s="62" t="n">
        <v>-0.6816701533088494</v>
      </c>
      <c r="S180" s="62" t="n">
        <v>0.5596202626599099</v>
      </c>
      <c r="T180" s="62" t="n">
        <v>-0.614941427569287</v>
      </c>
      <c r="U180" s="30" t="n">
        <v>8</v>
      </c>
      <c r="V180" s="62" t="n">
        <v>0.1382510988786139</v>
      </c>
      <c r="W180" s="62" t="n">
        <v>0.2034930263149579</v>
      </c>
    </row>
    <row r="181">
      <c r="A181" s="30" t="inlineStr">
        <is>
          <t>ENELAM</t>
        </is>
      </c>
      <c r="B181" s="30" t="inlineStr">
        <is>
          <t>Servicios básicos e infraestructura</t>
        </is>
      </c>
      <c r="C181" s="30" t="n">
        <v>2025</v>
      </c>
      <c r="D181" s="62" t="n">
        <v>0.8654251745565549</v>
      </c>
      <c r="E181" s="62" t="n">
        <v>-0.02985883919113377</v>
      </c>
      <c r="F181" s="62" t="n">
        <v>0.2503580459610957</v>
      </c>
      <c r="G181" s="62" t="n">
        <v>0.03859048705716923</v>
      </c>
      <c r="H181" s="62" t="n">
        <v>0.4672745017569143</v>
      </c>
      <c r="I181" s="62" t="n">
        <v>2.45509012727135</v>
      </c>
      <c r="J181" s="62" t="n">
        <v>0.3676079040968073</v>
      </c>
      <c r="K181" s="62" t="n">
        <v>-0.01814697381944008</v>
      </c>
      <c r="L181" s="30" t="n">
        <v>3209311</v>
      </c>
      <c r="M181" s="62" t="n">
        <v>-0.6736828192005153</v>
      </c>
      <c r="N181" s="62" t="n">
        <v>-0.9532928421952365</v>
      </c>
      <c r="O181" s="62" t="n">
        <v>0.2756845392663751</v>
      </c>
      <c r="P181" s="62" t="n">
        <v>0.0540783162316812</v>
      </c>
      <c r="Q181" s="62" t="n">
        <v>1.098351309965153</v>
      </c>
      <c r="R181" s="62" t="n">
        <v>-0.4968554867350233</v>
      </c>
      <c r="S181" s="62" t="n">
        <v>0.2012674258987035</v>
      </c>
      <c r="T181" s="62" t="n">
        <v>-0.3065117357745546</v>
      </c>
      <c r="U181" s="30" t="n">
        <v>8</v>
      </c>
      <c r="V181" s="62" t="n">
        <v>-0.1001201615679271</v>
      </c>
      <c r="W181" s="62" t="n">
        <v>-0.09919859999074737</v>
      </c>
    </row>
    <row r="182">
      <c r="A182" s="30" t="inlineStr">
        <is>
          <t>ENELCHILE</t>
        </is>
      </c>
      <c r="B182" s="30" t="inlineStr">
        <is>
          <t>Servicios básicos e infraestructura</t>
        </is>
      </c>
      <c r="C182" s="30" t="n">
        <v>2017</v>
      </c>
      <c r="D182" s="62" t="n">
        <v>1.291766710640713</v>
      </c>
      <c r="E182" s="62" t="n">
        <v>0.04184888592841346</v>
      </c>
      <c r="F182" s="62" t="n">
        <v>0.2899523510709636</v>
      </c>
      <c r="G182" s="62" t="n">
        <v>0.09191198846112111</v>
      </c>
      <c r="H182" s="62" t="n">
        <v>0.3350109562435434</v>
      </c>
      <c r="I182" s="62" t="n">
        <v>13.46027325806366</v>
      </c>
      <c r="J182" s="62" t="n">
        <v>0.4362073042262337</v>
      </c>
      <c r="K182" s="62" t="n">
        <v>0.2279225946058325</v>
      </c>
      <c r="L182" s="30" t="n">
        <v>720271094</v>
      </c>
      <c r="M182" s="62" t="n">
        <v>-0.1859051113207625</v>
      </c>
      <c r="N182" s="62" t="n">
        <v>0.1806490831987931</v>
      </c>
      <c r="O182" s="62" t="n">
        <v>0.5703765781935811</v>
      </c>
      <c r="P182" s="62" t="n">
        <v>1.570250384251597</v>
      </c>
      <c r="Q182" s="62" t="n">
        <v>2.211824329932656</v>
      </c>
      <c r="R182" s="62" t="n">
        <v>2.725904928856381</v>
      </c>
      <c r="S182" s="62" t="n">
        <v>0.9440287854716455</v>
      </c>
      <c r="T182" s="62" t="n">
        <v>0.566265651073713</v>
      </c>
      <c r="U182" s="30" t="n">
        <v>8</v>
      </c>
      <c r="V182" s="62" t="n">
        <v>1.072924328707201</v>
      </c>
      <c r="W182" s="62" t="n">
        <v>1.192607225507045</v>
      </c>
    </row>
    <row r="183">
      <c r="A183" s="30" t="inlineStr">
        <is>
          <t>ENELCHILE</t>
        </is>
      </c>
      <c r="B183" s="30" t="inlineStr">
        <is>
          <t>Servicios básicos e infraestructura</t>
        </is>
      </c>
      <c r="C183" s="30" t="n">
        <v>2018</v>
      </c>
      <c r="D183" s="62" t="n">
        <v>0.8188723835213179</v>
      </c>
      <c r="E183" s="62" t="n">
        <v>-0.02944922358251278</v>
      </c>
      <c r="F183" s="62" t="n">
        <v>0.2856479255744379</v>
      </c>
      <c r="G183" s="62" t="n">
        <v>0.05513443446437814</v>
      </c>
      <c r="H183" s="62" t="n">
        <v>0.5093277394384965</v>
      </c>
      <c r="I183" s="62" t="n">
        <v>5.635053689311635</v>
      </c>
      <c r="J183" s="62" t="n">
        <v>0.321895562005594</v>
      </c>
      <c r="K183" s="62" t="n">
        <v>-0.04225768061324542</v>
      </c>
      <c r="L183" s="30" t="n">
        <v>688514465</v>
      </c>
      <c r="M183" s="62" t="n">
        <v>-0.7269439063447213</v>
      </c>
      <c r="N183" s="62" t="n">
        <v>-0.9468154325279129</v>
      </c>
      <c r="O183" s="62" t="n">
        <v>0.5383396495882787</v>
      </c>
      <c r="P183" s="62" t="n">
        <v>0.5244977585420886</v>
      </c>
      <c r="Q183" s="62" t="n">
        <v>0.6609839853157563</v>
      </c>
      <c r="R183" s="62" t="n">
        <v>0.4381346222360174</v>
      </c>
      <c r="S183" s="62" t="n">
        <v>-0.2936838608016653</v>
      </c>
      <c r="T183" s="62" t="n">
        <v>-0.392029338805393</v>
      </c>
      <c r="U183" s="30" t="n">
        <v>8</v>
      </c>
      <c r="V183" s="62" t="n">
        <v>-0.02468956534969394</v>
      </c>
      <c r="W183" s="62" t="n">
        <v>0.08021677401957615</v>
      </c>
    </row>
    <row r="184">
      <c r="A184" s="30" t="inlineStr">
        <is>
          <t>ENELCHILE</t>
        </is>
      </c>
      <c r="B184" s="30" t="inlineStr">
        <is>
          <t>Servicios básicos e infraestructura</t>
        </is>
      </c>
      <c r="C184" s="30" t="n">
        <v>2019</v>
      </c>
      <c r="D184" s="62" t="n">
        <v>0.9778284881577031</v>
      </c>
      <c r="E184" s="62" t="n">
        <v>-0.002938053801833138</v>
      </c>
      <c r="F184" s="62" t="n">
        <v>0.2065929716916066</v>
      </c>
      <c r="G184" s="62" t="n">
        <v>0.04022571826312056</v>
      </c>
      <c r="H184" s="62" t="n">
        <v>0.5231242941841622</v>
      </c>
      <c r="I184" s="62" t="n">
        <v>3.288210595768654</v>
      </c>
      <c r="J184" s="62" t="n">
        <v>0.3340010532242894</v>
      </c>
      <c r="K184" s="62" t="n">
        <v>0.1050041884170281</v>
      </c>
      <c r="L184" s="30" t="n">
        <v>542219022</v>
      </c>
      <c r="M184" s="62" t="n">
        <v>-0.5450820941338536</v>
      </c>
      <c r="N184" s="62" t="n">
        <v>-0.5275840755794958</v>
      </c>
      <c r="O184" s="62" t="n">
        <v>-0.0500496524182271</v>
      </c>
      <c r="P184" s="62" t="n">
        <v>0.1005753542733402</v>
      </c>
      <c r="Q184" s="62" t="n">
        <v>0.5174953368511588</v>
      </c>
      <c r="R184" s="62" t="n">
        <v>-0.2518968944653328</v>
      </c>
      <c r="S184" s="62" t="n">
        <v>-0.1626114155771845</v>
      </c>
      <c r="T184" s="62" t="n">
        <v>0.1302897356626287</v>
      </c>
      <c r="U184" s="30" t="n">
        <v>8</v>
      </c>
      <c r="V184" s="62" t="n">
        <v>-0.09860796317337077</v>
      </c>
      <c r="W184" s="62" t="n">
        <v>-0.1117535963283831</v>
      </c>
    </row>
    <row r="185">
      <c r="A185" s="30" t="inlineStr">
        <is>
          <t>ENELCHILE</t>
        </is>
      </c>
      <c r="B185" s="30" t="inlineStr">
        <is>
          <t>Servicios básicos e infraestructura</t>
        </is>
      </c>
      <c r="C185" s="30" t="n">
        <v>2020</v>
      </c>
      <c r="D185" s="62" t="n">
        <v>0.9817509985949853</v>
      </c>
      <c r="E185" s="62" t="n">
        <v>-0.002413693160542077</v>
      </c>
      <c r="F185" s="62" t="n">
        <v>-0.002465550803340625</v>
      </c>
      <c r="G185" s="62" t="n">
        <v>-0.006627493620957522</v>
      </c>
      <c r="H185" s="62" t="n">
        <v>0.5452859231886639</v>
      </c>
      <c r="I185" s="62" t="n">
        <v>-0.049315058537061</v>
      </c>
      <c r="J185" s="62" t="n">
        <v>0.3223978086224467</v>
      </c>
      <c r="K185" s="62" t="n">
        <v>-0.1619679775378238</v>
      </c>
      <c r="L185" s="30" t="n">
        <v>-6283171</v>
      </c>
      <c r="M185" s="62" t="n">
        <v>-0.5405943466631162</v>
      </c>
      <c r="N185" s="62" t="n">
        <v>-0.519292158436745</v>
      </c>
      <c r="O185" s="62" t="n">
        <v>-1.606028020473762</v>
      </c>
      <c r="P185" s="62" t="n">
        <v>-1.231673912631081</v>
      </c>
      <c r="Q185" s="62" t="n">
        <v>0.2870072003380348</v>
      </c>
      <c r="R185" s="62" t="n">
        <v>-1.233214263149513</v>
      </c>
      <c r="S185" s="62" t="n">
        <v>-0.288245775639542</v>
      </c>
      <c r="T185" s="62" t="n">
        <v>-0.8166264996704625</v>
      </c>
      <c r="U185" s="30" t="n">
        <v>8</v>
      </c>
      <c r="V185" s="62" t="n">
        <v>-0.7435834720407734</v>
      </c>
      <c r="W185" s="62" t="n">
        <v>-0.8115018839718143</v>
      </c>
    </row>
    <row r="186">
      <c r="A186" s="30" t="inlineStr">
        <is>
          <t>ENELCHILE</t>
        </is>
      </c>
      <c r="B186" s="30" t="inlineStr">
        <is>
          <t>Servicios básicos e infraestructura</t>
        </is>
      </c>
      <c r="C186" s="30" t="n">
        <v>2021</v>
      </c>
      <c r="D186" s="62" t="n">
        <v>0.5947741405085393</v>
      </c>
      <c r="E186" s="62" t="n">
        <v>-0.090952030767016</v>
      </c>
      <c r="F186" s="62" t="n">
        <v>0.1024468002452193</v>
      </c>
      <c r="G186" s="62" t="n">
        <v>0.01060070564779528</v>
      </c>
      <c r="H186" s="62" t="n">
        <v>0.6477495882972869</v>
      </c>
      <c r="I186" s="62" t="n">
        <v>1.665632715975965</v>
      </c>
      <c r="J186" s="62" t="n">
        <v>0.2978511600585274</v>
      </c>
      <c r="K186" s="62" t="n">
        <v>-0.4204969748537021</v>
      </c>
      <c r="L186" s="30" t="n">
        <v>289891908</v>
      </c>
      <c r="M186" s="62" t="n">
        <v>-0.9588082226720067</v>
      </c>
      <c r="N186" s="62" t="n">
        <v>-1.919383053096904</v>
      </c>
      <c r="O186" s="62" t="n">
        <v>-0.8251875800781638</v>
      </c>
      <c r="P186" s="62" t="n">
        <v>-0.7417980871985247</v>
      </c>
      <c r="Q186" s="62" t="n">
        <v>-0.7786481820525857</v>
      </c>
      <c r="R186" s="62" t="n">
        <v>-0.7289760304501456</v>
      </c>
      <c r="S186" s="62" t="n">
        <v>-0.5540250977020825</v>
      </c>
      <c r="T186" s="62" t="n">
        <v>-1.733595892293174</v>
      </c>
      <c r="U186" s="30" t="n">
        <v>8</v>
      </c>
      <c r="V186" s="62" t="n">
        <v>-1.030052768192948</v>
      </c>
      <c r="W186" s="62" t="n">
        <v>-0.9844928938621156</v>
      </c>
    </row>
    <row r="187">
      <c r="A187" s="30" t="inlineStr">
        <is>
          <t>ENELCHILE</t>
        </is>
      </c>
      <c r="B187" s="30" t="inlineStr">
        <is>
          <t>Servicios básicos e infraestructura</t>
        </is>
      </c>
      <c r="C187" s="30" t="n">
        <v>2022</v>
      </c>
      <c r="D187" s="62" t="n">
        <v>0.9670980501297671</v>
      </c>
      <c r="E187" s="62" t="n">
        <v>-0.008785880113286992</v>
      </c>
      <c r="F187" s="62" t="n">
        <v>0.4503993289481755</v>
      </c>
      <c r="G187" s="62" t="n">
        <v>0.1103177272889442</v>
      </c>
      <c r="H187" s="62" t="n">
        <v>0.6301116842050647</v>
      </c>
      <c r="I187" s="62" t="n">
        <v>10.18654446303563</v>
      </c>
      <c r="J187" s="62" t="n">
        <v>0.3690506649405742</v>
      </c>
      <c r="K187" s="62" t="n">
        <v>0.3285601540430854</v>
      </c>
      <c r="L187" s="30" t="n">
        <v>1972298702</v>
      </c>
      <c r="M187" s="62" t="n">
        <v>-0.557358797252874</v>
      </c>
      <c r="N187" s="62" t="n">
        <v>-0.6200580093979909</v>
      </c>
      <c r="O187" s="62" t="n">
        <v>1.76454950076774</v>
      </c>
      <c r="P187" s="62" t="n">
        <v>1.816228933103467</v>
      </c>
      <c r="Q187" s="62" t="n">
        <v>-0.5952082532735365</v>
      </c>
      <c r="R187" s="62" t="n">
        <v>1.776388590081632</v>
      </c>
      <c r="S187" s="62" t="n">
        <v>0.2168889474256127</v>
      </c>
      <c r="T187" s="62" t="n">
        <v>0.9232142437279344</v>
      </c>
      <c r="U187" s="30" t="n">
        <v>8</v>
      </c>
      <c r="V187" s="62" t="n">
        <v>0.5905806443977482</v>
      </c>
      <c r="W187" s="62" t="n">
        <v>0.6584592835931048</v>
      </c>
    </row>
    <row r="188">
      <c r="A188" s="30" t="inlineStr">
        <is>
          <t>ENELCHILE</t>
        </is>
      </c>
      <c r="B188" s="30" t="inlineStr">
        <is>
          <t>Servicios básicos e infraestructura</t>
        </is>
      </c>
      <c r="C188" s="30" t="n">
        <v>2023</v>
      </c>
      <c r="D188" s="62" t="n">
        <v>0.8486186663585613</v>
      </c>
      <c r="E188" s="62" t="n">
        <v>-0.03574083618443682</v>
      </c>
      <c r="F188" s="62" t="n">
        <v>0.2707258110711528</v>
      </c>
      <c r="G188" s="62" t="n">
        <v>0.05746403763712991</v>
      </c>
      <c r="H188" s="62" t="n">
        <v>0.5976847639456219</v>
      </c>
      <c r="I188" s="62" t="n">
        <v>4.670760704817106</v>
      </c>
      <c r="J188" s="62" t="n">
        <v>0.3602071642581857</v>
      </c>
      <c r="K188" s="62" t="n">
        <v>0.4745627189126316</v>
      </c>
      <c r="L188" s="30" t="n">
        <v>1153993432</v>
      </c>
      <c r="M188" s="62" t="n">
        <v>-0.6929111592810402</v>
      </c>
      <c r="N188" s="62" t="n">
        <v>-1.046307130190405</v>
      </c>
      <c r="O188" s="62" t="n">
        <v>0.4272775072959425</v>
      </c>
      <c r="P188" s="62" t="n">
        <v>0.5907389401873421</v>
      </c>
      <c r="Q188" s="62" t="n">
        <v>-0.2579577550389328</v>
      </c>
      <c r="R188" s="62" t="n">
        <v>0.1546079763916626</v>
      </c>
      <c r="S188" s="62" t="n">
        <v>0.1211357691493869</v>
      </c>
      <c r="T188" s="62" t="n">
        <v>1.44106672689139</v>
      </c>
      <c r="U188" s="30" t="n">
        <v>8</v>
      </c>
      <c r="V188" s="62" t="n">
        <v>0.0922063594256682</v>
      </c>
      <c r="W188" s="62" t="n">
        <v>-0.04834030289237339</v>
      </c>
    </row>
    <row r="189">
      <c r="A189" s="30" t="inlineStr">
        <is>
          <t>ENELCHILE</t>
        </is>
      </c>
      <c r="B189" s="30" t="inlineStr">
        <is>
          <t>Servicios básicos e infraestructura</t>
        </is>
      </c>
      <c r="C189" s="30" t="n">
        <v>2024</v>
      </c>
      <c r="D189" s="62" t="n">
        <v>0.9958684550189255</v>
      </c>
      <c r="E189" s="62" t="n">
        <v>-0.0007287064105952753</v>
      </c>
      <c r="F189" s="62" t="n">
        <v>0.1174360624056347</v>
      </c>
      <c r="G189" s="62" t="n">
        <v>0.01585825587073992</v>
      </c>
      <c r="H189" s="62" t="n">
        <v>0.5812560918116807</v>
      </c>
      <c r="I189" s="62" t="n">
        <v>1.971568269425847</v>
      </c>
      <c r="J189" s="62" t="n">
        <v>0.324127154333312</v>
      </c>
      <c r="K189" s="62" t="n">
        <v>0.09540645652587765</v>
      </c>
      <c r="L189" s="30" t="n">
        <v>485893</v>
      </c>
      <c r="M189" s="62" t="n">
        <v>-0.5244425529654866</v>
      </c>
      <c r="N189" s="62" t="n">
        <v>-0.4926468128158552</v>
      </c>
      <c r="O189" s="62" t="n">
        <v>-0.7136256719752144</v>
      </c>
      <c r="P189" s="62" t="n">
        <v>-0.5923020943184414</v>
      </c>
      <c r="Q189" s="62" t="n">
        <v>-0.08709423120826075</v>
      </c>
      <c r="R189" s="62" t="n">
        <v>-0.6390232020992788</v>
      </c>
      <c r="S189" s="62" t="n">
        <v>-0.2695212508047694</v>
      </c>
      <c r="T189" s="62" t="n">
        <v>0.09624780429648974</v>
      </c>
      <c r="U189" s="30" t="n">
        <v>8</v>
      </c>
      <c r="V189" s="62" t="n">
        <v>-0.4028010014863521</v>
      </c>
      <c r="W189" s="62" t="n">
        <v>-0.4855518056621407</v>
      </c>
    </row>
    <row r="190">
      <c r="A190" s="30" t="inlineStr">
        <is>
          <t>ENELCHILE</t>
        </is>
      </c>
      <c r="B190" s="30" t="inlineStr">
        <is>
          <t>Servicios básicos e infraestructura</t>
        </is>
      </c>
      <c r="C190" s="30" t="n">
        <v>2025</v>
      </c>
      <c r="D190" s="62" t="n">
        <v>0.9052902638379905</v>
      </c>
      <c r="E190" s="62" t="n">
        <v>-0.01815368803530843</v>
      </c>
      <c r="F190" s="62" t="n">
        <v>0.249521736883993</v>
      </c>
      <c r="G190" s="62" t="n">
        <v>0.04532815072065993</v>
      </c>
      <c r="H190" s="62" t="n">
        <v>0.5699276461041012</v>
      </c>
      <c r="I190" s="62" t="n">
        <v>3.406979701579304</v>
      </c>
      <c r="J190" s="62" t="n">
        <v>0.3494781596444853</v>
      </c>
      <c r="K190" s="62" t="n">
        <v>0.3706227442805183</v>
      </c>
      <c r="L190" s="30" t="n">
        <v>1125230</v>
      </c>
      <c r="M190" s="62" t="n">
        <v>-0.6280731372241339</v>
      </c>
      <c r="N190" s="62" t="n">
        <v>-0.7681947705922569</v>
      </c>
      <c r="O190" s="62" t="n">
        <v>0.2694600676808568</v>
      </c>
      <c r="P190" s="62" t="n">
        <v>0.2456606457108774</v>
      </c>
      <c r="Q190" s="62" t="n">
        <v>0.03072528197823436</v>
      </c>
      <c r="R190" s="62" t="n">
        <v>-0.2169757587297259</v>
      </c>
      <c r="S190" s="62" t="n">
        <v>0.004967259822757023</v>
      </c>
      <c r="T190" s="62" t="n">
        <v>1.072404888578619</v>
      </c>
      <c r="U190" s="30" t="n">
        <v>8</v>
      </c>
      <c r="V190" s="62" t="n">
        <v>0.001246809653153544</v>
      </c>
      <c r="W190" s="62" t="n">
        <v>-0.1152360004651894</v>
      </c>
    </row>
    <row r="191">
      <c r="A191" s="30" t="inlineStr">
        <is>
          <t>ENTEL</t>
        </is>
      </c>
      <c r="B191" s="30" t="inlineStr">
        <is>
          <t>Servicios básicos e infraestructura</t>
        </is>
      </c>
      <c r="C191" s="30" t="n">
        <v>2017</v>
      </c>
      <c r="D191" s="62" t="n">
        <v>1.194963477075882</v>
      </c>
      <c r="E191" s="62" t="n">
        <v>0.03444028830555339</v>
      </c>
      <c r="F191" s="62" t="n">
        <v>0.05457179958672827</v>
      </c>
      <c r="G191" s="62" t="n">
        <v>0.01230066501711087</v>
      </c>
      <c r="H191" s="62" t="n">
        <v>0.6490968905725744</v>
      </c>
      <c r="I191" s="62" t="n">
        <v>1.324865490475482</v>
      </c>
      <c r="J191" s="62" t="n">
        <v>0.5505948084314992</v>
      </c>
      <c r="K191" s="62" t="n">
        <v>-0.02290041577594948</v>
      </c>
      <c r="L191" s="30" t="n">
        <v>106036892</v>
      </c>
      <c r="M191" s="62" t="n">
        <v>-0.2966577717753165</v>
      </c>
      <c r="N191" s="62" t="n">
        <v>0.063494070416976</v>
      </c>
      <c r="O191" s="62" t="n">
        <v>-1.181511084646398</v>
      </c>
      <c r="P191" s="62" t="n">
        <v>-0.6934605339664992</v>
      </c>
      <c r="Q191" s="62" t="n">
        <v>-0.7926605631229401</v>
      </c>
      <c r="R191" s="62" t="n">
        <v>-0.8291702556632266</v>
      </c>
      <c r="S191" s="62" t="n">
        <v>1.989075888516199</v>
      </c>
      <c r="T191" s="62" t="n">
        <v>-0.3233715883596868</v>
      </c>
      <c r="U191" s="30" t="n">
        <v>8</v>
      </c>
      <c r="V191" s="62" t="n">
        <v>-0.2580327298251114</v>
      </c>
      <c r="W191" s="62" t="n">
        <v>-0.5153096846994493</v>
      </c>
    </row>
    <row r="192">
      <c r="A192" s="30" t="inlineStr">
        <is>
          <t>ENTEL</t>
        </is>
      </c>
      <c r="B192" s="30" t="inlineStr">
        <is>
          <t>Servicios básicos e infraestructura</t>
        </is>
      </c>
      <c r="C192" s="30" t="n">
        <v>2018</v>
      </c>
      <c r="D192" s="62" t="n">
        <v>1.230519634630402</v>
      </c>
      <c r="E192" s="62" t="n">
        <v>0.03830598734404603</v>
      </c>
      <c r="F192" s="62" t="n">
        <v>0.03943195855692565</v>
      </c>
      <c r="G192" s="62" t="n">
        <v>-0.005956813741359507</v>
      </c>
      <c r="H192" s="62" t="n">
        <v>0.6553108576126062</v>
      </c>
      <c r="I192" s="62" t="n">
        <v>0.9707767163761561</v>
      </c>
      <c r="J192" s="62" t="n">
        <v>0.48261109733261</v>
      </c>
      <c r="K192" s="62" t="n">
        <v>-0.2164664032373931</v>
      </c>
      <c r="L192" s="30" t="n">
        <v>75440209</v>
      </c>
      <c r="M192" s="62" t="n">
        <v>-0.2559779421902118</v>
      </c>
      <c r="N192" s="62" t="n">
        <v>0.1246238608739218</v>
      </c>
      <c r="O192" s="62" t="n">
        <v>-1.294193719427488</v>
      </c>
      <c r="P192" s="62" t="n">
        <v>-1.21260344249698</v>
      </c>
      <c r="Q192" s="62" t="n">
        <v>-0.8572878377298736</v>
      </c>
      <c r="R192" s="62" t="n">
        <v>-0.9332813547439139</v>
      </c>
      <c r="S192" s="62" t="n">
        <v>1.44646677169317</v>
      </c>
      <c r="T192" s="62" t="n">
        <v>-1.009925467412828</v>
      </c>
      <c r="U192" s="30" t="n">
        <v>8</v>
      </c>
      <c r="V192" s="62" t="n">
        <v>-0.4990223914292755</v>
      </c>
      <c r="W192" s="62" t="n">
        <v>-0.6760628034006344</v>
      </c>
    </row>
    <row r="193">
      <c r="A193" s="30" t="inlineStr">
        <is>
          <t>ENTEL</t>
        </is>
      </c>
      <c r="B193" s="30" t="inlineStr">
        <is>
          <t>Servicios básicos e infraestructura</t>
        </is>
      </c>
      <c r="C193" s="30" t="n">
        <v>2019</v>
      </c>
      <c r="D193" s="62" t="n">
        <v>1.515354593418451</v>
      </c>
      <c r="E193" s="62" t="n">
        <v>0.08882527484362288</v>
      </c>
      <c r="F193" s="62" t="n">
        <v>0.1706944621002781</v>
      </c>
      <c r="G193" s="62" t="n">
        <v>0.0298195757395581</v>
      </c>
      <c r="H193" s="62" t="n">
        <v>0.6888139299799834</v>
      </c>
      <c r="I193" s="62" t="n">
        <v>3.462200764528155</v>
      </c>
      <c r="J193" s="62" t="n">
        <v>0.3827825586696606</v>
      </c>
      <c r="K193" s="62" t="n">
        <v>-0.006243611364882051</v>
      </c>
      <c r="L193" s="30" t="n">
        <v>337768834</v>
      </c>
      <c r="M193" s="62" t="n">
        <v>0.0699019722974831</v>
      </c>
      <c r="N193" s="62" t="n">
        <v>0.9235048467272687</v>
      </c>
      <c r="O193" s="62" t="n">
        <v>-0.3172346669439627</v>
      </c>
      <c r="P193" s="62" t="n">
        <v>-0.1953184636920022</v>
      </c>
      <c r="Q193" s="62" t="n">
        <v>-1.205730667264314</v>
      </c>
      <c r="R193" s="62" t="n">
        <v>-0.200739362728095</v>
      </c>
      <c r="S193" s="62" t="n">
        <v>0.3655712979488526</v>
      </c>
      <c r="T193" s="62" t="n">
        <v>-0.2642920267537217</v>
      </c>
      <c r="U193" s="30" t="n">
        <v>8</v>
      </c>
      <c r="V193" s="62" t="n">
        <v>-0.1030421338010614</v>
      </c>
      <c r="W193" s="62" t="n">
        <v>-0.1419274558670165</v>
      </c>
    </row>
    <row r="194">
      <c r="A194" s="30" t="inlineStr">
        <is>
          <t>ENTEL</t>
        </is>
      </c>
      <c r="B194" s="30" t="inlineStr">
        <is>
          <t>Servicios básicos e infraestructura</t>
        </is>
      </c>
      <c r="C194" s="30" t="n">
        <v>2020</v>
      </c>
      <c r="D194" s="62" t="n">
        <v>1.691270002635549</v>
      </c>
      <c r="E194" s="62" t="n">
        <v>0.1151290870369643</v>
      </c>
      <c r="F194" s="62" t="n">
        <v>0.09389555615586358</v>
      </c>
      <c r="G194" s="62" t="n">
        <v>0.01727875757760567</v>
      </c>
      <c r="H194" s="62" t="n">
        <v>0.6914170924666636</v>
      </c>
      <c r="I194" s="62" t="n">
        <v>1.916303667110355</v>
      </c>
      <c r="J194" s="62" t="n">
        <v>0.4280797743129634</v>
      </c>
      <c r="K194" s="62" t="n">
        <v>-0.1497169339722698</v>
      </c>
      <c r="L194" s="30" t="n">
        <v>196489994</v>
      </c>
      <c r="M194" s="62" t="n">
        <v>0.2711669390580916</v>
      </c>
      <c r="N194" s="62" t="n">
        <v>1.339457178139185</v>
      </c>
      <c r="O194" s="62" t="n">
        <v>-0.8888326812881462</v>
      </c>
      <c r="P194" s="62" t="n">
        <v>-0.551910789613641</v>
      </c>
      <c r="Q194" s="62" t="n">
        <v>-1.232804402253467</v>
      </c>
      <c r="R194" s="62" t="n">
        <v>-0.6552723997812956</v>
      </c>
      <c r="S194" s="62" t="n">
        <v>0.8560277948367309</v>
      </c>
      <c r="T194" s="62" t="n">
        <v>-0.7731736100761298</v>
      </c>
      <c r="U194" s="30" t="n">
        <v>8</v>
      </c>
      <c r="V194" s="62" t="n">
        <v>-0.204417746372334</v>
      </c>
      <c r="W194" s="62" t="n">
        <v>-0.2766278269373832</v>
      </c>
    </row>
    <row r="195">
      <c r="A195" s="30" t="inlineStr">
        <is>
          <t>ENTEL</t>
        </is>
      </c>
      <c r="B195" s="30" t="inlineStr">
        <is>
          <t>Servicios básicos e infraestructura</t>
        </is>
      </c>
      <c r="C195" s="30" t="n">
        <v>2021</v>
      </c>
      <c r="D195" s="62" t="n">
        <v>1.11915035175298</v>
      </c>
      <c r="E195" s="62" t="n">
        <v>0.0252016924543237</v>
      </c>
      <c r="F195" s="62" t="n">
        <v>0.09655453602047402</v>
      </c>
      <c r="G195" s="62" t="n">
        <v>0.01370423649211004</v>
      </c>
      <c r="H195" s="62" t="n">
        <v>0.7252683731083379</v>
      </c>
      <c r="I195" s="62" t="n">
        <v>2.041063453050528</v>
      </c>
      <c r="J195" s="62" t="n">
        <v>0.4402902227608269</v>
      </c>
      <c r="K195" s="62" t="n">
        <v>-0.1469445662261519</v>
      </c>
      <c r="L195" s="30" t="n">
        <v>232581493</v>
      </c>
      <c r="M195" s="62" t="n">
        <v>-0.3833956318413497</v>
      </c>
      <c r="N195" s="62" t="n">
        <v>-0.08259941044600787</v>
      </c>
      <c r="O195" s="62" t="n">
        <v>-0.869042456517333</v>
      </c>
      <c r="P195" s="62" t="n">
        <v>-0.6535506325227726</v>
      </c>
      <c r="Q195" s="62" t="n">
        <v>-1.567828685770014</v>
      </c>
      <c r="R195" s="62" t="n">
        <v>-0.6185898518289024</v>
      </c>
      <c r="S195" s="62" t="n">
        <v>0.9882366665326802</v>
      </c>
      <c r="T195" s="62" t="n">
        <v>-0.7633403751404819</v>
      </c>
      <c r="U195" s="30" t="n">
        <v>8</v>
      </c>
      <c r="V195" s="62" t="n">
        <v>-0.4937637971917727</v>
      </c>
      <c r="W195" s="62" t="n">
        <v>-0.6294176966917168</v>
      </c>
    </row>
    <row r="196">
      <c r="A196" s="30" t="inlineStr">
        <is>
          <t>ENTEL</t>
        </is>
      </c>
      <c r="B196" s="30" t="inlineStr">
        <is>
          <t>Servicios básicos e infraestructura</t>
        </is>
      </c>
      <c r="C196" s="30" t="n">
        <v>2022</v>
      </c>
      <c r="D196" s="62" t="n">
        <v>1.311502008087189</v>
      </c>
      <c r="E196" s="62" t="n">
        <v>0.06302139265982991</v>
      </c>
      <c r="F196" s="62" t="n">
        <v>0.2571937749379212</v>
      </c>
      <c r="G196" s="62" t="n">
        <v>0.08163700621219032</v>
      </c>
      <c r="H196" s="62" t="n">
        <v>0.72217702818812</v>
      </c>
      <c r="I196" s="62" t="n">
        <v>5.747305321049659</v>
      </c>
      <c r="J196" s="62" t="n">
        <v>0.4540707053081187</v>
      </c>
      <c r="K196" s="62" t="n">
        <v>0.2758299973466234</v>
      </c>
      <c r="L196" s="30" t="n">
        <v>653447827</v>
      </c>
      <c r="M196" s="62" t="n">
        <v>-0.1633259410124143</v>
      </c>
      <c r="N196" s="62" t="n">
        <v>0.5154581014519161</v>
      </c>
      <c r="O196" s="62" t="n">
        <v>0.3265614243170094</v>
      </c>
      <c r="P196" s="62" t="n">
        <v>1.278086047632322</v>
      </c>
      <c r="Q196" s="62" t="n">
        <v>-1.552717720099452</v>
      </c>
      <c r="R196" s="62" t="n">
        <v>0.4711394549466077</v>
      </c>
      <c r="S196" s="62" t="n">
        <v>1.13744511344455</v>
      </c>
      <c r="T196" s="62" t="n">
        <v>0.7361871006961711</v>
      </c>
      <c r="U196" s="30" t="n">
        <v>8</v>
      </c>
      <c r="V196" s="62" t="n">
        <v>0.3436041976720887</v>
      </c>
      <c r="W196" s="62" t="n">
        <v>0.2368498430704565</v>
      </c>
    </row>
    <row r="197">
      <c r="A197" s="30" t="inlineStr">
        <is>
          <t>ENTEL</t>
        </is>
      </c>
      <c r="B197" s="30" t="inlineStr">
        <is>
          <t>Servicios básicos e infraestructura</t>
        </is>
      </c>
      <c r="C197" s="30" t="n">
        <v>2023</v>
      </c>
      <c r="D197" s="62" t="n">
        <v>1.193772100457309</v>
      </c>
      <c r="E197" s="62" t="n">
        <v>0.04546167392184751</v>
      </c>
      <c r="F197" s="62" t="n">
        <v>0.09454079234292481</v>
      </c>
      <c r="G197" s="62" t="n">
        <v>0.01559733930618071</v>
      </c>
      <c r="H197" s="62" t="n">
        <v>0.7059931967263533</v>
      </c>
      <c r="I197" s="62" t="n">
        <v>2.064663353644648</v>
      </c>
      <c r="J197" s="62" t="n">
        <v>0.4340810429829691</v>
      </c>
      <c r="K197" s="62" t="n">
        <v>0.1326576636857262</v>
      </c>
      <c r="L197" s="30" t="n">
        <v>233864831</v>
      </c>
      <c r="M197" s="62" t="n">
        <v>-0.298020826760685</v>
      </c>
      <c r="N197" s="62" t="n">
        <v>0.2377794937157249</v>
      </c>
      <c r="O197" s="62" t="n">
        <v>-0.8840303248122068</v>
      </c>
      <c r="P197" s="62" t="n">
        <v>-0.5997211353591552</v>
      </c>
      <c r="Q197" s="62" t="n">
        <v>-1.384400618747951</v>
      </c>
      <c r="R197" s="62" t="n">
        <v>-0.6116508812408102</v>
      </c>
      <c r="S197" s="62" t="n">
        <v>0.921006649871701</v>
      </c>
      <c r="T197" s="62" t="n">
        <v>0.228373086792726</v>
      </c>
      <c r="U197" s="30" t="n">
        <v>8</v>
      </c>
      <c r="V197" s="62" t="n">
        <v>-0.298833069567582</v>
      </c>
      <c r="W197" s="62" t="n">
        <v>-0.5084852687359409</v>
      </c>
    </row>
    <row r="198">
      <c r="A198" s="30" t="inlineStr">
        <is>
          <t>ENTEL</t>
        </is>
      </c>
      <c r="B198" s="30" t="inlineStr">
        <is>
          <t>Servicios básicos e infraestructura</t>
        </is>
      </c>
      <c r="C198" s="30" t="n">
        <v>2024</v>
      </c>
      <c r="D198" s="62" t="n">
        <v>0.9737597343371425</v>
      </c>
      <c r="E198" s="62" t="n">
        <v>-0.006249081213223079</v>
      </c>
      <c r="F198" s="62" t="n">
        <v>0.08994911599173863</v>
      </c>
      <c r="G198" s="62" t="n">
        <v>0.01158888613183571</v>
      </c>
      <c r="H198" s="62" t="n">
        <v>0.6855807136050451</v>
      </c>
      <c r="I198" s="62" t="n">
        <v>2.171277435350085</v>
      </c>
      <c r="J198" s="62" t="n">
        <v>0.4629306494581858</v>
      </c>
      <c r="K198" s="62" t="n">
        <v>-0.0007851206082803985</v>
      </c>
      <c r="L198" s="30" t="n">
        <v>243153754</v>
      </c>
      <c r="M198" s="62" t="n">
        <v>-0.5497371587816674</v>
      </c>
      <c r="N198" s="62" t="n">
        <v>-0.5799426295797043</v>
      </c>
      <c r="O198" s="62" t="n">
        <v>-0.9182052007765701</v>
      </c>
      <c r="P198" s="62" t="n">
        <v>-0.7136996351929431</v>
      </c>
      <c r="Q198" s="62" t="n">
        <v>-1.172104167287627</v>
      </c>
      <c r="R198" s="62" t="n">
        <v>-0.5803036315233774</v>
      </c>
      <c r="S198" s="62" t="n">
        <v>1.233376333691785</v>
      </c>
      <c r="T198" s="62" t="n">
        <v>-0.2449314559640469</v>
      </c>
      <c r="U198" s="30" t="n">
        <v>8</v>
      </c>
      <c r="V198" s="62" t="n">
        <v>-0.4406934431767688</v>
      </c>
      <c r="W198" s="62" t="n">
        <v>-0.6526776799999122</v>
      </c>
    </row>
    <row r="199">
      <c r="A199" s="30" t="inlineStr">
        <is>
          <t>ENTEL</t>
        </is>
      </c>
      <c r="B199" s="30" t="inlineStr">
        <is>
          <t>Servicios básicos e infraestructura</t>
        </is>
      </c>
      <c r="C199" s="30" t="n">
        <v>2025</v>
      </c>
      <c r="D199" s="62" t="n">
        <v>1.157789121225432</v>
      </c>
      <c r="E199" s="62" t="n">
        <v>0.03218035785879058</v>
      </c>
      <c r="F199" s="62" t="n">
        <v>0.08613265189196453</v>
      </c>
      <c r="G199" s="62" t="n">
        <v>0.03347918420686211</v>
      </c>
      <c r="H199" s="62" t="n">
        <v>0.6600773536338354</v>
      </c>
      <c r="I199" s="62" t="n">
        <v>1.539139458329859</v>
      </c>
      <c r="J199" s="62" t="n">
        <v>0.5168781619246918</v>
      </c>
      <c r="K199" s="62" t="n">
        <v>0.7044747286334654</v>
      </c>
      <c r="L199" s="30" t="n">
        <v>254515981</v>
      </c>
      <c r="M199" s="62" t="n">
        <v>-0.3391889833837</v>
      </c>
      <c r="N199" s="62" t="n">
        <v>0.02775691827909225</v>
      </c>
      <c r="O199" s="62" t="n">
        <v>-0.9466103359073446</v>
      </c>
      <c r="P199" s="62" t="n">
        <v>-0.09125920069449976</v>
      </c>
      <c r="Q199" s="62" t="n">
        <v>-0.9068609438136891</v>
      </c>
      <c r="R199" s="62" t="n">
        <v>-0.7661682631418786</v>
      </c>
      <c r="S199" s="62" t="n">
        <v>1.817494090255253</v>
      </c>
      <c r="T199" s="62" t="n">
        <v>2.256535313004348</v>
      </c>
      <c r="U199" s="30" t="n">
        <v>8</v>
      </c>
      <c r="V199" s="62" t="n">
        <v>0.1314623243246976</v>
      </c>
      <c r="W199" s="62" t="n">
        <v>-0.3257230769823206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familia</t>
        </is>
      </c>
      <c r="C1" t="inlineStr">
        <is>
          <t>peso_igual</t>
        </is>
      </c>
      <c r="D1" t="inlineStr">
        <is>
          <t>peso_pca</t>
        </is>
      </c>
    </row>
    <row r="2">
      <c r="A2" t="inlineStr">
        <is>
          <t>No financieras</t>
        </is>
      </c>
      <c r="B2" t="inlineStr">
        <is>
          <t>F1_liquidez</t>
        </is>
      </c>
      <c r="C2" t="n">
        <v>0.125</v>
      </c>
      <c r="D2" t="n">
        <v>0.1371896567569499</v>
      </c>
    </row>
    <row r="3">
      <c r="A3" t="inlineStr">
        <is>
          <t>No financieras</t>
        </is>
      </c>
      <c r="B3" t="inlineStr">
        <is>
          <t>F2_capital_trabajo</t>
        </is>
      </c>
      <c r="C3" t="n">
        <v>0.125</v>
      </c>
      <c r="D3" t="n">
        <v>0.14850422067431</v>
      </c>
    </row>
    <row r="4">
      <c r="A4" t="inlineStr">
        <is>
          <t>No financieras</t>
        </is>
      </c>
      <c r="B4" t="inlineStr">
        <is>
          <t>F3_eficiencia</t>
        </is>
      </c>
      <c r="C4" t="n">
        <v>0.125</v>
      </c>
      <c r="D4" t="n">
        <v>0.1600551464835694</v>
      </c>
    </row>
    <row r="5">
      <c r="A5" t="inlineStr">
        <is>
          <t>No financieras</t>
        </is>
      </c>
      <c r="B5" t="inlineStr">
        <is>
          <t>F4_rentabilidad_ROA</t>
        </is>
      </c>
      <c r="C5" t="n">
        <v>0.125</v>
      </c>
      <c r="D5" t="n">
        <v>0.1672035546921189</v>
      </c>
    </row>
    <row r="6">
      <c r="A6" t="inlineStr">
        <is>
          <t>No financieras</t>
        </is>
      </c>
      <c r="B6" t="inlineStr">
        <is>
          <t>F5_endeudamiento</t>
        </is>
      </c>
      <c r="C6" t="n">
        <v>0.125</v>
      </c>
      <c r="D6" t="n">
        <v>0.1493170221905137</v>
      </c>
    </row>
    <row r="7">
      <c r="A7" t="inlineStr">
        <is>
          <t>No financieras</t>
        </is>
      </c>
      <c r="B7" t="inlineStr">
        <is>
          <t>F6_cobertura</t>
        </is>
      </c>
      <c r="C7" t="n">
        <v>0.125</v>
      </c>
      <c r="D7" t="n">
        <v>0.1649693100026775</v>
      </c>
    </row>
    <row r="8">
      <c r="A8" t="inlineStr">
        <is>
          <t>No financieras</t>
        </is>
      </c>
      <c r="B8" t="inlineStr">
        <is>
          <t>F7_uso_activos</t>
        </is>
      </c>
      <c r="C8" t="n">
        <v>0.125</v>
      </c>
      <c r="D8" t="n">
        <v>0.04311007346545606</v>
      </c>
    </row>
    <row r="9">
      <c r="A9" t="inlineStr">
        <is>
          <t>No financieras</t>
        </is>
      </c>
      <c r="B9" t="inlineStr">
        <is>
          <t>F8_mercado_retorno</t>
        </is>
      </c>
      <c r="C9" t="n">
        <v>0.125</v>
      </c>
      <c r="D9" t="n">
        <v>0.02965101573440465</v>
      </c>
    </row>
    <row r="10">
      <c r="A10" t="inlineStr">
        <is>
          <t>Bancos</t>
        </is>
      </c>
      <c r="B10" t="inlineStr">
        <is>
          <t>F1_liquidez</t>
        </is>
      </c>
      <c r="C10" t="n">
        <v>0.1428571428571428</v>
      </c>
      <c r="D10" t="n">
        <v>0.1119301085651367</v>
      </c>
    </row>
    <row r="11">
      <c r="A11" t="inlineStr">
        <is>
          <t>Bancos</t>
        </is>
      </c>
      <c r="B11" t="inlineStr">
        <is>
          <t>F3_eficiencia</t>
        </is>
      </c>
      <c r="C11" t="n">
        <v>0.1428571428571428</v>
      </c>
      <c r="D11" t="n">
        <v>0.1626041441563117</v>
      </c>
    </row>
    <row r="12">
      <c r="A12" t="inlineStr">
        <is>
          <t>Bancos</t>
        </is>
      </c>
      <c r="B12" t="inlineStr">
        <is>
          <t>F4_rentabilidad_ROA</t>
        </is>
      </c>
      <c r="C12" t="n">
        <v>0.1428571428571428</v>
      </c>
      <c r="D12" t="n">
        <v>0.1963678983865566</v>
      </c>
    </row>
    <row r="13">
      <c r="A13" t="inlineStr">
        <is>
          <t>Bancos</t>
        </is>
      </c>
      <c r="B13" t="inlineStr">
        <is>
          <t>F5_endeudamiento</t>
        </is>
      </c>
      <c r="C13" t="n">
        <v>0.1428571428571428</v>
      </c>
      <c r="D13" t="n">
        <v>0.06967140058388693</v>
      </c>
    </row>
    <row r="14">
      <c r="A14" t="inlineStr">
        <is>
          <t>Bancos</t>
        </is>
      </c>
      <c r="B14" t="inlineStr">
        <is>
          <t>F6_cobertura</t>
        </is>
      </c>
      <c r="C14" t="n">
        <v>0.1428571428571428</v>
      </c>
      <c r="D14" t="n">
        <v>0.1859346600170211</v>
      </c>
    </row>
    <row r="15">
      <c r="A15" t="inlineStr">
        <is>
          <t>Bancos</t>
        </is>
      </c>
      <c r="B15" t="inlineStr">
        <is>
          <t>F7_uso_activos</t>
        </is>
      </c>
      <c r="C15" t="n">
        <v>0.1428571428571428</v>
      </c>
      <c r="D15" t="n">
        <v>0.1602736556044715</v>
      </c>
    </row>
    <row r="16">
      <c r="A16" t="inlineStr">
        <is>
          <t>Bancos</t>
        </is>
      </c>
      <c r="B16" t="inlineStr">
        <is>
          <t>F8_mercado_retorno</t>
        </is>
      </c>
      <c r="C16" t="n">
        <v>0.1428571428571428</v>
      </c>
      <c r="D16" t="n">
        <v>0.1132181326866155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2026-09-21T23:41:14Z</dcterms:created>
  <dcterms:modified xmlns:dcterms="http://purl.org/dc/terms/" xmlns:xsi="http://www.w3.org/2001/XMLSchema-instance" xsi:type="dcterms:W3CDTF">2026-09-23T03:37:56Z</dcterms:modified>
  <cp:revision>0</cp:revision>
</cp:coreProperties>
</file>